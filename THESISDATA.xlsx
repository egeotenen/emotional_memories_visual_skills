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https://indiana-my.sharepoint.com/personal/eotenen_iu_edu/Documents/GitHub/emotionalmemories_visual/emotional_memories_visual_skills/"/>
    </mc:Choice>
  </mc:AlternateContent>
  <xr:revisionPtr revIDLastSave="11" documentId="8_{46457B64-7E8D-CB4F-87CC-74A341A41FBA}" xr6:coauthVersionLast="47" xr6:coauthVersionMax="47" xr10:uidLastSave="{0A3399EA-C952-9245-8D75-F37D9BE2F1D3}"/>
  <bookViews>
    <workbookView xWindow="0" yWindow="740" windowWidth="29400" windowHeight="18380" xr2:uid="{00000000-000D-0000-FFFF-FFFF00000000}"/>
  </bookViews>
  <sheets>
    <sheet name="Sheet1" sheetId="1" r:id="rId1"/>
    <sheet name="Sheet2" sheetId="6" r:id="rId2"/>
    <sheet name="Scene Score Check" sheetId="5" r:id="rId3"/>
    <sheet name="Deniz anıları " sheetId="2" r:id="rId4"/>
    <sheet name="Lunapark" sheetId="4" r:id="rId5"/>
  </sheets>
  <definedNames>
    <definedName name="_xlnm._FilterDatabase" localSheetId="0" hidden="1">Sheet1!$BA$1:$BA$671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K24" i="5" s="1"/>
  <c r="I25" i="5"/>
  <c r="I26" i="5"/>
  <c r="I27" i="5"/>
  <c r="I28" i="5"/>
  <c r="I29" i="5"/>
  <c r="I30" i="5"/>
  <c r="I31" i="5"/>
  <c r="I32" i="5"/>
  <c r="K32" i="5" s="1"/>
  <c r="I33" i="5"/>
  <c r="I34" i="5"/>
  <c r="I35" i="5"/>
  <c r="I36" i="5"/>
  <c r="I37" i="5"/>
  <c r="I38" i="5"/>
  <c r="I39" i="5"/>
  <c r="I40" i="5"/>
  <c r="K40" i="5" s="1"/>
  <c r="I41" i="5"/>
  <c r="I42" i="5"/>
  <c r="I43" i="5"/>
  <c r="I44" i="5"/>
  <c r="I45" i="5"/>
  <c r="I46" i="5"/>
  <c r="I47" i="5"/>
  <c r="I48" i="5"/>
  <c r="K48" i="5" s="1"/>
  <c r="I49" i="5"/>
  <c r="I50" i="5"/>
  <c r="I51" i="5"/>
  <c r="I52" i="5"/>
  <c r="I53" i="5"/>
  <c r="I54" i="5"/>
  <c r="I55" i="5"/>
  <c r="I56" i="5"/>
  <c r="K56" i="5" s="1"/>
  <c r="I57" i="5"/>
  <c r="I58" i="5"/>
  <c r="I59" i="5"/>
  <c r="I60" i="5"/>
  <c r="I61" i="5"/>
  <c r="I62" i="5"/>
  <c r="I63" i="5"/>
  <c r="I64" i="5"/>
  <c r="K64" i="5" s="1"/>
  <c r="I65" i="5"/>
  <c r="I66" i="5"/>
  <c r="I67" i="5"/>
  <c r="I68" i="5"/>
  <c r="I69" i="5"/>
  <c r="I70" i="5"/>
  <c r="I71" i="5"/>
  <c r="I72" i="5"/>
  <c r="K72" i="5" s="1"/>
  <c r="I73" i="5"/>
  <c r="I74" i="5"/>
  <c r="I75" i="5"/>
  <c r="I76" i="5"/>
  <c r="I77" i="5"/>
  <c r="I78" i="5"/>
  <c r="I79" i="5"/>
  <c r="I80" i="5"/>
  <c r="K80" i="5" s="1"/>
  <c r="I81" i="5"/>
  <c r="I82" i="5"/>
  <c r="I83" i="5"/>
  <c r="I84" i="5"/>
  <c r="I85" i="5"/>
  <c r="I86" i="5"/>
  <c r="I87" i="5"/>
  <c r="I88" i="5"/>
  <c r="K88" i="5" s="1"/>
  <c r="I89" i="5"/>
  <c r="I90" i="5"/>
  <c r="I91" i="5"/>
  <c r="I92" i="5"/>
  <c r="I93" i="5"/>
  <c r="I94" i="5"/>
  <c r="I95" i="5"/>
  <c r="I96" i="5"/>
  <c r="K96" i="5" s="1"/>
  <c r="I97" i="5"/>
  <c r="I98" i="5"/>
  <c r="I99" i="5"/>
  <c r="I100" i="5"/>
  <c r="I101" i="5"/>
  <c r="I102" i="5"/>
  <c r="I103" i="5"/>
  <c r="I104" i="5"/>
  <c r="K104" i="5" s="1"/>
  <c r="I105" i="5"/>
  <c r="I106" i="5"/>
  <c r="I107" i="5"/>
  <c r="I108" i="5"/>
  <c r="I109" i="5"/>
  <c r="I110" i="5"/>
  <c r="I111" i="5"/>
  <c r="I112" i="5"/>
  <c r="K112" i="5" s="1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K57" i="5" s="1"/>
  <c r="I169" i="5"/>
  <c r="I170" i="5"/>
  <c r="I171" i="5"/>
  <c r="I172" i="5"/>
  <c r="I173" i="5"/>
  <c r="I174" i="5"/>
  <c r="I175" i="5"/>
  <c r="I176" i="5"/>
  <c r="K65" i="5" s="1"/>
  <c r="I177" i="5"/>
  <c r="I178" i="5"/>
  <c r="I179" i="5"/>
  <c r="I180" i="5"/>
  <c r="I181" i="5"/>
  <c r="I182" i="5"/>
  <c r="I183" i="5"/>
  <c r="I184" i="5"/>
  <c r="K73" i="5" s="1"/>
  <c r="I185" i="5"/>
  <c r="I186" i="5"/>
  <c r="I187" i="5"/>
  <c r="I188" i="5"/>
  <c r="I189" i="5"/>
  <c r="I190" i="5"/>
  <c r="I191" i="5"/>
  <c r="I192" i="5"/>
  <c r="K81" i="5" s="1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K89" i="5" s="1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K23" i="5" s="1"/>
  <c r="I473" i="5"/>
  <c r="I474" i="5"/>
  <c r="I475" i="5"/>
  <c r="I476" i="5"/>
  <c r="I477" i="5"/>
  <c r="I478" i="5"/>
  <c r="I479" i="5"/>
  <c r="I480" i="5"/>
  <c r="K31" i="5" s="1"/>
  <c r="I481" i="5"/>
  <c r="I482" i="5"/>
  <c r="I483" i="5"/>
  <c r="I484" i="5"/>
  <c r="I485" i="5"/>
  <c r="I486" i="5"/>
  <c r="I487" i="5"/>
  <c r="I488" i="5"/>
  <c r="K39" i="5" s="1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K97" i="5" s="1"/>
  <c r="I657" i="5"/>
  <c r="I658" i="5"/>
  <c r="I659" i="5"/>
  <c r="I660" i="5"/>
  <c r="I661" i="5"/>
  <c r="I662" i="5"/>
  <c r="I663" i="5"/>
  <c r="I664" i="5"/>
  <c r="K105" i="5" s="1"/>
  <c r="I665" i="5"/>
  <c r="I666" i="5"/>
  <c r="I667" i="5"/>
  <c r="I668" i="5"/>
  <c r="I669" i="5"/>
  <c r="I670" i="5"/>
  <c r="I671" i="5"/>
  <c r="I2" i="5"/>
  <c r="K19" i="5"/>
  <c r="K20" i="5"/>
  <c r="K21" i="5"/>
  <c r="K22" i="5"/>
  <c r="K25" i="5"/>
  <c r="K26" i="5"/>
  <c r="K27" i="5"/>
  <c r="K28" i="5"/>
  <c r="K29" i="5"/>
  <c r="K30" i="5"/>
  <c r="K33" i="5"/>
  <c r="K34" i="5"/>
  <c r="K35" i="5"/>
  <c r="K36" i="5"/>
  <c r="K37" i="5"/>
  <c r="K38" i="5"/>
  <c r="K41" i="5"/>
  <c r="K42" i="5"/>
  <c r="K43" i="5"/>
  <c r="K44" i="5"/>
  <c r="K45" i="5"/>
  <c r="K46" i="5"/>
  <c r="K47" i="5"/>
  <c r="K49" i="5"/>
  <c r="K50" i="5"/>
  <c r="K51" i="5"/>
  <c r="K52" i="5"/>
  <c r="K53" i="5"/>
  <c r="K54" i="5"/>
  <c r="K55" i="5"/>
  <c r="K58" i="5"/>
  <c r="K59" i="5"/>
  <c r="K60" i="5"/>
  <c r="K61" i="5"/>
  <c r="K62" i="5"/>
  <c r="K63" i="5"/>
  <c r="K66" i="5"/>
  <c r="K67" i="5"/>
  <c r="K68" i="5"/>
  <c r="K69" i="5"/>
  <c r="K70" i="5"/>
  <c r="K71" i="5"/>
  <c r="K74" i="5"/>
  <c r="K75" i="5"/>
  <c r="K76" i="5"/>
  <c r="K77" i="5"/>
  <c r="K78" i="5"/>
  <c r="K79" i="5"/>
  <c r="K82" i="5"/>
  <c r="K83" i="5"/>
  <c r="K84" i="5"/>
  <c r="K85" i="5"/>
  <c r="K86" i="5"/>
  <c r="K87" i="5"/>
  <c r="K90" i="5"/>
  <c r="K91" i="5"/>
  <c r="K92" i="5"/>
  <c r="K93" i="5"/>
  <c r="K94" i="5"/>
  <c r="K95" i="5"/>
  <c r="K98" i="5"/>
  <c r="K99" i="5"/>
  <c r="K100" i="5"/>
  <c r="K101" i="5"/>
  <c r="K102" i="5"/>
  <c r="K103" i="5"/>
  <c r="K106" i="5"/>
  <c r="K107" i="5"/>
  <c r="K108" i="5"/>
  <c r="K109" i="5"/>
  <c r="K110" i="5"/>
  <c r="K111" i="5"/>
  <c r="K113" i="5"/>
  <c r="K114" i="5"/>
  <c r="K115" i="5"/>
  <c r="K116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2" i="5"/>
  <c r="J2" i="5" a="1"/>
  <c r="J2" i="5" s="1"/>
  <c r="AY441" i="1" a="1"/>
  <c r="AY441" i="1" s="1"/>
  <c r="AY442" i="1" a="1"/>
  <c r="AY442" i="1" s="1"/>
  <c r="AY383" i="1" a="1"/>
  <c r="AY383" i="1" s="1"/>
  <c r="AY384" i="1" a="1"/>
  <c r="AY384" i="1" s="1"/>
  <c r="AY385" i="1" a="1"/>
  <c r="AY385" i="1" s="1"/>
  <c r="AY386" i="1" a="1"/>
  <c r="AY386" i="1" s="1"/>
  <c r="AY387" i="1" a="1"/>
  <c r="AY387" i="1" s="1"/>
  <c r="AY388" i="1" a="1"/>
  <c r="AY388" i="1" s="1"/>
  <c r="AY389" i="1" a="1"/>
  <c r="AY389" i="1" s="1"/>
  <c r="AY390" i="1" a="1"/>
  <c r="AY390" i="1" s="1"/>
  <c r="AY391" i="1" a="1"/>
  <c r="AY391" i="1" s="1"/>
  <c r="AY392" i="1" a="1"/>
  <c r="AY392" i="1" s="1"/>
  <c r="AY393" i="1" a="1"/>
  <c r="AY393" i="1" s="1"/>
  <c r="AY352" i="1" a="1"/>
  <c r="AY352" i="1" s="1"/>
  <c r="BB630" i="1"/>
  <c r="BB614" i="1"/>
  <c r="BB583" i="1"/>
  <c r="BB441" i="1"/>
  <c r="BB421" i="1"/>
  <c r="BB392" i="1"/>
  <c r="BB384" i="1"/>
  <c r="BB362" i="1"/>
  <c r="BB352" i="1"/>
  <c r="BB326" i="1"/>
  <c r="BB311" i="1"/>
  <c r="BB272" i="1"/>
  <c r="BB270" i="1"/>
  <c r="BB269" i="1"/>
  <c r="BA630" i="1"/>
  <c r="BA614" i="1"/>
  <c r="BA583" i="1"/>
  <c r="BA441" i="1"/>
  <c r="BA421" i="1"/>
  <c r="BA392" i="1"/>
  <c r="BA384" i="1"/>
  <c r="BA362" i="1"/>
  <c r="BA352" i="1"/>
  <c r="BA326" i="1"/>
  <c r="BA311" i="1"/>
  <c r="BA272" i="1"/>
  <c r="BA270" i="1"/>
  <c r="BA269" i="1"/>
  <c r="AY269" i="1" a="1"/>
  <c r="AY269" i="1" s="1"/>
  <c r="AY270" i="1" a="1"/>
  <c r="AY270" i="1" s="1"/>
  <c r="AY271" i="1" a="1"/>
  <c r="AY271" i="1" s="1"/>
  <c r="AY272" i="1" a="1"/>
  <c r="AY272" i="1" s="1"/>
  <c r="AY658" i="1" a="1"/>
  <c r="AY658" i="1" s="1"/>
  <c r="AY662" i="1" a="1"/>
  <c r="AY662" i="1" s="1"/>
  <c r="AY451" i="1" a="1"/>
  <c r="AY451" i="1" s="1"/>
  <c r="AY455" i="1" a="1"/>
  <c r="AY455" i="1" s="1"/>
  <c r="AY457" i="1" a="1"/>
  <c r="AY457" i="1" s="1"/>
  <c r="AY458" i="1" a="1"/>
  <c r="AY458" i="1" s="1"/>
  <c r="AY462" i="1" a="1"/>
  <c r="AY462" i="1" s="1"/>
  <c r="AY463" i="1" a="1"/>
  <c r="AY463" i="1" s="1"/>
  <c r="AY465" i="1" a="1"/>
  <c r="AY465" i="1" s="1"/>
  <c r="AY467" i="1" a="1"/>
  <c r="AY467" i="1" s="1"/>
  <c r="AY469" i="1" a="1"/>
  <c r="AY469" i="1" s="1"/>
  <c r="AY471" i="1" a="1"/>
  <c r="AY471" i="1" s="1"/>
  <c r="AY473" i="1" a="1"/>
  <c r="AY473" i="1" s="1"/>
  <c r="AY476" i="1" a="1"/>
  <c r="AY476" i="1" s="1"/>
  <c r="AY478" i="1" a="1"/>
  <c r="AY478" i="1" s="1"/>
  <c r="AY479" i="1" a="1"/>
  <c r="AY479" i="1" s="1"/>
  <c r="AY480" i="1" a="1"/>
  <c r="AY480" i="1" s="1"/>
  <c r="AY483" i="1" a="1"/>
  <c r="AY483" i="1" s="1"/>
  <c r="AY485" i="1" a="1"/>
  <c r="AY485" i="1" s="1"/>
  <c r="AY486" i="1" a="1"/>
  <c r="AY486" i="1" s="1"/>
  <c r="AY487" i="1" a="1"/>
  <c r="AY487" i="1" s="1"/>
  <c r="AY490" i="1" a="1"/>
  <c r="AY490" i="1" s="1"/>
  <c r="AY492" i="1" a="1"/>
  <c r="AY492" i="1" s="1"/>
  <c r="AY494" i="1" a="1"/>
  <c r="AY494" i="1" s="1"/>
  <c r="AY497" i="1" a="1"/>
  <c r="AY497" i="1" s="1"/>
  <c r="AY499" i="1" a="1"/>
  <c r="AY499" i="1" s="1"/>
  <c r="AY501" i="1" a="1"/>
  <c r="AY501" i="1" s="1"/>
  <c r="AY505" i="1" a="1"/>
  <c r="AY505" i="1" s="1"/>
  <c r="AY506" i="1" a="1"/>
  <c r="AY506" i="1" s="1"/>
  <c r="AY508" i="1" a="1"/>
  <c r="AY508" i="1" s="1"/>
  <c r="AY511" i="1" a="1"/>
  <c r="AY511" i="1" s="1"/>
  <c r="AY512" i="1" a="1"/>
  <c r="AY512" i="1" s="1"/>
  <c r="AY513" i="1" a="1"/>
  <c r="AY513" i="1" s="1"/>
  <c r="AY515" i="1" a="1"/>
  <c r="AY515" i="1" s="1"/>
  <c r="AY518" i="1" a="1"/>
  <c r="AY518" i="1" s="1"/>
  <c r="AY519" i="1" a="1"/>
  <c r="AY519" i="1" s="1"/>
  <c r="AY521" i="1" a="1"/>
  <c r="AY521" i="1" s="1"/>
  <c r="AY522" i="1" a="1"/>
  <c r="AY522" i="1" s="1"/>
  <c r="AY526" i="1" a="1"/>
  <c r="AY526" i="1" s="1"/>
  <c r="AY527" i="1" a="1"/>
  <c r="AY527" i="1" s="1"/>
  <c r="AY529" i="1" a="1"/>
  <c r="AY529" i="1" s="1"/>
  <c r="AY531" i="1" a="1"/>
  <c r="AY531" i="1" s="1"/>
  <c r="AY533" i="1" a="1"/>
  <c r="AY533" i="1" s="1"/>
  <c r="AY535" i="1" a="1"/>
  <c r="AY535" i="1" s="1"/>
  <c r="AY537" i="1" a="1"/>
  <c r="AY537" i="1" s="1"/>
  <c r="AY543" i="1" a="1"/>
  <c r="AY543" i="1" s="1"/>
  <c r="AY544" i="1" a="1"/>
  <c r="AY544" i="1" s="1"/>
  <c r="AY545" i="1" a="1"/>
  <c r="AY545" i="1" s="1"/>
  <c r="AY549" i="1" a="1"/>
  <c r="AY549" i="1" s="1"/>
  <c r="AY550" i="1" a="1"/>
  <c r="AY550" i="1" s="1"/>
  <c r="AY552" i="1" a="1"/>
  <c r="AY552" i="1" s="1"/>
  <c r="AY555" i="1" a="1"/>
  <c r="AY555" i="1" s="1"/>
  <c r="AY556" i="1" a="1"/>
  <c r="AY556" i="1" s="1"/>
  <c r="AY558" i="1" a="1"/>
  <c r="AY558" i="1" s="1"/>
  <c r="AY561" i="1" a="1"/>
  <c r="AY561" i="1" s="1"/>
  <c r="AY562" i="1" a="1"/>
  <c r="AY562" i="1" s="1"/>
  <c r="AY563" i="1" a="1"/>
  <c r="AY563" i="1" s="1"/>
  <c r="AY565" i="1" a="1"/>
  <c r="AY565" i="1" s="1"/>
  <c r="AY567" i="1" a="1"/>
  <c r="AY567" i="1" s="1"/>
  <c r="AY568" i="1" a="1"/>
  <c r="AY568" i="1" s="1"/>
  <c r="AY569" i="1" a="1"/>
  <c r="AY569" i="1" s="1"/>
  <c r="AY571" i="1" a="1"/>
  <c r="AY571" i="1" s="1"/>
  <c r="AY573" i="1" a="1"/>
  <c r="AY573" i="1" s="1"/>
  <c r="AY575" i="1" a="1"/>
  <c r="AY575" i="1" s="1"/>
  <c r="AY576" i="1" a="1"/>
  <c r="AY576" i="1" s="1"/>
  <c r="AY581" i="1" a="1"/>
  <c r="AY581" i="1" s="1"/>
  <c r="AY585" i="1" a="1"/>
  <c r="AY585" i="1" s="1"/>
  <c r="AY588" i="1" a="1"/>
  <c r="AY588" i="1" s="1"/>
  <c r="AY590" i="1" a="1"/>
  <c r="AY590" i="1" s="1"/>
  <c r="AY591" i="1" a="1"/>
  <c r="AY591" i="1" s="1"/>
  <c r="AY592" i="1" a="1"/>
  <c r="AY592" i="1" s="1"/>
  <c r="AY594" i="1" a="1"/>
  <c r="AY594" i="1" s="1"/>
  <c r="AY596" i="1" a="1"/>
  <c r="AY596" i="1" s="1"/>
  <c r="AY598" i="1" a="1"/>
  <c r="AY598" i="1" s="1"/>
  <c r="AY600" i="1" a="1"/>
  <c r="AY600" i="1" s="1"/>
  <c r="AY606" i="1" a="1"/>
  <c r="AY606" i="1" s="1"/>
  <c r="AY607" i="1" a="1"/>
  <c r="AY607" i="1" s="1"/>
  <c r="AY608" i="1" a="1"/>
  <c r="AY608" i="1" s="1"/>
  <c r="AY609" i="1" a="1"/>
  <c r="AY609" i="1" s="1"/>
  <c r="AY615" i="1" a="1"/>
  <c r="AY615" i="1" s="1"/>
  <c r="AY616" i="1" a="1"/>
  <c r="AY616" i="1" s="1"/>
  <c r="AY617" i="1" a="1"/>
  <c r="AY617" i="1" s="1"/>
  <c r="AY618" i="1" a="1"/>
  <c r="AY618" i="1" s="1"/>
  <c r="AY623" i="1" a="1"/>
  <c r="AY623" i="1" s="1"/>
  <c r="AY624" i="1" a="1"/>
  <c r="AY624" i="1" s="1"/>
  <c r="AY626" i="1" a="1"/>
  <c r="AY626" i="1" s="1"/>
  <c r="AY629" i="1" a="1"/>
  <c r="AY629" i="1" s="1"/>
  <c r="AY632" i="1" a="1"/>
  <c r="AY632" i="1" s="1"/>
  <c r="AY633" i="1" a="1"/>
  <c r="AY633" i="1" s="1"/>
  <c r="AY636" i="1" a="1"/>
  <c r="AY636" i="1" s="1"/>
  <c r="AY640" i="1" a="1"/>
  <c r="AY640" i="1" s="1"/>
  <c r="AY643" i="1" a="1"/>
  <c r="AY643" i="1" s="1"/>
  <c r="AY648" i="1" a="1"/>
  <c r="AY648" i="1" s="1"/>
  <c r="AY649" i="1" a="1"/>
  <c r="AY649" i="1" s="1"/>
  <c r="AY651" i="1" a="1"/>
  <c r="AY651" i="1" s="1"/>
  <c r="AY656" i="1" a="1"/>
  <c r="AY656" i="1" s="1"/>
  <c r="AY664" i="1" a="1"/>
  <c r="AY664" i="1" s="1"/>
  <c r="AY668" i="1" a="1"/>
  <c r="AY668" i="1" s="1"/>
  <c r="AY670" i="1" a="1"/>
  <c r="AY670" i="1" s="1"/>
  <c r="AY222" i="1" a="1"/>
  <c r="AY222" i="1" s="1"/>
  <c r="AY223" i="1" a="1"/>
  <c r="AY223" i="1" s="1"/>
  <c r="AY224" i="1" a="1"/>
  <c r="AY224" i="1" s="1"/>
  <c r="AY225" i="1" a="1"/>
  <c r="AY225" i="1" s="1"/>
  <c r="AY226" i="1" a="1"/>
  <c r="AY226" i="1" s="1"/>
  <c r="AY227" i="1" a="1"/>
  <c r="AY227" i="1" s="1"/>
  <c r="AY228" i="1" a="1"/>
  <c r="AY228" i="1" s="1"/>
  <c r="AY229" i="1" a="1"/>
  <c r="AY229" i="1" s="1"/>
  <c r="AY230" i="1" a="1"/>
  <c r="AY230" i="1" s="1"/>
  <c r="AY231" i="1" a="1"/>
  <c r="AY231" i="1" s="1"/>
  <c r="AY232" i="1" a="1"/>
  <c r="AY232" i="1" s="1"/>
  <c r="AY233" i="1" a="1"/>
  <c r="AY233" i="1" s="1"/>
  <c r="AY234" i="1" a="1"/>
  <c r="AY234" i="1" s="1"/>
  <c r="AY235" i="1" a="1"/>
  <c r="AY235" i="1" s="1"/>
  <c r="AY236" i="1" a="1"/>
  <c r="AY236" i="1" s="1"/>
  <c r="AY237" i="1" a="1"/>
  <c r="AY237" i="1" s="1"/>
  <c r="AY238" i="1" a="1"/>
  <c r="AY238" i="1" s="1"/>
  <c r="AY239" i="1" a="1"/>
  <c r="AY239" i="1" s="1"/>
  <c r="AY240" i="1" a="1"/>
  <c r="AY240" i="1" s="1"/>
  <c r="AY241" i="1" a="1"/>
  <c r="AY241" i="1" s="1"/>
  <c r="AY242" i="1" a="1"/>
  <c r="AY242" i="1" s="1"/>
  <c r="AY243" i="1" a="1"/>
  <c r="AY243" i="1" s="1"/>
  <c r="AY244" i="1" a="1"/>
  <c r="AY244" i="1" s="1"/>
  <c r="AY245" i="1" a="1"/>
  <c r="AY245" i="1" s="1"/>
  <c r="AY246" i="1" a="1"/>
  <c r="AY246" i="1" s="1"/>
  <c r="AY247" i="1" a="1"/>
  <c r="AY247" i="1" s="1"/>
  <c r="AY248" i="1" a="1"/>
  <c r="AY248" i="1" s="1"/>
  <c r="AY249" i="1" a="1"/>
  <c r="AY249" i="1" s="1"/>
  <c r="AY250" i="1" a="1"/>
  <c r="AY250" i="1" s="1"/>
  <c r="AY251" i="1" a="1"/>
  <c r="AY251" i="1" s="1"/>
  <c r="AY252" i="1" a="1"/>
  <c r="AY252" i="1" s="1"/>
  <c r="AY253" i="1" a="1"/>
  <c r="AY253" i="1" s="1"/>
  <c r="AY254" i="1" a="1"/>
  <c r="AY254" i="1" s="1"/>
  <c r="AY255" i="1" a="1"/>
  <c r="AY255" i="1" s="1"/>
  <c r="AY256" i="1" a="1"/>
  <c r="AY256" i="1" s="1"/>
  <c r="AY257" i="1" a="1"/>
  <c r="AY257" i="1" s="1"/>
  <c r="AY258" i="1" a="1"/>
  <c r="AY258" i="1" s="1"/>
  <c r="AY259" i="1" a="1"/>
  <c r="AY259" i="1" s="1"/>
  <c r="AY260" i="1" a="1"/>
  <c r="AY260" i="1" s="1"/>
  <c r="AY261" i="1" a="1"/>
  <c r="AY261" i="1" s="1"/>
  <c r="AY262" i="1" a="1"/>
  <c r="AY262" i="1" s="1"/>
  <c r="AY263" i="1" a="1"/>
  <c r="AY263" i="1" s="1"/>
  <c r="AY264" i="1" a="1"/>
  <c r="AY264" i="1" s="1"/>
  <c r="AY265" i="1" a="1"/>
  <c r="AY265" i="1" s="1"/>
  <c r="AY266" i="1" a="1"/>
  <c r="AY266" i="1" s="1"/>
  <c r="AY267" i="1" a="1"/>
  <c r="AY267" i="1" s="1"/>
  <c r="AY268" i="1" a="1"/>
  <c r="AY268" i="1" s="1"/>
  <c r="AY273" i="1" a="1"/>
  <c r="AY273" i="1" s="1"/>
  <c r="AY274" i="1" a="1"/>
  <c r="AY274" i="1" s="1"/>
  <c r="AY275" i="1" a="1"/>
  <c r="AY275" i="1" s="1"/>
  <c r="AY276" i="1" a="1"/>
  <c r="AY276" i="1" s="1"/>
  <c r="AY277" i="1" a="1"/>
  <c r="AY277" i="1" s="1"/>
  <c r="AY278" i="1" a="1"/>
  <c r="AY278" i="1" s="1"/>
  <c r="AY279" i="1" a="1"/>
  <c r="AY279" i="1" s="1"/>
  <c r="AY280" i="1" a="1"/>
  <c r="AY280" i="1" s="1"/>
  <c r="AY281" i="1" a="1"/>
  <c r="AY281" i="1" s="1"/>
  <c r="AY282" i="1" a="1"/>
  <c r="AY282" i="1" s="1"/>
  <c r="AY283" i="1" a="1"/>
  <c r="AY283" i="1" s="1"/>
  <c r="AY284" i="1" a="1"/>
  <c r="AY284" i="1" s="1"/>
  <c r="AY285" i="1" a="1"/>
  <c r="AY285" i="1" s="1"/>
  <c r="AY286" i="1" a="1"/>
  <c r="AY286" i="1" s="1"/>
  <c r="AY287" i="1" a="1"/>
  <c r="AY287" i="1" s="1"/>
  <c r="AY288" i="1" a="1"/>
  <c r="AY288" i="1" s="1"/>
  <c r="AY289" i="1" a="1"/>
  <c r="AY289" i="1" s="1"/>
  <c r="AY290" i="1" a="1"/>
  <c r="AY290" i="1" s="1"/>
  <c r="AY291" i="1" a="1"/>
  <c r="AY291" i="1" s="1"/>
  <c r="AY292" i="1" a="1"/>
  <c r="AY292" i="1" s="1"/>
  <c r="AY293" i="1" a="1"/>
  <c r="AY293" i="1" s="1"/>
  <c r="AY294" i="1" a="1"/>
  <c r="AY294" i="1" s="1"/>
  <c r="AY295" i="1" a="1"/>
  <c r="AY295" i="1" s="1"/>
  <c r="AY296" i="1" a="1"/>
  <c r="AY296" i="1" s="1"/>
  <c r="AY297" i="1" a="1"/>
  <c r="AY297" i="1" s="1"/>
  <c r="AY298" i="1" a="1"/>
  <c r="AY298" i="1" s="1"/>
  <c r="AY299" i="1" a="1"/>
  <c r="AY299" i="1" s="1"/>
  <c r="AY300" i="1" a="1"/>
  <c r="AY300" i="1" s="1"/>
  <c r="AY301" i="1" a="1"/>
  <c r="AY301" i="1" s="1"/>
  <c r="AY302" i="1" a="1"/>
  <c r="AY302" i="1" s="1"/>
  <c r="AY303" i="1" a="1"/>
  <c r="AY303" i="1" s="1"/>
  <c r="AY304" i="1" a="1"/>
  <c r="AY304" i="1" s="1"/>
  <c r="AY305" i="1" a="1"/>
  <c r="AY305" i="1" s="1"/>
  <c r="AY306" i="1" a="1"/>
  <c r="AY306" i="1" s="1"/>
  <c r="AY307" i="1" a="1"/>
  <c r="AY307" i="1" s="1"/>
  <c r="AY308" i="1" a="1"/>
  <c r="AY308" i="1" s="1"/>
  <c r="AY309" i="1" a="1"/>
  <c r="AY309" i="1" s="1"/>
  <c r="AY310" i="1" a="1"/>
  <c r="AY310" i="1" s="1"/>
  <c r="AY312" i="1" a="1"/>
  <c r="AY312" i="1" s="1"/>
  <c r="AY313" i="1" a="1"/>
  <c r="AY313" i="1" s="1"/>
  <c r="AY314" i="1" a="1"/>
  <c r="AY314" i="1" s="1"/>
  <c r="AY315" i="1" a="1"/>
  <c r="AY315" i="1" s="1"/>
  <c r="AY316" i="1" a="1"/>
  <c r="AY316" i="1" s="1"/>
  <c r="AY317" i="1" a="1"/>
  <c r="AY317" i="1" s="1"/>
  <c r="AY318" i="1" a="1"/>
  <c r="AY318" i="1" s="1"/>
  <c r="AY319" i="1" a="1"/>
  <c r="AY319" i="1" s="1"/>
  <c r="AY320" i="1" a="1"/>
  <c r="AY320" i="1" s="1"/>
  <c r="AY321" i="1" a="1"/>
  <c r="AY321" i="1" s="1"/>
  <c r="AY322" i="1" a="1"/>
  <c r="AY322" i="1" s="1"/>
  <c r="AY323" i="1" a="1"/>
  <c r="AY323" i="1" s="1"/>
  <c r="AY324" i="1" a="1"/>
  <c r="AY324" i="1" s="1"/>
  <c r="AY325" i="1" a="1"/>
  <c r="AY325" i="1" s="1"/>
  <c r="AY327" i="1" a="1"/>
  <c r="AY327" i="1" s="1"/>
  <c r="AY328" i="1" a="1"/>
  <c r="AY328" i="1" s="1"/>
  <c r="AY329" i="1" a="1"/>
  <c r="AY329" i="1" s="1"/>
  <c r="AY330" i="1" a="1"/>
  <c r="AY330" i="1" s="1"/>
  <c r="AY331" i="1" a="1"/>
  <c r="AY331" i="1" s="1"/>
  <c r="AY332" i="1" a="1"/>
  <c r="AY332" i="1" s="1"/>
  <c r="AY333" i="1" a="1"/>
  <c r="AY333" i="1" s="1"/>
  <c r="AY334" i="1" a="1"/>
  <c r="AY334" i="1" s="1"/>
  <c r="AY335" i="1" a="1"/>
  <c r="AY335" i="1" s="1"/>
  <c r="AY336" i="1" a="1"/>
  <c r="AY336" i="1" s="1"/>
  <c r="AY337" i="1" a="1"/>
  <c r="AY337" i="1" s="1"/>
  <c r="AY338" i="1" a="1"/>
  <c r="AY338" i="1" s="1"/>
  <c r="AY339" i="1" a="1"/>
  <c r="AY339" i="1" s="1"/>
  <c r="AY340" i="1" a="1"/>
  <c r="AY340" i="1" s="1"/>
  <c r="AY341" i="1" a="1"/>
  <c r="AY341" i="1" s="1"/>
  <c r="AY342" i="1" a="1"/>
  <c r="AY342" i="1" s="1"/>
  <c r="AY343" i="1" a="1"/>
  <c r="AY343" i="1" s="1"/>
  <c r="AY344" i="1" a="1"/>
  <c r="AY344" i="1" s="1"/>
  <c r="AY345" i="1" a="1"/>
  <c r="AY345" i="1" s="1"/>
  <c r="AY346" i="1" a="1"/>
  <c r="AY346" i="1" s="1"/>
  <c r="AY347" i="1" a="1"/>
  <c r="AY347" i="1" s="1"/>
  <c r="AY348" i="1" a="1"/>
  <c r="AY348" i="1" s="1"/>
  <c r="AY349" i="1" a="1"/>
  <c r="AY349" i="1" s="1"/>
  <c r="AY350" i="1" a="1"/>
  <c r="AY350" i="1" s="1"/>
  <c r="AY351" i="1" a="1"/>
  <c r="AY351" i="1" s="1"/>
  <c r="AY353" i="1" a="1"/>
  <c r="AY353" i="1" s="1"/>
  <c r="AY354" i="1" a="1"/>
  <c r="AY354" i="1" s="1"/>
  <c r="AY355" i="1" a="1"/>
  <c r="AY355" i="1" s="1"/>
  <c r="AY356" i="1" a="1"/>
  <c r="AY356" i="1" s="1"/>
  <c r="AY357" i="1" a="1"/>
  <c r="AY357" i="1" s="1"/>
  <c r="AY358" i="1" a="1"/>
  <c r="AY358" i="1" s="1"/>
  <c r="AY359" i="1" a="1"/>
  <c r="AY359" i="1" s="1"/>
  <c r="AY360" i="1" a="1"/>
  <c r="AY360" i="1" s="1"/>
  <c r="AY361" i="1" a="1"/>
  <c r="AY361" i="1" s="1"/>
  <c r="AY363" i="1" a="1"/>
  <c r="AY363" i="1" s="1"/>
  <c r="AY364" i="1" a="1"/>
  <c r="AY364" i="1" s="1"/>
  <c r="AY365" i="1" a="1"/>
  <c r="AY365" i="1" s="1"/>
  <c r="AY366" i="1" a="1"/>
  <c r="AY366" i="1" s="1"/>
  <c r="AY367" i="1" a="1"/>
  <c r="AY367" i="1" s="1"/>
  <c r="AY368" i="1" a="1"/>
  <c r="AY368" i="1" s="1"/>
  <c r="AY369" i="1" a="1"/>
  <c r="AY369" i="1" s="1"/>
  <c r="AY370" i="1" a="1"/>
  <c r="AY370" i="1" s="1"/>
  <c r="AY371" i="1" a="1"/>
  <c r="AY371" i="1" s="1"/>
  <c r="AY372" i="1" a="1"/>
  <c r="AY372" i="1" s="1"/>
  <c r="AY373" i="1" a="1"/>
  <c r="AY373" i="1" s="1"/>
  <c r="AY374" i="1" a="1"/>
  <c r="AY374" i="1" s="1"/>
  <c r="AY375" i="1" a="1"/>
  <c r="AY375" i="1" s="1"/>
  <c r="AY376" i="1" a="1"/>
  <c r="AY376" i="1" s="1"/>
  <c r="AY377" i="1" a="1"/>
  <c r="AY377" i="1" s="1"/>
  <c r="AY378" i="1" a="1"/>
  <c r="AY378" i="1" s="1"/>
  <c r="AY379" i="1" a="1"/>
  <c r="AY379" i="1" s="1"/>
  <c r="AY380" i="1" a="1"/>
  <c r="AY380" i="1" s="1"/>
  <c r="AY381" i="1" a="1"/>
  <c r="AY381" i="1" s="1"/>
  <c r="AY382" i="1" a="1"/>
  <c r="AY382" i="1" s="1"/>
  <c r="AY394" i="1" a="1"/>
  <c r="AY394" i="1" s="1"/>
  <c r="AY395" i="1" a="1"/>
  <c r="AY395" i="1" s="1"/>
  <c r="AY396" i="1" a="1"/>
  <c r="AY396" i="1" s="1"/>
  <c r="AY397" i="1" a="1"/>
  <c r="AY397" i="1" s="1"/>
  <c r="AY398" i="1" a="1"/>
  <c r="AY398" i="1" s="1"/>
  <c r="AY399" i="1" a="1"/>
  <c r="AY399" i="1" s="1"/>
  <c r="AY400" i="1" a="1"/>
  <c r="AY400" i="1" s="1"/>
  <c r="AY401" i="1" a="1"/>
  <c r="AY401" i="1" s="1"/>
  <c r="AY402" i="1" a="1"/>
  <c r="AY402" i="1" s="1"/>
  <c r="AY403" i="1" a="1"/>
  <c r="AY403" i="1" s="1"/>
  <c r="AY404" i="1" a="1"/>
  <c r="AY404" i="1" s="1"/>
  <c r="AY405" i="1" a="1"/>
  <c r="AY405" i="1" s="1"/>
  <c r="AY406" i="1" a="1"/>
  <c r="AY406" i="1" s="1"/>
  <c r="AY407" i="1" a="1"/>
  <c r="AY407" i="1" s="1"/>
  <c r="AY408" i="1" a="1"/>
  <c r="AY408" i="1" s="1"/>
  <c r="AY409" i="1" a="1"/>
  <c r="AY409" i="1" s="1"/>
  <c r="AY410" i="1" a="1"/>
  <c r="AY410" i="1" s="1"/>
  <c r="AY411" i="1" a="1"/>
  <c r="AY411" i="1" s="1"/>
  <c r="AY412" i="1" a="1"/>
  <c r="AY412" i="1" s="1"/>
  <c r="AY413" i="1" a="1"/>
  <c r="AY413" i="1" s="1"/>
  <c r="AY414" i="1" a="1"/>
  <c r="AY414" i="1" s="1"/>
  <c r="AY415" i="1" a="1"/>
  <c r="AY415" i="1" s="1"/>
  <c r="AY416" i="1" a="1"/>
  <c r="AY416" i="1" s="1"/>
  <c r="AY417" i="1" a="1"/>
  <c r="AY417" i="1" s="1"/>
  <c r="AY418" i="1" a="1"/>
  <c r="AY418" i="1" s="1"/>
  <c r="AY419" i="1" a="1"/>
  <c r="AY419" i="1" s="1"/>
  <c r="AY420" i="1" a="1"/>
  <c r="AY420" i="1" s="1"/>
  <c r="AY422" i="1" a="1"/>
  <c r="AY422" i="1" s="1"/>
  <c r="AY423" i="1" a="1"/>
  <c r="AY423" i="1" s="1"/>
  <c r="AY424" i="1" a="1"/>
  <c r="AY424" i="1" s="1"/>
  <c r="AY425" i="1" a="1"/>
  <c r="AY425" i="1" s="1"/>
  <c r="AY426" i="1" a="1"/>
  <c r="AY426" i="1" s="1"/>
  <c r="AY427" i="1" a="1"/>
  <c r="AY427" i="1" s="1"/>
  <c r="AY428" i="1" a="1"/>
  <c r="AY428" i="1" s="1"/>
  <c r="AY429" i="1" a="1"/>
  <c r="AY429" i="1" s="1"/>
  <c r="AY430" i="1" a="1"/>
  <c r="AY430" i="1" s="1"/>
  <c r="AY431" i="1" a="1"/>
  <c r="AY431" i="1" s="1"/>
  <c r="AY432" i="1" a="1"/>
  <c r="AY432" i="1" s="1"/>
  <c r="AY433" i="1" a="1"/>
  <c r="AY433" i="1" s="1"/>
  <c r="AY434" i="1" a="1"/>
  <c r="AY434" i="1" s="1"/>
  <c r="AY435" i="1" a="1"/>
  <c r="AY435" i="1" s="1"/>
  <c r="AY436" i="1" a="1"/>
  <c r="AY436" i="1" s="1"/>
  <c r="AY437" i="1" a="1"/>
  <c r="AY437" i="1" s="1"/>
  <c r="AY438" i="1" a="1"/>
  <c r="AY438" i="1" s="1"/>
  <c r="AY439" i="1" a="1"/>
  <c r="AY439" i="1" s="1"/>
  <c r="AY440" i="1" a="1"/>
  <c r="AY440" i="1" s="1"/>
  <c r="AY443" i="1" a="1"/>
  <c r="AY443" i="1" s="1"/>
  <c r="AY444" i="1" a="1"/>
  <c r="AY444" i="1" s="1"/>
  <c r="AY445" i="1" a="1"/>
  <c r="AY445" i="1" s="1"/>
  <c r="AY446" i="1" a="1"/>
  <c r="AY446" i="1" s="1"/>
  <c r="AY447" i="1" a="1"/>
  <c r="AY447" i="1" s="1"/>
  <c r="AY448" i="1" a="1"/>
  <c r="AY448" i="1" s="1"/>
  <c r="AY450" i="1" a="1"/>
  <c r="AY450" i="1" s="1"/>
  <c r="AY452" i="1" a="1"/>
  <c r="AY452" i="1" s="1"/>
  <c r="AY453" i="1" a="1"/>
  <c r="AY453" i="1" s="1"/>
  <c r="AY454" i="1" a="1"/>
  <c r="AY454" i="1" s="1"/>
  <c r="AY456" i="1" a="1"/>
  <c r="AY456" i="1" s="1"/>
  <c r="AY459" i="1" a="1"/>
  <c r="AY459" i="1" s="1"/>
  <c r="AY460" i="1" a="1"/>
  <c r="AY460" i="1" s="1"/>
  <c r="AY461" i="1" a="1"/>
  <c r="AY461" i="1" s="1"/>
  <c r="AY464" i="1" a="1"/>
  <c r="AY464" i="1" s="1"/>
  <c r="AY466" i="1" a="1"/>
  <c r="AY466" i="1" s="1"/>
  <c r="AY468" i="1" a="1"/>
  <c r="AY468" i="1" s="1"/>
  <c r="AY470" i="1" a="1"/>
  <c r="AY470" i="1" s="1"/>
  <c r="AY472" i="1" a="1"/>
  <c r="AY472" i="1" s="1"/>
  <c r="AY474" i="1" a="1"/>
  <c r="AY474" i="1" s="1"/>
  <c r="AY475" i="1" a="1"/>
  <c r="AY475" i="1" s="1"/>
  <c r="AY477" i="1" a="1"/>
  <c r="AY477" i="1" s="1"/>
  <c r="AY481" i="1" a="1"/>
  <c r="AY481" i="1" s="1"/>
  <c r="AY482" i="1" a="1"/>
  <c r="AY482" i="1" s="1"/>
  <c r="AY484" i="1" a="1"/>
  <c r="AY484" i="1" s="1"/>
  <c r="AY488" i="1" a="1"/>
  <c r="AY488" i="1" s="1"/>
  <c r="AY489" i="1" a="1"/>
  <c r="AY489" i="1" s="1"/>
  <c r="AY491" i="1" a="1"/>
  <c r="AY491" i="1" s="1"/>
  <c r="AY493" i="1" a="1"/>
  <c r="AY493" i="1" s="1"/>
  <c r="AY495" i="1" a="1"/>
  <c r="AY495" i="1" s="1"/>
  <c r="AY496" i="1" a="1"/>
  <c r="AY496" i="1" s="1"/>
  <c r="AY498" i="1" a="1"/>
  <c r="AY498" i="1" s="1"/>
  <c r="AY500" i="1" a="1"/>
  <c r="AY500" i="1" s="1"/>
  <c r="AY502" i="1" a="1"/>
  <c r="AY502" i="1" s="1"/>
  <c r="AY503" i="1" a="1"/>
  <c r="AY503" i="1" s="1"/>
  <c r="AY504" i="1" a="1"/>
  <c r="AY504" i="1" s="1"/>
  <c r="AY507" i="1" a="1"/>
  <c r="AY507" i="1" s="1"/>
  <c r="AY509" i="1" a="1"/>
  <c r="AY509" i="1" s="1"/>
  <c r="AY510" i="1" a="1"/>
  <c r="AY510" i="1" s="1"/>
  <c r="AY514" i="1" a="1"/>
  <c r="AY514" i="1" s="1"/>
  <c r="AY516" i="1" a="1"/>
  <c r="AY516" i="1" s="1"/>
  <c r="AY517" i="1" a="1"/>
  <c r="AY517" i="1" s="1"/>
  <c r="AY520" i="1" a="1"/>
  <c r="AY520" i="1" s="1"/>
  <c r="AY523" i="1" a="1"/>
  <c r="AY523" i="1" s="1"/>
  <c r="AY524" i="1" a="1"/>
  <c r="AY524" i="1" s="1"/>
  <c r="AY525" i="1" a="1"/>
  <c r="AY525" i="1" s="1"/>
  <c r="AY528" i="1" a="1"/>
  <c r="AY528" i="1" s="1"/>
  <c r="AY530" i="1" a="1"/>
  <c r="AY530" i="1" s="1"/>
  <c r="AY532" i="1" a="1"/>
  <c r="AY532" i="1" s="1"/>
  <c r="AY534" i="1" a="1"/>
  <c r="AY534" i="1" s="1"/>
  <c r="AY536" i="1" a="1"/>
  <c r="AY536" i="1" s="1"/>
  <c r="AY538" i="1" a="1"/>
  <c r="AY538" i="1" s="1"/>
  <c r="AY539" i="1" a="1"/>
  <c r="AY539" i="1" s="1"/>
  <c r="AY540" i="1" a="1"/>
  <c r="AY540" i="1" s="1"/>
  <c r="AY541" i="1" a="1"/>
  <c r="AY541" i="1" s="1"/>
  <c r="AY542" i="1" a="1"/>
  <c r="AY542" i="1" s="1"/>
  <c r="AY546" i="1" a="1"/>
  <c r="AY546" i="1" s="1"/>
  <c r="AY547" i="1" a="1"/>
  <c r="AY547" i="1" s="1"/>
  <c r="AY548" i="1" a="1"/>
  <c r="AY548" i="1" s="1"/>
  <c r="AY551" i="1" a="1"/>
  <c r="AY551" i="1" s="1"/>
  <c r="AY553" i="1" a="1"/>
  <c r="AY553" i="1" s="1"/>
  <c r="AY554" i="1" a="1"/>
  <c r="AY554" i="1" s="1"/>
  <c r="AY557" i="1" a="1"/>
  <c r="AY557" i="1" s="1"/>
  <c r="AY559" i="1" a="1"/>
  <c r="AY559" i="1" s="1"/>
  <c r="AY560" i="1" a="1"/>
  <c r="AY560" i="1" s="1"/>
  <c r="AY564" i="1" a="1"/>
  <c r="AY564" i="1" s="1"/>
  <c r="AY566" i="1" a="1"/>
  <c r="AY566" i="1" s="1"/>
  <c r="AY570" i="1" a="1"/>
  <c r="AY570" i="1" s="1"/>
  <c r="AY572" i="1" a="1"/>
  <c r="AY572" i="1" s="1"/>
  <c r="AY574" i="1" a="1"/>
  <c r="AY574" i="1" s="1"/>
  <c r="AY577" i="1" a="1"/>
  <c r="AY577" i="1" s="1"/>
  <c r="AY578" i="1" a="1"/>
  <c r="AY578" i="1" s="1"/>
  <c r="AY579" i="1" a="1"/>
  <c r="AY579" i="1" s="1"/>
  <c r="AY580" i="1" a="1"/>
  <c r="AY580" i="1" s="1"/>
  <c r="AY582" i="1" a="1"/>
  <c r="AY582" i="1" s="1"/>
  <c r="AY584" i="1" a="1"/>
  <c r="AY584" i="1" s="1"/>
  <c r="AY586" i="1" a="1"/>
  <c r="AY586" i="1" s="1"/>
  <c r="AY587" i="1" a="1"/>
  <c r="AY587" i="1" s="1"/>
  <c r="AY589" i="1" a="1"/>
  <c r="AY589" i="1" s="1"/>
  <c r="AY593" i="1" a="1"/>
  <c r="AY593" i="1" s="1"/>
  <c r="AY595" i="1" a="1"/>
  <c r="AY595" i="1" s="1"/>
  <c r="AY597" i="1" a="1"/>
  <c r="AY597" i="1" s="1"/>
  <c r="AY599" i="1" a="1"/>
  <c r="AY599" i="1" s="1"/>
  <c r="AY601" i="1" a="1"/>
  <c r="AY601" i="1" s="1"/>
  <c r="AY602" i="1" a="1"/>
  <c r="AY602" i="1" s="1"/>
  <c r="AY603" i="1" a="1"/>
  <c r="AY603" i="1" s="1"/>
  <c r="AY604" i="1" a="1"/>
  <c r="AY604" i="1" s="1"/>
  <c r="AY605" i="1" a="1"/>
  <c r="AY605" i="1" s="1"/>
  <c r="AY610" i="1" a="1"/>
  <c r="AY610" i="1" s="1"/>
  <c r="AY611" i="1" a="1"/>
  <c r="AY611" i="1" s="1"/>
  <c r="AY612" i="1" a="1"/>
  <c r="AY612" i="1" s="1"/>
  <c r="AY613" i="1" a="1"/>
  <c r="AY613" i="1" s="1"/>
  <c r="AY619" i="1" a="1"/>
  <c r="AY619" i="1" s="1"/>
  <c r="AY620" i="1" a="1"/>
  <c r="AY620" i="1" s="1"/>
  <c r="AY621" i="1" a="1"/>
  <c r="AY621" i="1" s="1"/>
  <c r="AY622" i="1" a="1"/>
  <c r="AY622" i="1" s="1"/>
  <c r="AY625" i="1" a="1"/>
  <c r="AY625" i="1" s="1"/>
  <c r="AY627" i="1" a="1"/>
  <c r="AY627" i="1" s="1"/>
  <c r="AY628" i="1" a="1"/>
  <c r="AY628" i="1" s="1"/>
  <c r="AY631" i="1" a="1"/>
  <c r="AY631" i="1" s="1"/>
  <c r="AY634" i="1" a="1"/>
  <c r="AY634" i="1" s="1"/>
  <c r="AY635" i="1" a="1"/>
  <c r="AY635" i="1" s="1"/>
  <c r="AY637" i="1" a="1"/>
  <c r="AY637" i="1" s="1"/>
  <c r="AY638" i="1" a="1"/>
  <c r="AY638" i="1" s="1"/>
  <c r="AY639" i="1" a="1"/>
  <c r="AY639" i="1" s="1"/>
  <c r="AY641" i="1" a="1"/>
  <c r="AY641" i="1" s="1"/>
  <c r="AY642" i="1" a="1"/>
  <c r="AY642" i="1" s="1"/>
  <c r="AY644" i="1" a="1"/>
  <c r="AY644" i="1" s="1"/>
  <c r="AY645" i="1" a="1"/>
  <c r="AY645" i="1" s="1"/>
  <c r="AY646" i="1" a="1"/>
  <c r="AY646" i="1" s="1"/>
  <c r="AY647" i="1" a="1"/>
  <c r="AY647" i="1" s="1"/>
  <c r="AY650" i="1" a="1"/>
  <c r="AY650" i="1" s="1"/>
  <c r="AY652" i="1" a="1"/>
  <c r="AY652" i="1" s="1"/>
  <c r="AY653" i="1" a="1"/>
  <c r="AY653" i="1" s="1"/>
  <c r="AY654" i="1" a="1"/>
  <c r="AY654" i="1" s="1"/>
  <c r="AY655" i="1" a="1"/>
  <c r="AY655" i="1" s="1"/>
  <c r="AY657" i="1" a="1"/>
  <c r="AY657" i="1" s="1"/>
  <c r="AY659" i="1" a="1"/>
  <c r="AY659" i="1" s="1"/>
  <c r="AY660" i="1" a="1"/>
  <c r="AY660" i="1" s="1"/>
  <c r="AY661" i="1" a="1"/>
  <c r="AY661" i="1" s="1"/>
  <c r="AY663" i="1" a="1"/>
  <c r="AY663" i="1" s="1"/>
  <c r="AY665" i="1" a="1"/>
  <c r="AY665" i="1" s="1"/>
  <c r="AY666" i="1" a="1"/>
  <c r="AY666" i="1" s="1"/>
  <c r="AY667" i="1" a="1"/>
  <c r="AY667" i="1" s="1"/>
  <c r="AY669" i="1" a="1"/>
  <c r="AY669" i="1" s="1"/>
  <c r="AY671" i="1" a="1"/>
  <c r="AY671" i="1" s="1"/>
  <c r="AZ3" i="1" a="1"/>
  <c r="AZ3" i="1" s="1"/>
  <c r="AY3" i="1" s="1" a="1"/>
  <c r="AY3" i="1" s="1"/>
  <c r="AZ4" i="1" a="1"/>
  <c r="AZ4" i="1" s="1"/>
  <c r="AY4" i="1" s="1" a="1"/>
  <c r="AY4" i="1" s="1"/>
  <c r="AZ5" i="1" a="1"/>
  <c r="AZ5" i="1" s="1"/>
  <c r="AY5" i="1" s="1" a="1"/>
  <c r="AY5" i="1" s="1"/>
  <c r="AZ6" i="1" a="1"/>
  <c r="AZ6" i="1" s="1"/>
  <c r="AY6" i="1" s="1" a="1"/>
  <c r="AY6" i="1" s="1"/>
  <c r="AZ7" i="1" a="1"/>
  <c r="AZ7" i="1" s="1"/>
  <c r="AY7" i="1" s="1" a="1"/>
  <c r="AY7" i="1" s="1"/>
  <c r="AZ8" i="1" a="1"/>
  <c r="AZ8" i="1" s="1"/>
  <c r="AY8" i="1" s="1" a="1"/>
  <c r="AY8" i="1" s="1"/>
  <c r="AZ9" i="1" a="1"/>
  <c r="AZ9" i="1" s="1"/>
  <c r="AY9" i="1" s="1" a="1"/>
  <c r="AY9" i="1" s="1"/>
  <c r="AZ10" i="1" a="1"/>
  <c r="AZ10" i="1" s="1"/>
  <c r="AY10" i="1" s="1" a="1"/>
  <c r="AY10" i="1" s="1"/>
  <c r="AZ11" i="1" a="1"/>
  <c r="AZ11" i="1" s="1"/>
  <c r="AY11" i="1" s="1" a="1"/>
  <c r="AY11" i="1" s="1"/>
  <c r="AZ12" i="1" a="1"/>
  <c r="AZ12" i="1" s="1"/>
  <c r="AY12" i="1" s="1" a="1"/>
  <c r="AY12" i="1" s="1"/>
  <c r="AZ13" i="1" a="1"/>
  <c r="AZ13" i="1" s="1"/>
  <c r="AY13" i="1" s="1" a="1"/>
  <c r="AY13" i="1" s="1"/>
  <c r="AZ14" i="1" a="1"/>
  <c r="AZ14" i="1" s="1"/>
  <c r="AY14" i="1" s="1" a="1"/>
  <c r="AY14" i="1" s="1"/>
  <c r="AZ15" i="1" a="1"/>
  <c r="AZ15" i="1" s="1"/>
  <c r="AY15" i="1" s="1" a="1"/>
  <c r="AY15" i="1" s="1"/>
  <c r="AZ16" i="1" a="1"/>
  <c r="AZ16" i="1" s="1"/>
  <c r="AY16" i="1" s="1" a="1"/>
  <c r="AY16" i="1" s="1"/>
  <c r="AZ17" i="1" a="1"/>
  <c r="AZ17" i="1" s="1"/>
  <c r="AY17" i="1" s="1" a="1"/>
  <c r="AY17" i="1" s="1"/>
  <c r="AZ18" i="1" a="1"/>
  <c r="AZ18" i="1" s="1"/>
  <c r="AY18" i="1" s="1" a="1"/>
  <c r="AY18" i="1" s="1"/>
  <c r="AZ19" i="1" a="1"/>
  <c r="AZ19" i="1" s="1"/>
  <c r="AY19" i="1" s="1" a="1"/>
  <c r="AY19" i="1" s="1"/>
  <c r="AZ20" i="1" a="1"/>
  <c r="AZ20" i="1" s="1"/>
  <c r="AY20" i="1" s="1" a="1"/>
  <c r="AY20" i="1" s="1"/>
  <c r="AZ21" i="1" a="1"/>
  <c r="AZ21" i="1" s="1"/>
  <c r="AY21" i="1" s="1" a="1"/>
  <c r="AY21" i="1" s="1"/>
  <c r="AZ22" i="1" a="1"/>
  <c r="AZ22" i="1" s="1"/>
  <c r="AY22" i="1" s="1" a="1"/>
  <c r="AY22" i="1" s="1"/>
  <c r="AZ23" i="1" a="1"/>
  <c r="AZ23" i="1" s="1"/>
  <c r="AY23" i="1" s="1" a="1"/>
  <c r="AY23" i="1" s="1"/>
  <c r="AZ24" i="1" a="1"/>
  <c r="AZ24" i="1" s="1"/>
  <c r="AY24" i="1" s="1" a="1"/>
  <c r="AY24" i="1" s="1"/>
  <c r="AZ25" i="1" a="1"/>
  <c r="AZ25" i="1" s="1"/>
  <c r="AY25" i="1" s="1" a="1"/>
  <c r="AY25" i="1" s="1"/>
  <c r="AZ26" i="1" a="1"/>
  <c r="AZ26" i="1" s="1"/>
  <c r="AY26" i="1" s="1" a="1"/>
  <c r="AY26" i="1" s="1"/>
  <c r="AZ27" i="1" a="1"/>
  <c r="AZ27" i="1" s="1"/>
  <c r="AY27" i="1" s="1" a="1"/>
  <c r="AY27" i="1" s="1"/>
  <c r="AZ28" i="1" a="1"/>
  <c r="AZ28" i="1" s="1"/>
  <c r="AY28" i="1" s="1" a="1"/>
  <c r="AY28" i="1" s="1"/>
  <c r="AZ29" i="1" a="1"/>
  <c r="AZ29" i="1" s="1"/>
  <c r="AY29" i="1" s="1" a="1"/>
  <c r="AY29" i="1" s="1"/>
  <c r="AZ30" i="1" a="1"/>
  <c r="AZ30" i="1" s="1"/>
  <c r="AY30" i="1" s="1" a="1"/>
  <c r="AY30" i="1" s="1"/>
  <c r="AZ31" i="1" a="1"/>
  <c r="AZ31" i="1" s="1"/>
  <c r="AY31" i="1" s="1" a="1"/>
  <c r="AY31" i="1" s="1"/>
  <c r="AZ32" i="1" a="1"/>
  <c r="AZ32" i="1" s="1"/>
  <c r="AY32" i="1" s="1" a="1"/>
  <c r="AY32" i="1" s="1"/>
  <c r="AZ33" i="1" a="1"/>
  <c r="AZ33" i="1" s="1"/>
  <c r="AY33" i="1" s="1" a="1"/>
  <c r="AY33" i="1" s="1"/>
  <c r="AZ34" i="1" a="1"/>
  <c r="AZ34" i="1" s="1"/>
  <c r="AY34" i="1" s="1" a="1"/>
  <c r="AY34" i="1" s="1"/>
  <c r="AZ35" i="1" a="1"/>
  <c r="AZ35" i="1" s="1"/>
  <c r="AY35" i="1" s="1" a="1"/>
  <c r="AY35" i="1" s="1"/>
  <c r="AZ36" i="1" a="1"/>
  <c r="AZ36" i="1" s="1"/>
  <c r="AY36" i="1" s="1" a="1"/>
  <c r="AY36" i="1" s="1"/>
  <c r="AZ37" i="1" a="1"/>
  <c r="AZ37" i="1" s="1"/>
  <c r="AY37" i="1" s="1" a="1"/>
  <c r="AY37" i="1" s="1"/>
  <c r="AZ38" i="1" a="1"/>
  <c r="AZ38" i="1" s="1"/>
  <c r="AY38" i="1" s="1" a="1"/>
  <c r="AY38" i="1" s="1"/>
  <c r="AZ39" i="1" a="1"/>
  <c r="AZ39" i="1" s="1"/>
  <c r="AY39" i="1" s="1" a="1"/>
  <c r="AY39" i="1" s="1"/>
  <c r="AZ40" i="1" a="1"/>
  <c r="AZ40" i="1" s="1"/>
  <c r="AY40" i="1" s="1" a="1"/>
  <c r="AY40" i="1" s="1"/>
  <c r="AZ41" i="1" a="1"/>
  <c r="AZ41" i="1" s="1"/>
  <c r="AY41" i="1" s="1" a="1"/>
  <c r="AY41" i="1" s="1"/>
  <c r="AZ42" i="1" a="1"/>
  <c r="AZ42" i="1" s="1"/>
  <c r="AY42" i="1" s="1" a="1"/>
  <c r="AY42" i="1" s="1"/>
  <c r="AZ43" i="1" a="1"/>
  <c r="AZ43" i="1" s="1"/>
  <c r="AY43" i="1" s="1" a="1"/>
  <c r="AY43" i="1" s="1"/>
  <c r="AZ44" i="1" a="1"/>
  <c r="AZ44" i="1" s="1"/>
  <c r="AY44" i="1" s="1" a="1"/>
  <c r="AY44" i="1" s="1"/>
  <c r="AZ45" i="1" a="1"/>
  <c r="AZ45" i="1" s="1"/>
  <c r="AY45" i="1" s="1" a="1"/>
  <c r="AY45" i="1" s="1"/>
  <c r="AZ46" i="1" a="1"/>
  <c r="AZ46" i="1" s="1"/>
  <c r="AY46" i="1" s="1" a="1"/>
  <c r="AY46" i="1" s="1"/>
  <c r="AZ47" i="1" a="1"/>
  <c r="AZ47" i="1" s="1"/>
  <c r="AY47" i="1" s="1" a="1"/>
  <c r="AY47" i="1" s="1"/>
  <c r="AZ48" i="1" a="1"/>
  <c r="AZ48" i="1" s="1"/>
  <c r="AY48" i="1" s="1" a="1"/>
  <c r="AY48" i="1" s="1"/>
  <c r="AZ49" i="1" a="1"/>
  <c r="AZ49" i="1" s="1"/>
  <c r="AY49" i="1" s="1" a="1"/>
  <c r="AY49" i="1" s="1"/>
  <c r="AZ50" i="1" a="1"/>
  <c r="AZ50" i="1" s="1"/>
  <c r="AY50" i="1" s="1" a="1"/>
  <c r="AY50" i="1" s="1"/>
  <c r="AZ51" i="1" a="1"/>
  <c r="AZ51" i="1" s="1"/>
  <c r="AY51" i="1" s="1" a="1"/>
  <c r="AY51" i="1" s="1"/>
  <c r="AZ52" i="1" a="1"/>
  <c r="AZ52" i="1" s="1"/>
  <c r="AY52" i="1" s="1" a="1"/>
  <c r="AY52" i="1" s="1"/>
  <c r="AZ53" i="1" a="1"/>
  <c r="AZ53" i="1" s="1"/>
  <c r="AY53" i="1" s="1" a="1"/>
  <c r="AY53" i="1" s="1"/>
  <c r="AZ54" i="1" a="1"/>
  <c r="AZ54" i="1" s="1"/>
  <c r="AY54" i="1" s="1" a="1"/>
  <c r="AY54" i="1" s="1"/>
  <c r="AZ55" i="1" a="1"/>
  <c r="AZ55" i="1" s="1"/>
  <c r="AY55" i="1" s="1" a="1"/>
  <c r="AY55" i="1" s="1"/>
  <c r="AZ56" i="1" a="1"/>
  <c r="AZ56" i="1" s="1"/>
  <c r="AY56" i="1" s="1" a="1"/>
  <c r="AY56" i="1" s="1"/>
  <c r="AZ57" i="1" a="1"/>
  <c r="AZ57" i="1" s="1"/>
  <c r="AY57" i="1" s="1" a="1"/>
  <c r="AY57" i="1" s="1"/>
  <c r="AZ58" i="1" a="1"/>
  <c r="AZ58" i="1" s="1"/>
  <c r="AY58" i="1" s="1" a="1"/>
  <c r="AY58" i="1" s="1"/>
  <c r="AZ59" i="1" a="1"/>
  <c r="AZ59" i="1" s="1"/>
  <c r="AY59" i="1" s="1" a="1"/>
  <c r="AY59" i="1" s="1"/>
  <c r="AZ60" i="1" a="1"/>
  <c r="AZ60" i="1" s="1"/>
  <c r="AY60" i="1" s="1" a="1"/>
  <c r="AY60" i="1" s="1"/>
  <c r="AZ61" i="1" a="1"/>
  <c r="AZ61" i="1" s="1"/>
  <c r="AY61" i="1" s="1" a="1"/>
  <c r="AY61" i="1" s="1"/>
  <c r="AZ62" i="1" a="1"/>
  <c r="AZ62" i="1" s="1"/>
  <c r="AY62" i="1" s="1" a="1"/>
  <c r="AY62" i="1" s="1"/>
  <c r="AZ63" i="1" a="1"/>
  <c r="AZ63" i="1" s="1"/>
  <c r="AY63" i="1" s="1" a="1"/>
  <c r="AY63" i="1" s="1"/>
  <c r="AZ64" i="1" a="1"/>
  <c r="AZ64" i="1" s="1"/>
  <c r="AY64" i="1" s="1" a="1"/>
  <c r="AY64" i="1" s="1"/>
  <c r="AZ65" i="1" a="1"/>
  <c r="AZ65" i="1" s="1"/>
  <c r="AY65" i="1" s="1" a="1"/>
  <c r="AY65" i="1" s="1"/>
  <c r="AZ66" i="1" a="1"/>
  <c r="AZ66" i="1" s="1"/>
  <c r="AY66" i="1" s="1" a="1"/>
  <c r="AY66" i="1" s="1"/>
  <c r="AZ67" i="1" a="1"/>
  <c r="AZ67" i="1" s="1"/>
  <c r="AY67" i="1" s="1" a="1"/>
  <c r="AY67" i="1" s="1"/>
  <c r="AZ68" i="1" a="1"/>
  <c r="AZ68" i="1" s="1"/>
  <c r="AY68" i="1" s="1" a="1"/>
  <c r="AY68" i="1" s="1"/>
  <c r="AZ69" i="1" a="1"/>
  <c r="AZ69" i="1" s="1"/>
  <c r="AY69" i="1" s="1" a="1"/>
  <c r="AY69" i="1" s="1"/>
  <c r="AZ70" i="1" a="1"/>
  <c r="AZ70" i="1" s="1"/>
  <c r="AY70" i="1" s="1" a="1"/>
  <c r="AY70" i="1" s="1"/>
  <c r="AZ71" i="1" a="1"/>
  <c r="AZ71" i="1" s="1"/>
  <c r="AY71" i="1" s="1" a="1"/>
  <c r="AY71" i="1" s="1"/>
  <c r="AZ72" i="1" a="1"/>
  <c r="AZ72" i="1" s="1"/>
  <c r="AY72" i="1" s="1" a="1"/>
  <c r="AY72" i="1" s="1"/>
  <c r="AZ73" i="1" a="1"/>
  <c r="AZ73" i="1" s="1"/>
  <c r="AY73" i="1" s="1" a="1"/>
  <c r="AY73" i="1" s="1"/>
  <c r="AZ74" i="1" a="1"/>
  <c r="AZ74" i="1" s="1"/>
  <c r="AY74" i="1" s="1" a="1"/>
  <c r="AY74" i="1" s="1"/>
  <c r="AZ75" i="1" a="1"/>
  <c r="AZ75" i="1" s="1"/>
  <c r="AY75" i="1" s="1" a="1"/>
  <c r="AY75" i="1" s="1"/>
  <c r="AZ76" i="1" a="1"/>
  <c r="AZ76" i="1" s="1"/>
  <c r="AY76" i="1" s="1" a="1"/>
  <c r="AY76" i="1" s="1"/>
  <c r="AZ77" i="1" a="1"/>
  <c r="AZ77" i="1" s="1"/>
  <c r="AY77" i="1" s="1" a="1"/>
  <c r="AY77" i="1" s="1"/>
  <c r="AZ78" i="1" a="1"/>
  <c r="AZ78" i="1" s="1"/>
  <c r="AY78" i="1" s="1" a="1"/>
  <c r="AY78" i="1" s="1"/>
  <c r="AZ79" i="1" a="1"/>
  <c r="AZ79" i="1" s="1"/>
  <c r="AY79" i="1" s="1" a="1"/>
  <c r="AY79" i="1" s="1"/>
  <c r="AZ80" i="1" a="1"/>
  <c r="AZ80" i="1" s="1"/>
  <c r="AY80" i="1" s="1" a="1"/>
  <c r="AY80" i="1" s="1"/>
  <c r="AZ81" i="1" a="1"/>
  <c r="AZ81" i="1" s="1"/>
  <c r="AY81" i="1" s="1" a="1"/>
  <c r="AY81" i="1" s="1"/>
  <c r="AZ82" i="1" a="1"/>
  <c r="AZ82" i="1" s="1"/>
  <c r="AY82" i="1" s="1" a="1"/>
  <c r="AY82" i="1" s="1"/>
  <c r="AZ83" i="1" a="1"/>
  <c r="AZ83" i="1" s="1"/>
  <c r="AY83" i="1" s="1" a="1"/>
  <c r="AY83" i="1" s="1"/>
  <c r="AZ84" i="1" a="1"/>
  <c r="AZ84" i="1" s="1"/>
  <c r="AY84" i="1" s="1" a="1"/>
  <c r="AY84" i="1" s="1"/>
  <c r="AZ85" i="1" a="1"/>
  <c r="AZ85" i="1" s="1"/>
  <c r="AY85" i="1" s="1" a="1"/>
  <c r="AY85" i="1" s="1"/>
  <c r="AZ86" i="1" a="1"/>
  <c r="AZ86" i="1" s="1"/>
  <c r="AY86" i="1" s="1" a="1"/>
  <c r="AY86" i="1" s="1"/>
  <c r="AZ87" i="1" a="1"/>
  <c r="AZ87" i="1" s="1"/>
  <c r="AY87" i="1" s="1" a="1"/>
  <c r="AY87" i="1" s="1"/>
  <c r="AZ88" i="1" a="1"/>
  <c r="AZ88" i="1" s="1"/>
  <c r="AY88" i="1" s="1" a="1"/>
  <c r="AY88" i="1" s="1"/>
  <c r="AZ89" i="1" a="1"/>
  <c r="AZ89" i="1" s="1"/>
  <c r="AY89" i="1" s="1" a="1"/>
  <c r="AY89" i="1" s="1"/>
  <c r="AZ90" i="1" a="1"/>
  <c r="AZ90" i="1" s="1"/>
  <c r="AY90" i="1" s="1" a="1"/>
  <c r="AY90" i="1" s="1"/>
  <c r="AZ91" i="1" a="1"/>
  <c r="AZ91" i="1" s="1"/>
  <c r="AY91" i="1" s="1" a="1"/>
  <c r="AY91" i="1" s="1"/>
  <c r="AZ92" i="1" a="1"/>
  <c r="AZ92" i="1" s="1"/>
  <c r="AY92" i="1" s="1" a="1"/>
  <c r="AY92" i="1" s="1"/>
  <c r="AZ93" i="1" a="1"/>
  <c r="AZ93" i="1" s="1"/>
  <c r="AY93" i="1" s="1" a="1"/>
  <c r="AY93" i="1" s="1"/>
  <c r="AZ94" i="1" a="1"/>
  <c r="AZ94" i="1" s="1"/>
  <c r="AY94" i="1" s="1" a="1"/>
  <c r="AY94" i="1" s="1"/>
  <c r="AZ95" i="1" a="1"/>
  <c r="AZ95" i="1" s="1"/>
  <c r="AY95" i="1" s="1" a="1"/>
  <c r="AY95" i="1" s="1"/>
  <c r="AZ96" i="1" a="1"/>
  <c r="AZ96" i="1" s="1"/>
  <c r="AY96" i="1" s="1" a="1"/>
  <c r="AY96" i="1" s="1"/>
  <c r="AZ97" i="1" a="1"/>
  <c r="AZ97" i="1" s="1"/>
  <c r="AY97" i="1" s="1" a="1"/>
  <c r="AY97" i="1" s="1"/>
  <c r="AZ98" i="1" a="1"/>
  <c r="AZ98" i="1" s="1"/>
  <c r="AY98" i="1" s="1" a="1"/>
  <c r="AY98" i="1" s="1"/>
  <c r="AZ99" i="1" a="1"/>
  <c r="AZ99" i="1" s="1"/>
  <c r="AY99" i="1" s="1" a="1"/>
  <c r="AY99" i="1" s="1"/>
  <c r="AZ100" i="1" a="1"/>
  <c r="AZ100" i="1" s="1"/>
  <c r="AY100" i="1" s="1" a="1"/>
  <c r="AY100" i="1" s="1"/>
  <c r="AZ101" i="1" a="1"/>
  <c r="AZ101" i="1" s="1"/>
  <c r="AY101" i="1" s="1" a="1"/>
  <c r="AY101" i="1" s="1"/>
  <c r="AZ102" i="1" a="1"/>
  <c r="AZ102" i="1" s="1"/>
  <c r="AY102" i="1" s="1" a="1"/>
  <c r="AY102" i="1" s="1"/>
  <c r="AZ103" i="1" a="1"/>
  <c r="AZ103" i="1" s="1"/>
  <c r="AY103" i="1" s="1" a="1"/>
  <c r="AY103" i="1" s="1"/>
  <c r="AZ104" i="1" a="1"/>
  <c r="AZ104" i="1" s="1"/>
  <c r="AY104" i="1" s="1" a="1"/>
  <c r="AY104" i="1" s="1"/>
  <c r="AZ105" i="1" a="1"/>
  <c r="AZ105" i="1" s="1"/>
  <c r="AY105" i="1" s="1" a="1"/>
  <c r="AY105" i="1" s="1"/>
  <c r="AZ106" i="1" a="1"/>
  <c r="AZ106" i="1" s="1"/>
  <c r="AY106" i="1" s="1" a="1"/>
  <c r="AY106" i="1" s="1"/>
  <c r="AZ107" i="1" a="1"/>
  <c r="AZ107" i="1" s="1"/>
  <c r="AY107" i="1" s="1" a="1"/>
  <c r="AY107" i="1" s="1"/>
  <c r="AZ108" i="1" a="1"/>
  <c r="AZ108" i="1" s="1"/>
  <c r="AY108" i="1" s="1" a="1"/>
  <c r="AY108" i="1" s="1"/>
  <c r="AZ109" i="1" a="1"/>
  <c r="AZ109" i="1" s="1"/>
  <c r="AY109" i="1" s="1" a="1"/>
  <c r="AY109" i="1" s="1"/>
  <c r="AZ110" i="1" a="1"/>
  <c r="AZ110" i="1" s="1"/>
  <c r="AY110" i="1" s="1" a="1"/>
  <c r="AY110" i="1" s="1"/>
  <c r="AZ111" i="1" a="1"/>
  <c r="AZ111" i="1" s="1"/>
  <c r="AY111" i="1" s="1" a="1"/>
  <c r="AY111" i="1" s="1"/>
  <c r="AZ112" i="1" a="1"/>
  <c r="AZ112" i="1" s="1"/>
  <c r="AY112" i="1" s="1" a="1"/>
  <c r="AY112" i="1" s="1"/>
  <c r="AZ113" i="1" a="1"/>
  <c r="AZ113" i="1" s="1"/>
  <c r="AY113" i="1" s="1" a="1"/>
  <c r="AY113" i="1" s="1"/>
  <c r="AZ114" i="1" a="1"/>
  <c r="AZ114" i="1" s="1"/>
  <c r="AY114" i="1" s="1" a="1"/>
  <c r="AY114" i="1" s="1"/>
  <c r="AZ115" i="1" a="1"/>
  <c r="AZ115" i="1" s="1"/>
  <c r="AY115" i="1" s="1" a="1"/>
  <c r="AY115" i="1" s="1"/>
  <c r="AZ116" i="1" a="1"/>
  <c r="AZ116" i="1" s="1"/>
  <c r="AY116" i="1" s="1" a="1"/>
  <c r="AY116" i="1" s="1"/>
  <c r="AZ117" i="1" a="1"/>
  <c r="AZ117" i="1" s="1"/>
  <c r="AY117" i="1" s="1" a="1"/>
  <c r="AY117" i="1" s="1"/>
  <c r="AZ118" i="1" a="1"/>
  <c r="AZ118" i="1" s="1"/>
  <c r="AY118" i="1" s="1" a="1"/>
  <c r="AY118" i="1" s="1"/>
  <c r="AZ119" i="1" a="1"/>
  <c r="AZ119" i="1" s="1"/>
  <c r="AY119" i="1" s="1" a="1"/>
  <c r="AY119" i="1" s="1"/>
  <c r="AZ120" i="1" a="1"/>
  <c r="AZ120" i="1" s="1"/>
  <c r="AY120" i="1" s="1" a="1"/>
  <c r="AY120" i="1" s="1"/>
  <c r="AZ121" i="1" a="1"/>
  <c r="AZ121" i="1" s="1"/>
  <c r="AY121" i="1" s="1" a="1"/>
  <c r="AY121" i="1" s="1"/>
  <c r="AZ122" i="1" a="1"/>
  <c r="AZ122" i="1" s="1"/>
  <c r="AY122" i="1" s="1" a="1"/>
  <c r="AY122" i="1" s="1"/>
  <c r="AZ123" i="1" a="1"/>
  <c r="AZ123" i="1" s="1"/>
  <c r="AY123" i="1" s="1" a="1"/>
  <c r="AY123" i="1" s="1"/>
  <c r="AZ124" i="1" a="1"/>
  <c r="AZ124" i="1" s="1"/>
  <c r="AY124" i="1" s="1" a="1"/>
  <c r="AY124" i="1" s="1"/>
  <c r="AZ125" i="1" a="1"/>
  <c r="AZ125" i="1" s="1"/>
  <c r="AY125" i="1" s="1" a="1"/>
  <c r="AY125" i="1" s="1"/>
  <c r="AZ126" i="1" a="1"/>
  <c r="AZ126" i="1" s="1"/>
  <c r="AY126" i="1" s="1" a="1"/>
  <c r="AY126" i="1" s="1"/>
  <c r="AZ127" i="1" a="1"/>
  <c r="AZ127" i="1" s="1"/>
  <c r="AY127" i="1" s="1" a="1"/>
  <c r="AY127" i="1" s="1"/>
  <c r="AZ128" i="1" a="1"/>
  <c r="AZ128" i="1" s="1"/>
  <c r="AY128" i="1" s="1" a="1"/>
  <c r="AY128" i="1" s="1"/>
  <c r="AZ129" i="1" a="1"/>
  <c r="AZ129" i="1" s="1"/>
  <c r="AY129" i="1" s="1" a="1"/>
  <c r="AY129" i="1" s="1"/>
  <c r="AZ130" i="1" a="1"/>
  <c r="AZ130" i="1" s="1"/>
  <c r="AY130" i="1" s="1" a="1"/>
  <c r="AY130" i="1" s="1"/>
  <c r="AZ131" i="1" a="1"/>
  <c r="AZ131" i="1" s="1"/>
  <c r="AY131" i="1" s="1" a="1"/>
  <c r="AY131" i="1" s="1"/>
  <c r="AZ132" i="1" a="1"/>
  <c r="AZ132" i="1" s="1"/>
  <c r="AY132" i="1" s="1" a="1"/>
  <c r="AY132" i="1" s="1"/>
  <c r="AZ133" i="1" a="1"/>
  <c r="AZ133" i="1" s="1"/>
  <c r="AY133" i="1" s="1" a="1"/>
  <c r="AY133" i="1" s="1"/>
  <c r="AZ134" i="1" a="1"/>
  <c r="AZ134" i="1" s="1"/>
  <c r="AY134" i="1" s="1" a="1"/>
  <c r="AY134" i="1" s="1"/>
  <c r="AZ135" i="1" a="1"/>
  <c r="AZ135" i="1" s="1"/>
  <c r="AY135" i="1" s="1" a="1"/>
  <c r="AY135" i="1" s="1"/>
  <c r="AZ136" i="1" a="1"/>
  <c r="AZ136" i="1" s="1"/>
  <c r="AY136" i="1" s="1" a="1"/>
  <c r="AY136" i="1" s="1"/>
  <c r="AZ137" i="1" a="1"/>
  <c r="AZ137" i="1" s="1"/>
  <c r="AY137" i="1" s="1" a="1"/>
  <c r="AY137" i="1" s="1"/>
  <c r="AZ138" i="1" a="1"/>
  <c r="AZ138" i="1" s="1"/>
  <c r="AY138" i="1" s="1" a="1"/>
  <c r="AY138" i="1" s="1"/>
  <c r="AZ139" i="1" a="1"/>
  <c r="AZ139" i="1" s="1"/>
  <c r="AY139" i="1" s="1" a="1"/>
  <c r="AY139" i="1" s="1"/>
  <c r="AZ140" i="1" a="1"/>
  <c r="AZ140" i="1" s="1"/>
  <c r="AY140" i="1" s="1" a="1"/>
  <c r="AY140" i="1" s="1"/>
  <c r="AZ141" i="1" a="1"/>
  <c r="AZ141" i="1" s="1"/>
  <c r="AY141" i="1" s="1" a="1"/>
  <c r="AY141" i="1" s="1"/>
  <c r="AZ142" i="1" a="1"/>
  <c r="AZ142" i="1" s="1"/>
  <c r="AY142" i="1" s="1" a="1"/>
  <c r="AY142" i="1" s="1"/>
  <c r="AZ143" i="1" a="1"/>
  <c r="AZ143" i="1" s="1"/>
  <c r="AY143" i="1" s="1" a="1"/>
  <c r="AY143" i="1" s="1"/>
  <c r="AZ144" i="1" a="1"/>
  <c r="AZ144" i="1" s="1"/>
  <c r="AY144" i="1" s="1" a="1"/>
  <c r="AY144" i="1" s="1"/>
  <c r="AZ145" i="1" a="1"/>
  <c r="AZ145" i="1" s="1"/>
  <c r="AY145" i="1" s="1" a="1"/>
  <c r="AY145" i="1" s="1"/>
  <c r="AZ146" i="1" a="1"/>
  <c r="AZ146" i="1" s="1"/>
  <c r="AY146" i="1" s="1" a="1"/>
  <c r="AY146" i="1" s="1"/>
  <c r="AZ147" i="1" a="1"/>
  <c r="AZ147" i="1" s="1"/>
  <c r="AY147" i="1" s="1" a="1"/>
  <c r="AY147" i="1" s="1"/>
  <c r="AZ148" i="1" a="1"/>
  <c r="AZ148" i="1" s="1"/>
  <c r="AY148" i="1" s="1" a="1"/>
  <c r="AY148" i="1" s="1"/>
  <c r="AZ149" i="1" a="1"/>
  <c r="AZ149" i="1" s="1"/>
  <c r="AY149" i="1" s="1" a="1"/>
  <c r="AY149" i="1" s="1"/>
  <c r="AZ150" i="1" a="1"/>
  <c r="AZ150" i="1" s="1"/>
  <c r="AY150" i="1" s="1" a="1"/>
  <c r="AY150" i="1" s="1"/>
  <c r="AZ151" i="1" a="1"/>
  <c r="AZ151" i="1" s="1"/>
  <c r="AY151" i="1" s="1" a="1"/>
  <c r="AY151" i="1" s="1"/>
  <c r="AZ152" i="1" a="1"/>
  <c r="AZ152" i="1" s="1"/>
  <c r="AY152" i="1" s="1" a="1"/>
  <c r="AY152" i="1" s="1"/>
  <c r="AZ153" i="1" a="1"/>
  <c r="AZ153" i="1" s="1"/>
  <c r="AY153" i="1" s="1" a="1"/>
  <c r="AY153" i="1" s="1"/>
  <c r="AZ154" i="1" a="1"/>
  <c r="AZ154" i="1" s="1"/>
  <c r="AY154" i="1" s="1" a="1"/>
  <c r="AY154" i="1" s="1"/>
  <c r="AZ155" i="1" a="1"/>
  <c r="AZ155" i="1" s="1"/>
  <c r="AY155" i="1" s="1" a="1"/>
  <c r="AY155" i="1" s="1"/>
  <c r="AZ156" i="1" a="1"/>
  <c r="AZ156" i="1" s="1"/>
  <c r="AY156" i="1" s="1" a="1"/>
  <c r="AY156" i="1" s="1"/>
  <c r="AZ157" i="1" a="1"/>
  <c r="AZ157" i="1" s="1"/>
  <c r="AY157" i="1" s="1" a="1"/>
  <c r="AY157" i="1" s="1"/>
  <c r="AZ158" i="1" a="1"/>
  <c r="AZ158" i="1" s="1"/>
  <c r="AY158" i="1" s="1" a="1"/>
  <c r="AY158" i="1" s="1"/>
  <c r="AZ159" i="1" a="1"/>
  <c r="AZ159" i="1" s="1"/>
  <c r="AY159" i="1" s="1" a="1"/>
  <c r="AY159" i="1" s="1"/>
  <c r="AZ160" i="1" a="1"/>
  <c r="AZ160" i="1" s="1"/>
  <c r="AY160" i="1" s="1" a="1"/>
  <c r="AY160" i="1" s="1"/>
  <c r="AZ161" i="1" a="1"/>
  <c r="AZ161" i="1" s="1"/>
  <c r="AY161" i="1" s="1" a="1"/>
  <c r="AY161" i="1" s="1"/>
  <c r="AZ162" i="1" a="1"/>
  <c r="AZ162" i="1" s="1"/>
  <c r="AY162" i="1" s="1" a="1"/>
  <c r="AY162" i="1" s="1"/>
  <c r="AZ163" i="1" a="1"/>
  <c r="AZ163" i="1" s="1"/>
  <c r="AY163" i="1" s="1" a="1"/>
  <c r="AY163" i="1" s="1"/>
  <c r="AZ164" i="1" a="1"/>
  <c r="AZ164" i="1" s="1"/>
  <c r="AY164" i="1" s="1" a="1"/>
  <c r="AY164" i="1" s="1"/>
  <c r="AZ165" i="1" a="1"/>
  <c r="AZ165" i="1" s="1"/>
  <c r="AY165" i="1" s="1" a="1"/>
  <c r="AY165" i="1" s="1"/>
  <c r="AZ166" i="1" a="1"/>
  <c r="AZ166" i="1" s="1"/>
  <c r="AY166" i="1" s="1" a="1"/>
  <c r="AY166" i="1" s="1"/>
  <c r="AZ167" i="1" a="1"/>
  <c r="AZ167" i="1" s="1"/>
  <c r="AY167" i="1" s="1" a="1"/>
  <c r="AY167" i="1" s="1"/>
  <c r="AZ168" i="1" a="1"/>
  <c r="AZ168" i="1" s="1"/>
  <c r="AY168" i="1" s="1" a="1"/>
  <c r="AY168" i="1" s="1"/>
  <c r="AZ169" i="1" a="1"/>
  <c r="AZ169" i="1" s="1"/>
  <c r="AY169" i="1" s="1" a="1"/>
  <c r="AY169" i="1" s="1"/>
  <c r="AZ170" i="1" a="1"/>
  <c r="AZ170" i="1" s="1"/>
  <c r="AY170" i="1" s="1" a="1"/>
  <c r="AY170" i="1" s="1"/>
  <c r="AZ171" i="1" a="1"/>
  <c r="AZ171" i="1" s="1"/>
  <c r="AY171" i="1" s="1" a="1"/>
  <c r="AY171" i="1" s="1"/>
  <c r="AZ172" i="1" a="1"/>
  <c r="AZ172" i="1" s="1"/>
  <c r="AY172" i="1" s="1" a="1"/>
  <c r="AY172" i="1" s="1"/>
  <c r="AZ173" i="1" a="1"/>
  <c r="AZ173" i="1" s="1"/>
  <c r="AY173" i="1" s="1" a="1"/>
  <c r="AY173" i="1" s="1"/>
  <c r="AZ174" i="1" a="1"/>
  <c r="AZ174" i="1" s="1"/>
  <c r="AY174" i="1" s="1" a="1"/>
  <c r="AY174" i="1" s="1"/>
  <c r="AZ175" i="1" a="1"/>
  <c r="AZ175" i="1" s="1"/>
  <c r="AY175" i="1" s="1" a="1"/>
  <c r="AY175" i="1" s="1"/>
  <c r="AZ176" i="1" a="1"/>
  <c r="AZ176" i="1" s="1"/>
  <c r="AY176" i="1" s="1" a="1"/>
  <c r="AY176" i="1" s="1"/>
  <c r="AZ177" i="1" a="1"/>
  <c r="AZ177" i="1" s="1"/>
  <c r="AY177" i="1" s="1" a="1"/>
  <c r="AY177" i="1" s="1"/>
  <c r="AZ178" i="1" a="1"/>
  <c r="AZ178" i="1" s="1"/>
  <c r="AY178" i="1" s="1" a="1"/>
  <c r="AY178" i="1" s="1"/>
  <c r="AZ179" i="1" a="1"/>
  <c r="AZ179" i="1" s="1"/>
  <c r="AY179" i="1" s="1" a="1"/>
  <c r="AY179" i="1" s="1"/>
  <c r="AZ180" i="1" a="1"/>
  <c r="AZ180" i="1" s="1"/>
  <c r="AY180" i="1" s="1" a="1"/>
  <c r="AY180" i="1" s="1"/>
  <c r="AZ181" i="1" a="1"/>
  <c r="AZ181" i="1" s="1"/>
  <c r="AY181" i="1" s="1" a="1"/>
  <c r="AY181" i="1" s="1"/>
  <c r="AZ182" i="1" a="1"/>
  <c r="AZ182" i="1" s="1"/>
  <c r="AY182" i="1" s="1" a="1"/>
  <c r="AY182" i="1" s="1"/>
  <c r="AZ183" i="1" a="1"/>
  <c r="AZ183" i="1" s="1"/>
  <c r="AY183" i="1" s="1" a="1"/>
  <c r="AY183" i="1" s="1"/>
  <c r="AZ184" i="1" a="1"/>
  <c r="AZ184" i="1" s="1"/>
  <c r="AY184" i="1" s="1" a="1"/>
  <c r="AY184" i="1" s="1"/>
  <c r="AZ185" i="1" a="1"/>
  <c r="AZ185" i="1" s="1"/>
  <c r="AY185" i="1" s="1" a="1"/>
  <c r="AY185" i="1" s="1"/>
  <c r="AZ186" i="1" a="1"/>
  <c r="AZ186" i="1" s="1"/>
  <c r="AY186" i="1" s="1" a="1"/>
  <c r="AY186" i="1" s="1"/>
  <c r="AZ187" i="1" a="1"/>
  <c r="AZ187" i="1" s="1"/>
  <c r="AY187" i="1" s="1" a="1"/>
  <c r="AY187" i="1" s="1"/>
  <c r="AZ188" i="1" a="1"/>
  <c r="AZ188" i="1" s="1"/>
  <c r="AY188" i="1" s="1" a="1"/>
  <c r="AY188" i="1" s="1"/>
  <c r="AZ189" i="1" a="1"/>
  <c r="AZ189" i="1" s="1"/>
  <c r="AY189" i="1" s="1" a="1"/>
  <c r="AY189" i="1" s="1"/>
  <c r="AZ190" i="1" a="1"/>
  <c r="AZ190" i="1" s="1"/>
  <c r="AY190" i="1" s="1" a="1"/>
  <c r="AY190" i="1" s="1"/>
  <c r="AZ191" i="1" a="1"/>
  <c r="AZ191" i="1" s="1"/>
  <c r="AY191" i="1" s="1" a="1"/>
  <c r="AY191" i="1" s="1"/>
  <c r="AZ192" i="1" a="1"/>
  <c r="AZ192" i="1" s="1"/>
  <c r="AY192" i="1" s="1" a="1"/>
  <c r="AY192" i="1" s="1"/>
  <c r="AZ193" i="1" a="1"/>
  <c r="AZ193" i="1" s="1"/>
  <c r="AY193" i="1" s="1" a="1"/>
  <c r="AY193" i="1" s="1"/>
  <c r="AZ194" i="1" a="1"/>
  <c r="AZ194" i="1" s="1"/>
  <c r="AY194" i="1" s="1" a="1"/>
  <c r="AY194" i="1" s="1"/>
  <c r="AZ195" i="1" a="1"/>
  <c r="AZ195" i="1" s="1"/>
  <c r="AY195" i="1" s="1" a="1"/>
  <c r="AY195" i="1" s="1"/>
  <c r="AZ196" i="1" a="1"/>
  <c r="AZ196" i="1" s="1"/>
  <c r="AY196" i="1" s="1" a="1"/>
  <c r="AY196" i="1" s="1"/>
  <c r="AZ197" i="1" a="1"/>
  <c r="AZ197" i="1" s="1"/>
  <c r="AY197" i="1" s="1" a="1"/>
  <c r="AY197" i="1" s="1"/>
  <c r="AZ198" i="1" a="1"/>
  <c r="AZ198" i="1" s="1"/>
  <c r="AY198" i="1" s="1" a="1"/>
  <c r="AY198" i="1" s="1"/>
  <c r="AZ199" i="1" a="1"/>
  <c r="AZ199" i="1" s="1"/>
  <c r="AY199" i="1" s="1" a="1"/>
  <c r="AY199" i="1" s="1"/>
  <c r="AZ200" i="1" a="1"/>
  <c r="AZ200" i="1" s="1"/>
  <c r="AY200" i="1" s="1" a="1"/>
  <c r="AY200" i="1" s="1"/>
  <c r="AZ201" i="1" a="1"/>
  <c r="AZ201" i="1" s="1"/>
  <c r="AY201" i="1" s="1" a="1"/>
  <c r="AY201" i="1" s="1"/>
  <c r="AZ202" i="1" a="1"/>
  <c r="AZ202" i="1" s="1"/>
  <c r="AY202" i="1" s="1" a="1"/>
  <c r="AY202" i="1" s="1"/>
  <c r="AZ203" i="1" a="1"/>
  <c r="AZ203" i="1" s="1"/>
  <c r="AY203" i="1" s="1" a="1"/>
  <c r="AY203" i="1" s="1"/>
  <c r="AZ204" i="1" a="1"/>
  <c r="AZ204" i="1" s="1"/>
  <c r="AY204" i="1" s="1" a="1"/>
  <c r="AY204" i="1" s="1"/>
  <c r="AZ205" i="1" a="1"/>
  <c r="AZ205" i="1" s="1"/>
  <c r="AY205" i="1" s="1" a="1"/>
  <c r="AY205" i="1" s="1"/>
  <c r="AZ206" i="1" a="1"/>
  <c r="AZ206" i="1" s="1"/>
  <c r="AY206" i="1" s="1" a="1"/>
  <c r="AY206" i="1" s="1"/>
  <c r="AZ207" i="1" a="1"/>
  <c r="AZ207" i="1" s="1"/>
  <c r="AY207" i="1" s="1" a="1"/>
  <c r="AY207" i="1" s="1"/>
  <c r="AZ208" i="1" a="1"/>
  <c r="AZ208" i="1" s="1"/>
  <c r="AY208" i="1" s="1" a="1"/>
  <c r="AY208" i="1" s="1"/>
  <c r="AZ209" i="1" a="1"/>
  <c r="AZ209" i="1" s="1"/>
  <c r="AY209" i="1" s="1" a="1"/>
  <c r="AY209" i="1" s="1"/>
  <c r="AZ210" i="1" a="1"/>
  <c r="AZ210" i="1" s="1"/>
  <c r="AY210" i="1" s="1" a="1"/>
  <c r="AY210" i="1" s="1"/>
  <c r="AZ211" i="1" a="1"/>
  <c r="AZ211" i="1" s="1"/>
  <c r="AY211" i="1" s="1" a="1"/>
  <c r="AY211" i="1" s="1"/>
  <c r="AZ212" i="1" a="1"/>
  <c r="AZ212" i="1" s="1"/>
  <c r="AY212" i="1" s="1" a="1"/>
  <c r="AY212" i="1" s="1"/>
  <c r="AZ213" i="1" a="1"/>
  <c r="AZ213" i="1" s="1"/>
  <c r="AY213" i="1" s="1" a="1"/>
  <c r="AY213" i="1" s="1"/>
  <c r="AZ214" i="1" a="1"/>
  <c r="AZ214" i="1" s="1"/>
  <c r="AY214" i="1" s="1" a="1"/>
  <c r="AY214" i="1" s="1"/>
  <c r="AZ215" i="1" a="1"/>
  <c r="AZ215" i="1" s="1"/>
  <c r="AY215" i="1" s="1" a="1"/>
  <c r="AY215" i="1" s="1"/>
  <c r="AZ216" i="1" a="1"/>
  <c r="AZ216" i="1" s="1"/>
  <c r="AY216" i="1" s="1" a="1"/>
  <c r="AY216" i="1" s="1"/>
  <c r="AZ217" i="1" a="1"/>
  <c r="AZ217" i="1" s="1"/>
  <c r="AY217" i="1" s="1" a="1"/>
  <c r="AY217" i="1" s="1"/>
  <c r="AZ218" i="1" a="1"/>
  <c r="AZ218" i="1" s="1"/>
  <c r="AY218" i="1" s="1" a="1"/>
  <c r="AY218" i="1" s="1"/>
  <c r="AZ219" i="1" a="1"/>
  <c r="AZ219" i="1" s="1"/>
  <c r="AY219" i="1" s="1" a="1"/>
  <c r="AY219" i="1" s="1"/>
  <c r="AZ220" i="1" a="1"/>
  <c r="AZ220" i="1" s="1"/>
  <c r="AY220" i="1" s="1" a="1"/>
  <c r="AY220" i="1" s="1"/>
  <c r="AZ221" i="1" a="1"/>
  <c r="AZ221" i="1" s="1"/>
  <c r="AY221" i="1" s="1" a="1"/>
  <c r="AY221" i="1" s="1"/>
  <c r="AZ449" i="1" a="1"/>
  <c r="AZ449" i="1" s="1"/>
  <c r="AY449" i="1" s="1" a="1"/>
  <c r="AY449" i="1" s="1"/>
  <c r="AZ2" i="1" a="1"/>
  <c r="AZ2" i="1" s="1"/>
  <c r="AY2" i="1" s="1" a="1"/>
  <c r="AY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<sst xmlns="http://schemas.openxmlformats.org/spreadsheetml/2006/main" count="14508" uniqueCount="784">
  <si>
    <t>BMonth</t>
  </si>
  <si>
    <t>BDay</t>
  </si>
  <si>
    <t>BYear</t>
  </si>
  <si>
    <t>Age</t>
  </si>
  <si>
    <t>Gender</t>
  </si>
  <si>
    <t>Gender_Numeric</t>
  </si>
  <si>
    <t>Object_OSIQ</t>
  </si>
  <si>
    <t>Spatial_OSIQ</t>
  </si>
  <si>
    <t>MRT_TOTAL</t>
  </si>
  <si>
    <t>VVIQ_TOTAL</t>
  </si>
  <si>
    <t>SRIT_Scene</t>
  </si>
  <si>
    <t>SRIT_Content</t>
  </si>
  <si>
    <t>ZObject_OSIQ</t>
  </si>
  <si>
    <t>ZSpatial_OSIQ</t>
  </si>
  <si>
    <t>ZMRT_TOTAL</t>
  </si>
  <si>
    <t>ZVVIQ_TOTAL</t>
  </si>
  <si>
    <t>ZSRIT_Scene</t>
  </si>
  <si>
    <t>ZSRIT_Content</t>
  </si>
  <si>
    <t>Cue</t>
  </si>
  <si>
    <t>Emotion_Condition</t>
  </si>
  <si>
    <t>Vividness</t>
  </si>
  <si>
    <t>Reliving</t>
  </si>
  <si>
    <t>Visual</t>
  </si>
  <si>
    <t>Auditory</t>
  </si>
  <si>
    <t>Odortaste</t>
  </si>
  <si>
    <t xml:space="preserve"> Tactile  </t>
  </si>
  <si>
    <t xml:space="preserve"> Verbal  </t>
  </si>
  <si>
    <t xml:space="preserve"> Access  </t>
  </si>
  <si>
    <t xml:space="preserve"> MTT  </t>
  </si>
  <si>
    <t xml:space="preserve"> Pos_Emo  </t>
  </si>
  <si>
    <t xml:space="preserve"> Neg_Emo  </t>
  </si>
  <si>
    <t xml:space="preserve"> Intensity  </t>
  </si>
  <si>
    <t xml:space="preserve"> Importance  </t>
  </si>
  <si>
    <t xml:space="preserve"> Talk  </t>
  </si>
  <si>
    <t xml:space="preserve"> Month_ago  </t>
  </si>
  <si>
    <t xml:space="preserve"> Observer  </t>
  </si>
  <si>
    <t xml:space="preserve"> Valence_Check  </t>
  </si>
  <si>
    <t xml:space="preserve"> Arousal_Check  </t>
  </si>
  <si>
    <t xml:space="preserve"> S_Perspective    </t>
  </si>
  <si>
    <t xml:space="preserve"> S_Content    </t>
  </si>
  <si>
    <t xml:space="preserve"> S_Layout    </t>
  </si>
  <si>
    <t xml:space="preserve"> S_Content_2  </t>
  </si>
  <si>
    <t xml:space="preserve"> S_Layout_2  </t>
  </si>
  <si>
    <t xml:space="preserve"> S_Perspective_2  </t>
  </si>
  <si>
    <t>Internal_total</t>
  </si>
  <si>
    <t>External</t>
  </si>
  <si>
    <t xml:space="preserve">   edint</t>
  </si>
  <si>
    <t xml:space="preserve">   tint</t>
  </si>
  <si>
    <t xml:space="preserve">   plint</t>
  </si>
  <si>
    <t xml:space="preserve">   percint</t>
  </si>
  <si>
    <t xml:space="preserve">   thoint</t>
  </si>
  <si>
    <t xml:space="preserve">   repext</t>
  </si>
  <si>
    <t xml:space="preserve">   GSext</t>
  </si>
  <si>
    <t xml:space="preserve">   AFext</t>
  </si>
  <si>
    <t xml:space="preserve">   SKext</t>
  </si>
  <si>
    <t xml:space="preserve">   REext</t>
  </si>
  <si>
    <t xml:space="preserve">   edext</t>
  </si>
  <si>
    <t xml:space="preserve">   text</t>
  </si>
  <si>
    <t xml:space="preserve">   plext</t>
  </si>
  <si>
    <t xml:space="preserve">   percext</t>
  </si>
  <si>
    <t xml:space="preserve">   thoext</t>
  </si>
  <si>
    <t xml:space="preserve">   otherext</t>
  </si>
  <si>
    <t>1-FEH09.docx</t>
  </si>
  <si>
    <t>September</t>
  </si>
  <si>
    <t>Kadın</t>
  </si>
  <si>
    <t>Koridor</t>
  </si>
  <si>
    <t>Neutral</t>
  </si>
  <si>
    <t>2-NES06.docx</t>
  </si>
  <si>
    <t>June</t>
  </si>
  <si>
    <t>Erkek</t>
  </si>
  <si>
    <t>3-ÖZT11.docx</t>
  </si>
  <si>
    <t>November</t>
  </si>
  <si>
    <t>4-YEŞ08.docx</t>
  </si>
  <si>
    <t>August</t>
  </si>
  <si>
    <t>5-SEL06.docx</t>
  </si>
  <si>
    <t>6-Kez01.docx</t>
  </si>
  <si>
    <t>January</t>
  </si>
  <si>
    <t>7-Mel10.docx</t>
  </si>
  <si>
    <t>October</t>
  </si>
  <si>
    <t>8-ELV07.docx</t>
  </si>
  <si>
    <t>July</t>
  </si>
  <si>
    <t>10-AYŞ12.docx</t>
  </si>
  <si>
    <t>December</t>
  </si>
  <si>
    <t>11-NİL07.docx</t>
  </si>
  <si>
    <t>12-pın03.docx</t>
  </si>
  <si>
    <t>March</t>
  </si>
  <si>
    <t>13-GÜL09.docx</t>
  </si>
  <si>
    <t>14-VİL05.docx</t>
  </si>
  <si>
    <t>May</t>
  </si>
  <si>
    <t>15-nur12.docx</t>
  </si>
  <si>
    <t>16-MUA01.docx</t>
  </si>
  <si>
    <t>17-FUL12.docx</t>
  </si>
  <si>
    <t>18-sel04.docx</t>
  </si>
  <si>
    <t>April</t>
  </si>
  <si>
    <t>19-hal01.docx</t>
  </si>
  <si>
    <t>20-HAN08.docx</t>
  </si>
  <si>
    <t>21-nec02.docx</t>
  </si>
  <si>
    <t>February</t>
  </si>
  <si>
    <t>22-TÜL121.docx</t>
  </si>
  <si>
    <t>23-Gon06.docx</t>
  </si>
  <si>
    <t>25-sez10.docx</t>
  </si>
  <si>
    <t>26-ayl01.docx</t>
  </si>
  <si>
    <t>27-SEY09.docx</t>
  </si>
  <si>
    <t>29-ASU02.docx</t>
  </si>
  <si>
    <t>30-TÜL03.docx</t>
  </si>
  <si>
    <t>31-FAT03.docx</t>
  </si>
  <si>
    <t>32-NAZ03.docx</t>
  </si>
  <si>
    <t>33-ESR08.docx</t>
  </si>
  <si>
    <t>34-GÜL02.docx</t>
  </si>
  <si>
    <t>35-DEN06.docx</t>
  </si>
  <si>
    <t>36-müg09.docx</t>
  </si>
  <si>
    <t>37-EBR05.docx</t>
  </si>
  <si>
    <t>38-AYŞ06.docx</t>
  </si>
  <si>
    <t>39-SEV10.docx</t>
  </si>
  <si>
    <t>40-Ata05.docx</t>
  </si>
  <si>
    <t>41-Ipe03.docx</t>
  </si>
  <si>
    <t>42-ESY11.docx</t>
  </si>
  <si>
    <t>43-EMİ05.docx</t>
  </si>
  <si>
    <t>44-AYN05.docx</t>
  </si>
  <si>
    <t>45-TUL05.docx</t>
  </si>
  <si>
    <t>46-ziv03.docx</t>
  </si>
  <si>
    <t>47-rah07.docx</t>
  </si>
  <si>
    <t>48-kez01.docx</t>
  </si>
  <si>
    <t>49-MED06.docx</t>
  </si>
  <si>
    <t>50-Min08.docx</t>
  </si>
  <si>
    <t>51-GAM09.docx</t>
  </si>
  <si>
    <t>52-hel98.docx</t>
  </si>
  <si>
    <t>53-GÜL01.docx</t>
  </si>
  <si>
    <t>54-ÇİL09.docx</t>
  </si>
  <si>
    <t>55-NER01.docx</t>
  </si>
  <si>
    <t>56-SEK02.docx</t>
  </si>
  <si>
    <t>57-AYL04.docx</t>
  </si>
  <si>
    <t>58-BEL07.docx</t>
  </si>
  <si>
    <t>59-GÜL11.docx</t>
  </si>
  <si>
    <t>60-gön2000.docx</t>
  </si>
  <si>
    <t>61-SEV02.docx</t>
  </si>
  <si>
    <t>62-NİH01.docx</t>
  </si>
  <si>
    <t>63-güz04.docx</t>
  </si>
  <si>
    <t>64-GÜL05.docx</t>
  </si>
  <si>
    <t>65-rah07.docx</t>
  </si>
  <si>
    <t>66-ÇİĞ02.docx</t>
  </si>
  <si>
    <t>67-Gül12.docx</t>
  </si>
  <si>
    <t>68-zey04.docx</t>
  </si>
  <si>
    <t>69-Sel071.docx</t>
  </si>
  <si>
    <t>70-FÜS12.docx</t>
  </si>
  <si>
    <t>71-BER061.docx</t>
  </si>
  <si>
    <t>72-MEL02.docx</t>
  </si>
  <si>
    <t>73-DİL03.docx</t>
  </si>
  <si>
    <t>74-GÜL03.docx</t>
  </si>
  <si>
    <t>75-zin11.docx</t>
  </si>
  <si>
    <t>77-DUR11.docx</t>
  </si>
  <si>
    <t>78-GÜL08.docx</t>
  </si>
  <si>
    <t>79-yas05.docx</t>
  </si>
  <si>
    <t>80-nur12.docx</t>
  </si>
  <si>
    <t>81-ÖZL08.docx</t>
  </si>
  <si>
    <t>82-ŞEN04.docx</t>
  </si>
  <si>
    <t>83-Dil04.docx</t>
  </si>
  <si>
    <t>84-BET08.docx</t>
  </si>
  <si>
    <t>85-AZİ02.docx</t>
  </si>
  <si>
    <t>86-SEM101.docx</t>
  </si>
  <si>
    <t>87-hül06.docx</t>
  </si>
  <si>
    <t>88-NUR11.docx</t>
  </si>
  <si>
    <t>89-nih02.docx</t>
  </si>
  <si>
    <t>90-ZEY11.docx</t>
  </si>
  <si>
    <t>Belirtmek istemiyorum</t>
  </si>
  <si>
    <t>91-FUN06.docx</t>
  </si>
  <si>
    <t>92-GON12.docx</t>
  </si>
  <si>
    <t>93-Pao05.docx</t>
  </si>
  <si>
    <t>94-Dem05.docx</t>
  </si>
  <si>
    <t>95-NUR05.docx</t>
  </si>
  <si>
    <t>96-EMİ06.docx</t>
  </si>
  <si>
    <t>97-ner12.docx</t>
  </si>
  <si>
    <t>98-BAH07.docx</t>
  </si>
  <si>
    <t>99-HAT11.docx</t>
  </si>
  <si>
    <t>100-han11.docx</t>
  </si>
  <si>
    <t>101-NES04.docx</t>
  </si>
  <si>
    <t>102-RAH01.docx</t>
  </si>
  <si>
    <t>103-SEL02.docx</t>
  </si>
  <si>
    <t>104-var05.docx</t>
  </si>
  <si>
    <t>105-Tub11.docx</t>
  </si>
  <si>
    <t>106-YES11.docx</t>
  </si>
  <si>
    <t>107-YES08.docx</t>
  </si>
  <si>
    <t>108-EDA11.docx</t>
  </si>
  <si>
    <t>109-KOÇ07.docx</t>
  </si>
  <si>
    <t>110-ZEY07.docx</t>
  </si>
  <si>
    <t>111-Ber02.docx</t>
  </si>
  <si>
    <t>112-nil11.docx</t>
  </si>
  <si>
    <t>113-GÜL09.docx</t>
  </si>
  <si>
    <t>114-MEV06.docx</t>
  </si>
  <si>
    <t>115-İlh06.docx</t>
  </si>
  <si>
    <t>116-AYŞ.docx</t>
  </si>
  <si>
    <t>117-ayl06.docx</t>
  </si>
  <si>
    <t>118-AYŞ07.docx</t>
  </si>
  <si>
    <t>119-NUR04.docx</t>
  </si>
  <si>
    <t>Dag</t>
  </si>
  <si>
    <t>Deniz</t>
  </si>
  <si>
    <t>Positive</t>
  </si>
  <si>
    <t>Lunapark</t>
  </si>
  <si>
    <t>Mezarlik</t>
  </si>
  <si>
    <t>Negative</t>
  </si>
  <si>
    <t>Hastane</t>
  </si>
  <si>
    <t>ID</t>
  </si>
  <si>
    <t>Number</t>
  </si>
  <si>
    <t>Categoric_Valence</t>
  </si>
  <si>
    <t>Valence_Type</t>
  </si>
  <si>
    <t>Emotional_Neutral</t>
  </si>
  <si>
    <t>O1_Narrative</t>
  </si>
  <si>
    <t>O1_Vividness_1</t>
  </si>
  <si>
    <t>O1_Reliving_1</t>
  </si>
  <si>
    <t>O1_Visual_1</t>
  </si>
  <si>
    <t>O1_Auditory_1</t>
  </si>
  <si>
    <t>O1_Odor-taste_1</t>
  </si>
  <si>
    <t>O1_Tactile_1</t>
  </si>
  <si>
    <t>O1_Verbal_1</t>
  </si>
  <si>
    <t>O1_Access_1</t>
  </si>
  <si>
    <t>O1_MTT_1</t>
  </si>
  <si>
    <t>O1_Pos_Emo_1</t>
  </si>
  <si>
    <t>O1_Neg_Emo_1</t>
  </si>
  <si>
    <t>O1_Intensity_1</t>
  </si>
  <si>
    <t>O1_Importance_1</t>
  </si>
  <si>
    <t>O1_Talk_1</t>
  </si>
  <si>
    <t>O1_Month_ago_1</t>
  </si>
  <si>
    <t>O1_Observer_1</t>
  </si>
  <si>
    <t>O1_Valence_Check_1</t>
  </si>
  <si>
    <t>O1_Arousal_Check_1</t>
  </si>
  <si>
    <t>O1_S_Perspective1_1</t>
  </si>
  <si>
    <t>O1_S_Content_1_1</t>
  </si>
  <si>
    <t>O1_S_Layout_1_1</t>
  </si>
  <si>
    <t>O1_S_Content_2_1</t>
  </si>
  <si>
    <t>O1_S_Layout_2_1</t>
  </si>
  <si>
    <t>O1_S_Perspective_2_1</t>
  </si>
  <si>
    <t>5-ed-int</t>
  </si>
  <si>
    <t>5-t-int</t>
  </si>
  <si>
    <t>5-pl-int</t>
  </si>
  <si>
    <t>5-perc-int</t>
  </si>
  <si>
    <t>5-tho-int</t>
  </si>
  <si>
    <t>5-rep-ext</t>
  </si>
  <si>
    <t>5-GS-ext</t>
  </si>
  <si>
    <t>5-AF-ext</t>
  </si>
  <si>
    <t>5-SK-ext</t>
  </si>
  <si>
    <t>5-RE-ext</t>
  </si>
  <si>
    <t>5-ed-ext</t>
  </si>
  <si>
    <t>5-t-ext</t>
  </si>
  <si>
    <t>5-pl-ext</t>
  </si>
  <si>
    <t>5-perc-ext</t>
  </si>
  <si>
    <t>5-tho-ext</t>
  </si>
  <si>
    <t>5-other-ext</t>
  </si>
  <si>
    <t>O2_Narrative</t>
  </si>
  <si>
    <t>O2_Vividness_1</t>
  </si>
  <si>
    <t>O2_Reliving_1</t>
  </si>
  <si>
    <t>O2_Visual_1</t>
  </si>
  <si>
    <t>O2_Auditory_1</t>
  </si>
  <si>
    <t>O2_Odor-taste_1</t>
  </si>
  <si>
    <t>O2_Tactile_1</t>
  </si>
  <si>
    <t>O2_Verbal_1</t>
  </si>
  <si>
    <t>O2_Access_1</t>
  </si>
  <si>
    <t>O2_MTT_1</t>
  </si>
  <si>
    <t>O2_Pos_Emo_1</t>
  </si>
  <si>
    <t>O2_Neg_Emo_1</t>
  </si>
  <si>
    <t>O2_Intensity_1</t>
  </si>
  <si>
    <t>O2_Importance_1</t>
  </si>
  <si>
    <t>O2_Talk_1</t>
  </si>
  <si>
    <t>O2_Month_ago_1</t>
  </si>
  <si>
    <t>O2_Observer_1</t>
  </si>
  <si>
    <t>O2_Valence_Check_1</t>
  </si>
  <si>
    <t>O2_Arousal_Check_1</t>
  </si>
  <si>
    <t>O2_S_Perspective_1_1</t>
  </si>
  <si>
    <t>O2_S_Content_1_1</t>
  </si>
  <si>
    <t>O2_S_Layout_1_1</t>
  </si>
  <si>
    <t>O2_S_Content_2_1</t>
  </si>
  <si>
    <t>O2_S_Layout_2_1</t>
  </si>
  <si>
    <t>O2_S_Perspective_2_1</t>
  </si>
  <si>
    <t>Valence sebebiyle silinmiş anılar</t>
  </si>
  <si>
    <t>Emo_Neut</t>
  </si>
  <si>
    <t>Emotional</t>
  </si>
  <si>
    <t>2,133333</t>
  </si>
  <si>
    <t>2,4</t>
  </si>
  <si>
    <t>5,916667</t>
  </si>
  <si>
    <t>4,833333</t>
  </si>
  <si>
    <t>-2,050091</t>
  </si>
  <si>
    <t>-0,32045</t>
  </si>
  <si>
    <t>-1,409466</t>
  </si>
  <si>
    <t>0,70657</t>
  </si>
  <si>
    <t>1,097449</t>
  </si>
  <si>
    <t>-0,163134</t>
  </si>
  <si>
    <t>3,8</t>
  </si>
  <si>
    <t>1,4</t>
  </si>
  <si>
    <t>4,375</t>
  </si>
  <si>
    <t>4,333333</t>
  </si>
  <si>
    <t>0,33905</t>
  </si>
  <si>
    <t>-1,646051</t>
  </si>
  <si>
    <t>-0,154587</t>
  </si>
  <si>
    <t>0,10199</t>
  </si>
  <si>
    <t>-0,627577</t>
  </si>
  <si>
    <t>-0,661198</t>
  </si>
  <si>
    <t>2,666667</t>
  </si>
  <si>
    <t>3,6</t>
  </si>
  <si>
    <t>2,791667</t>
  </si>
  <si>
    <t>2,166667</t>
  </si>
  <si>
    <t>-1,285566</t>
  </si>
  <si>
    <t>1,270272</t>
  </si>
  <si>
    <t>2,355172</t>
  </si>
  <si>
    <t>-1,107169</t>
  </si>
  <si>
    <t>-2,399225</t>
  </si>
  <si>
    <t>-2,819476</t>
  </si>
  <si>
    <t>4,066667</t>
  </si>
  <si>
    <t>6,166667</t>
  </si>
  <si>
    <t>5,416667</t>
  </si>
  <si>
    <t>0,721313</t>
  </si>
  <si>
    <t>0,474911</t>
  </si>
  <si>
    <t>2,564319</t>
  </si>
  <si>
    <t>1,377183</t>
  </si>
  <si>
    <t>0,417941</t>
  </si>
  <si>
    <t>3,133333</t>
  </si>
  <si>
    <t>5,166667</t>
  </si>
  <si>
    <t>4,583333</t>
  </si>
  <si>
    <t>-0,616606</t>
  </si>
  <si>
    <t>0,651658</t>
  </si>
  <si>
    <t>-0,782026</t>
  </si>
  <si>
    <t>0,222906</t>
  </si>
  <si>
    <t>0,258247</t>
  </si>
  <si>
    <t>-0,412166</t>
  </si>
  <si>
    <t>3,666667</t>
  </si>
  <si>
    <t>1,866667</t>
  </si>
  <si>
    <t>4,875</t>
  </si>
  <si>
    <t>5,333333</t>
  </si>
  <si>
    <t>0,147919</t>
  </si>
  <si>
    <t>-1,027437</t>
  </si>
  <si>
    <t>0,891146</t>
  </si>
  <si>
    <t>1,311149</t>
  </si>
  <si>
    <t>-0,068109</t>
  </si>
  <si>
    <t>0,33493</t>
  </si>
  <si>
    <t>4,458333</t>
  </si>
  <si>
    <t>-2,241222</t>
  </si>
  <si>
    <t>-0,673944</t>
  </si>
  <si>
    <t>-1,618613</t>
  </si>
  <si>
    <t>-2,074497</t>
  </si>
  <si>
    <t>-0,534332</t>
  </si>
  <si>
    <t>3,916667</t>
  </si>
  <si>
    <t>3,833333</t>
  </si>
  <si>
    <t>-0,85069</t>
  </si>
  <si>
    <t>-0,139842</t>
  </si>
  <si>
    <t>-1,140422</t>
  </si>
  <si>
    <t>-1,159262</t>
  </si>
  <si>
    <t>4,933333</t>
  </si>
  <si>
    <t>1,533333</t>
  </si>
  <si>
    <t>5,208333</t>
  </si>
  <si>
    <t>1,963667</t>
  </si>
  <si>
    <t>-1,469305</t>
  </si>
  <si>
    <t>0,05456</t>
  </si>
  <si>
    <t>0,304869</t>
  </si>
  <si>
    <t>0,168909</t>
  </si>
  <si>
    <t>4,2</t>
  </si>
  <si>
    <t>6,25</t>
  </si>
  <si>
    <t>4,916667</t>
  </si>
  <si>
    <t>0,912444</t>
  </si>
  <si>
    <t>2,146026</t>
  </si>
  <si>
    <t>1,069318</t>
  </si>
  <si>
    <t>1,470427</t>
  </si>
  <si>
    <t>-0,080123</t>
  </si>
  <si>
    <t>5,375</t>
  </si>
  <si>
    <t>6,083333</t>
  </si>
  <si>
    <t>0,052353</t>
  </si>
  <si>
    <t>1,309439</t>
  </si>
  <si>
    <t>-0,260758</t>
  </si>
  <si>
    <t>0,491359</t>
  </si>
  <si>
    <t>1,082026</t>
  </si>
  <si>
    <t>2,6</t>
  </si>
  <si>
    <t>4,958333</t>
  </si>
  <si>
    <t>5,083333</t>
  </si>
  <si>
    <t>0,625747</t>
  </si>
  <si>
    <t>-0,055329</t>
  </si>
  <si>
    <t>-1,200319</t>
  </si>
  <si>
    <t>0,025136</t>
  </si>
  <si>
    <t>0,085898</t>
  </si>
  <si>
    <t>4,6</t>
  </si>
  <si>
    <t>5,75</t>
  </si>
  <si>
    <t>1,485838</t>
  </si>
  <si>
    <t>0,263707</t>
  </si>
  <si>
    <t>1,432065</t>
  </si>
  <si>
    <t>-0,114731</t>
  </si>
  <si>
    <t>0,749983</t>
  </si>
  <si>
    <t>3,533333</t>
  </si>
  <si>
    <t>2,933333</t>
  </si>
  <si>
    <t>5,458333</t>
  </si>
  <si>
    <t>-0,043212</t>
  </si>
  <si>
    <t>0,386538</t>
  </si>
  <si>
    <t>0,584603</t>
  </si>
  <si>
    <t>4,266667</t>
  </si>
  <si>
    <t>4,5</t>
  </si>
  <si>
    <t>2,154007</t>
  </si>
  <si>
    <t>-0,48771</t>
  </si>
  <si>
    <t>-0,495177</t>
  </si>
  <si>
    <t>4,125</t>
  </si>
  <si>
    <t>4,166667</t>
  </si>
  <si>
    <t>-0,807738</t>
  </si>
  <si>
    <t>-0,991173</t>
  </si>
  <si>
    <t>-0,907311</t>
  </si>
  <si>
    <t>-0,82722</t>
  </si>
  <si>
    <t>3,4</t>
  </si>
  <si>
    <t>-0,234344</t>
  </si>
  <si>
    <t>-1,590833</t>
  </si>
  <si>
    <t>1,888886</t>
  </si>
  <si>
    <t>-0,57288</t>
  </si>
  <si>
    <t>-0,623506</t>
  </si>
  <si>
    <t>4,666667</t>
  </si>
  <si>
    <t>1,581404</t>
  </si>
  <si>
    <t>-0,329155</t>
  </si>
  <si>
    <t>5,875</t>
  </si>
  <si>
    <t>6,333333</t>
  </si>
  <si>
    <t>1,181899</t>
  </si>
  <si>
    <t>-1,827759</t>
  </si>
  <si>
    <t>1,050827</t>
  </si>
  <si>
    <t>1,331058</t>
  </si>
  <si>
    <t>3,866667</t>
  </si>
  <si>
    <t>2,958333</t>
  </si>
  <si>
    <t>3,75</t>
  </si>
  <si>
    <t>0,434616</t>
  </si>
  <si>
    <t>-1,469917</t>
  </si>
  <si>
    <t>-2,212736</t>
  </si>
  <si>
    <t>-1,242273</t>
  </si>
  <si>
    <t>4,208333</t>
  </si>
  <si>
    <t>1,358646</t>
  </si>
  <si>
    <t>-0,50259</t>
  </si>
  <si>
    <t>-0,814066</t>
  </si>
  <si>
    <t>4,533333</t>
  </si>
  <si>
    <t>1,733333</t>
  </si>
  <si>
    <t>6,75</t>
  </si>
  <si>
    <t>1,390273</t>
  </si>
  <si>
    <t>-1,204184</t>
  </si>
  <si>
    <t>-0,363733</t>
  </si>
  <si>
    <t>0,827486</t>
  </si>
  <si>
    <t>1,746112</t>
  </si>
  <si>
    <t>2,333333</t>
  </si>
  <si>
    <t>1,00801</t>
  </si>
  <si>
    <t>-0,408823</t>
  </si>
  <si>
    <t>1,190693</t>
  </si>
  <si>
    <t>1,248048</t>
  </si>
  <si>
    <t>6,416667</t>
  </si>
  <si>
    <t>0,585654</t>
  </si>
  <si>
    <t>0,91096</t>
  </si>
  <si>
    <t>1,414069</t>
  </si>
  <si>
    <t>5,583333</t>
  </si>
  <si>
    <t>1,727732</t>
  </si>
  <si>
    <t>-0,018926</t>
  </si>
  <si>
    <t>0,72447</t>
  </si>
  <si>
    <t>5,291667</t>
  </si>
  <si>
    <t>1,005152</t>
  </si>
  <si>
    <t>0,398114</t>
  </si>
  <si>
    <t>1,6</t>
  </si>
  <si>
    <t>-1,381132</t>
  </si>
  <si>
    <t>-1,380931</t>
  </si>
  <si>
    <t>-1,233667</t>
  </si>
  <si>
    <t>3,066667</t>
  </si>
  <si>
    <t>0,563285</t>
  </si>
  <si>
    <t>-0,744422</t>
  </si>
  <si>
    <t>4,75</t>
  </si>
  <si>
    <t>-1,711749</t>
  </si>
  <si>
    <t>-0,246145</t>
  </si>
  <si>
    <t>-0,207976</t>
  </si>
  <si>
    <t>4,416667</t>
  </si>
  <si>
    <t>-0,674199</t>
  </si>
  <si>
    <t>-0,578187</t>
  </si>
  <si>
    <t>3,333333</t>
  </si>
  <si>
    <t>2,466667</t>
  </si>
  <si>
    <t>-0,329909</t>
  </si>
  <si>
    <t>-0,232076</t>
  </si>
  <si>
    <t>3,466667</t>
  </si>
  <si>
    <t>5,625</t>
  </si>
  <si>
    <t>-0,138778</t>
  </si>
  <si>
    <t>0,771093</t>
  </si>
  <si>
    <t>0,999016</t>
  </si>
  <si>
    <t>-0,712172</t>
  </si>
  <si>
    <t>0,033044</t>
  </si>
  <si>
    <t>-0,394465</t>
  </si>
  <si>
    <t>2,266667</t>
  </si>
  <si>
    <t>-0,497197</t>
  </si>
  <si>
    <t>0,343822</t>
  </si>
  <si>
    <t>-0,860689</t>
  </si>
  <si>
    <t>-2,432354</t>
  </si>
  <si>
    <t>2,866667</t>
  </si>
  <si>
    <t>4,25</t>
  </si>
  <si>
    <t>0,298164</t>
  </si>
  <si>
    <t>-0,744209</t>
  </si>
  <si>
    <t>2,2</t>
  </si>
  <si>
    <t>5,125</t>
  </si>
  <si>
    <t>-0,58557</t>
  </si>
  <si>
    <t>0,948402</t>
  </si>
  <si>
    <t>0,211625</t>
  </si>
  <si>
    <t>3,2</t>
  </si>
  <si>
    <t>-0,521041</t>
  </si>
  <si>
    <t>-1,349001</t>
  </si>
  <si>
    <t>3,266667</t>
  </si>
  <si>
    <t>4,041667</t>
  </si>
  <si>
    <t>0,828405</t>
  </si>
  <si>
    <t>-0,986254</t>
  </si>
  <si>
    <t>-1,000555</t>
  </si>
  <si>
    <t>6,041667</t>
  </si>
  <si>
    <t>1,237316</t>
  </si>
  <si>
    <t>0,682</t>
  </si>
  <si>
    <t>3,791667</t>
  </si>
  <si>
    <t>1,936879</t>
  </si>
  <si>
    <t>2,157561</t>
  </si>
  <si>
    <t>-1,280289</t>
  </si>
  <si>
    <t>-1,076252</t>
  </si>
  <si>
    <t>1,25</t>
  </si>
  <si>
    <t>2,059232</t>
  </si>
  <si>
    <t>1,794813</t>
  </si>
  <si>
    <t>2,309629</t>
  </si>
  <si>
    <t>-3,732593</t>
  </si>
  <si>
    <t>4,133333</t>
  </si>
  <si>
    <t>0,816879</t>
  </si>
  <si>
    <t>0,740032</t>
  </si>
  <si>
    <t>4,708333</t>
  </si>
  <si>
    <t>0,472853</t>
  </si>
  <si>
    <t>-0,254598</t>
  </si>
  <si>
    <t>2,8</t>
  </si>
  <si>
    <t>3,25</t>
  </si>
  <si>
    <t>-1,094435</t>
  </si>
  <si>
    <t>-1,740337</t>
  </si>
  <si>
    <t>4,291667</t>
  </si>
  <si>
    <t>-2,176292</t>
  </si>
  <si>
    <t>-0,865338</t>
  </si>
  <si>
    <t>-0,720822</t>
  </si>
  <si>
    <t>0,002887</t>
  </si>
  <si>
    <t>6,541667</t>
  </si>
  <si>
    <t>2,065633</t>
  </si>
  <si>
    <t>1,796784</t>
  </si>
  <si>
    <t>1,165037</t>
  </si>
  <si>
    <t>5,958333</t>
  </si>
  <si>
    <t>1,623766</t>
  </si>
  <si>
    <t>1,144071</t>
  </si>
  <si>
    <t>3,875</t>
  </si>
  <si>
    <t>-1,187045</t>
  </si>
  <si>
    <t>-1,85896</t>
  </si>
  <si>
    <t>0,916005</t>
  </si>
  <si>
    <t>2,533333</t>
  </si>
  <si>
    <t>-1,476697</t>
  </si>
  <si>
    <t>-1,228085</t>
  </si>
  <si>
    <t>5,5</t>
  </si>
  <si>
    <t>0,464738</t>
  </si>
  <si>
    <t>0,500951</t>
  </si>
  <si>
    <t>5,666667</t>
  </si>
  <si>
    <t>0,666973</t>
  </si>
  <si>
    <t>0,165002</t>
  </si>
  <si>
    <t>4,083333</t>
  </si>
  <si>
    <t>-1,793135</t>
  </si>
  <si>
    <t>-0,91023</t>
  </si>
  <si>
    <t>2,066667</t>
  </si>
  <si>
    <t>-0,762317</t>
  </si>
  <si>
    <t>1,100293</t>
  </si>
  <si>
    <t>1,673897</t>
  </si>
  <si>
    <t>0,817715</t>
  </si>
  <si>
    <t>4,733333</t>
  </si>
  <si>
    <t>1,333333</t>
  </si>
  <si>
    <t>1,67697</t>
  </si>
  <si>
    <t>-0,143703</t>
  </si>
  <si>
    <t>2,278477</t>
  </si>
  <si>
    <t>-3,649583</t>
  </si>
  <si>
    <t>1,133333</t>
  </si>
  <si>
    <t>-1,999545</t>
  </si>
  <si>
    <t>1,656917</t>
  </si>
  <si>
    <t>5,25</t>
  </si>
  <si>
    <t>0,071758</t>
  </si>
  <si>
    <t>0,251919</t>
  </si>
  <si>
    <t>4,791667</t>
  </si>
  <si>
    <t>-0,161354</t>
  </si>
  <si>
    <t>3,733333</t>
  </si>
  <si>
    <t>5,791667</t>
  </si>
  <si>
    <t>0,243485</t>
  </si>
  <si>
    <t>0,957582</t>
  </si>
  <si>
    <t>3,291667</t>
  </si>
  <si>
    <t>3,583333</t>
  </si>
  <si>
    <t>-1,839757</t>
  </si>
  <si>
    <t>-1,408294</t>
  </si>
  <si>
    <t>-0,381674</t>
  </si>
  <si>
    <t>1,666667</t>
  </si>
  <si>
    <t>-1,292558</t>
  </si>
  <si>
    <t>1,466667</t>
  </si>
  <si>
    <t>-1,557678</t>
  </si>
  <si>
    <t>1,915729</t>
  </si>
  <si>
    <t>0,351492</t>
  </si>
  <si>
    <t>-0,580955</t>
  </si>
  <si>
    <t>5,833333</t>
  </si>
  <si>
    <t>0,832994</t>
  </si>
  <si>
    <t>5,541667</t>
  </si>
  <si>
    <t>-0,425475</t>
  </si>
  <si>
    <t>0,677848</t>
  </si>
  <si>
    <t>1,518586</t>
  </si>
  <si>
    <t>-1,513401</t>
  </si>
  <si>
    <t>1,800513</t>
  </si>
  <si>
    <t>-1,572263</t>
  </si>
  <si>
    <t>0,209791</t>
  </si>
  <si>
    <t>-0,767444</t>
  </si>
  <si>
    <t>1,995144</t>
  </si>
  <si>
    <t>1,933333</t>
  </si>
  <si>
    <t>-0,939064</t>
  </si>
  <si>
    <t>0,444736</t>
  </si>
  <si>
    <t>3,625</t>
  </si>
  <si>
    <t>-1,466779</t>
  </si>
  <si>
    <t>4,625</t>
  </si>
  <si>
    <t>-0,347843</t>
  </si>
  <si>
    <t>0,583962</t>
  </si>
  <si>
    <t>6,5</t>
  </si>
  <si>
    <t>1,49708</t>
  </si>
  <si>
    <t>1,2</t>
  </si>
  <si>
    <t>-1,911172</t>
  </si>
  <si>
    <t>3,041667</t>
  </si>
  <si>
    <t>2,833333</t>
  </si>
  <si>
    <t>-2,119491</t>
  </si>
  <si>
    <t>-2,15539</t>
  </si>
  <si>
    <t>6,666667</t>
  </si>
  <si>
    <t>1,663101</t>
  </si>
  <si>
    <t>4,8</t>
  </si>
  <si>
    <t>1,772535</t>
  </si>
  <si>
    <t>-0,301221</t>
  </si>
  <si>
    <t>-0,021487</t>
  </si>
  <si>
    <t>6,833333</t>
  </si>
  <si>
    <t>1,829122</t>
  </si>
  <si>
    <t>2,733333</t>
  </si>
  <si>
    <t>-1,19</t>
  </si>
  <si>
    <t>1,936651</t>
  </si>
  <si>
    <t>0,121417</t>
  </si>
  <si>
    <t>1,004204</t>
  </si>
  <si>
    <t>0,631226</t>
  </si>
  <si>
    <t>3,083333</t>
  </si>
  <si>
    <t>-2,072869</t>
  </si>
  <si>
    <t>-0,993241</t>
  </si>
  <si>
    <t>0,916778</t>
  </si>
  <si>
    <t>4,541667</t>
  </si>
  <si>
    <t>-0,441088</t>
  </si>
  <si>
    <t>-1,667829</t>
  </si>
  <si>
    <t>3,00</t>
  </si>
  <si>
    <t>3,07</t>
  </si>
  <si>
    <t>3,36</t>
  </si>
  <si>
    <t>2,17</t>
  </si>
  <si>
    <t>2,21</t>
  </si>
  <si>
    <t>3,83</t>
  </si>
  <si>
    <t>1,43</t>
  </si>
  <si>
    <t>2,67</t>
  </si>
  <si>
    <t>3,64</t>
  </si>
  <si>
    <t>4,50</t>
  </si>
  <si>
    <t>3,33</t>
  </si>
  <si>
    <t>3,14</t>
  </si>
  <si>
    <t>3,67</t>
  </si>
  <si>
    <t>1,71</t>
  </si>
  <si>
    <t>2,25</t>
  </si>
  <si>
    <t>2,14</t>
  </si>
  <si>
    <t>1,86</t>
  </si>
  <si>
    <t>4,92</t>
  </si>
  <si>
    <t>1,57</t>
  </si>
  <si>
    <t>4,42</t>
  </si>
  <si>
    <t>3,50</t>
  </si>
  <si>
    <t>2,93</t>
  </si>
  <si>
    <t>2,43</t>
  </si>
  <si>
    <t>3,92</t>
  </si>
  <si>
    <t>2,50</t>
  </si>
  <si>
    <t>5,00</t>
  </si>
  <si>
    <t>3,58</t>
  </si>
  <si>
    <t>4,29</t>
  </si>
  <si>
    <t>2,64</t>
  </si>
  <si>
    <t>4,08</t>
  </si>
  <si>
    <t>4,07</t>
  </si>
  <si>
    <t>4,67</t>
  </si>
  <si>
    <t>4,00</t>
  </si>
  <si>
    <t>3,57</t>
  </si>
  <si>
    <t>2,36</t>
  </si>
  <si>
    <t>2,58</t>
  </si>
  <si>
    <t>1,64</t>
  </si>
  <si>
    <t>2,29</t>
  </si>
  <si>
    <t>2,57</t>
  </si>
  <si>
    <t>2,92</t>
  </si>
  <si>
    <t>2,07</t>
  </si>
  <si>
    <t>1,75</t>
  </si>
  <si>
    <t>4,33</t>
  </si>
  <si>
    <t>3,29</t>
  </si>
  <si>
    <t>4,17</t>
  </si>
  <si>
    <t>3,21</t>
  </si>
  <si>
    <t>4,58</t>
  </si>
  <si>
    <t>2,00</t>
  </si>
  <si>
    <t>1,00</t>
  </si>
  <si>
    <t>4,21</t>
  </si>
  <si>
    <t>3,86</t>
  </si>
  <si>
    <t>2,08</t>
  </si>
  <si>
    <t>1,29</t>
  </si>
  <si>
    <t>4,14</t>
  </si>
  <si>
    <t>1,07</t>
  </si>
  <si>
    <t>3,17</t>
  </si>
  <si>
    <t>2,71</t>
  </si>
  <si>
    <t>2,86</t>
  </si>
  <si>
    <t>3,08</t>
  </si>
  <si>
    <t>1,36</t>
  </si>
  <si>
    <t>3,43</t>
  </si>
  <si>
    <t>1,50</t>
  </si>
  <si>
    <t>2,75</t>
  </si>
  <si>
    <t>2,33</t>
  </si>
  <si>
    <t>1,58</t>
  </si>
  <si>
    <t>1,21</t>
  </si>
  <si>
    <t>1,14</t>
  </si>
  <si>
    <t>3,42</t>
  </si>
  <si>
    <t>2,83</t>
  </si>
  <si>
    <t>2,79</t>
  </si>
  <si>
    <t>Object_OSIQ_Factor12item</t>
  </si>
  <si>
    <t>Spatial_OSIQ_Factor14item</t>
  </si>
  <si>
    <t>-1,91158</t>
  </si>
  <si>
    <t>-,54679</t>
  </si>
  <si>
    <t>,26111</t>
  </si>
  <si>
    <t>-1,56911</t>
  </si>
  <si>
    <t>-1,25716</t>
  </si>
  <si>
    <t>1,32748</t>
  </si>
  <si>
    <t>1,13803</t>
  </si>
  <si>
    <t>,58039</t>
  </si>
  <si>
    <t>-,39332</t>
  </si>
  <si>
    <t>,67214</t>
  </si>
  <si>
    <t>,05169</t>
  </si>
  <si>
    <t>-1,20212</t>
  </si>
  <si>
    <t>-1,80687</t>
  </si>
  <si>
    <t>-,63853</t>
  </si>
  <si>
    <t>-1,00552</t>
  </si>
  <si>
    <t>1,68775</t>
  </si>
  <si>
    <t>-1,38562</t>
  </si>
  <si>
    <t>1,03333</t>
  </si>
  <si>
    <t>1,14398</t>
  </si>
  <si>
    <t>,15640</t>
  </si>
  <si>
    <t>,39690</t>
  </si>
  <si>
    <t>,37890</t>
  </si>
  <si>
    <t>-,16669</t>
  </si>
  <si>
    <t>1,79246</t>
  </si>
  <si>
    <t>-,25844</t>
  </si>
  <si>
    <t>-,06611</t>
  </si>
  <si>
    <t>2,17942</t>
  </si>
  <si>
    <t>-,82524</t>
  </si>
  <si>
    <t>,48865</t>
  </si>
  <si>
    <t>,01680</t>
  </si>
  <si>
    <t>,58832</t>
  </si>
  <si>
    <t>1,89107</t>
  </si>
  <si>
    <t>1,46524</t>
  </si>
  <si>
    <t>1,36054</t>
  </si>
  <si>
    <t>,48361</t>
  </si>
  <si>
    <t>1,23573</t>
  </si>
  <si>
    <t>-,35018</t>
  </si>
  <si>
    <t>-1,37495</t>
  </si>
  <si>
    <t>-1,29387</t>
  </si>
  <si>
    <t>,81082</t>
  </si>
  <si>
    <t>-,49803</t>
  </si>
  <si>
    <t>-,44193</t>
  </si>
  <si>
    <t>-,07494</t>
  </si>
  <si>
    <t>,96049</t>
  </si>
  <si>
    <t>-,92995</t>
  </si>
  <si>
    <t>-,73028</t>
  </si>
  <si>
    <t>-2,46130</t>
  </si>
  <si>
    <t>-1,47966</t>
  </si>
  <si>
    <t>,91553</t>
  </si>
  <si>
    <t>-,17081</t>
  </si>
  <si>
    <t>,86874</t>
  </si>
  <si>
    <t>,70611</t>
  </si>
  <si>
    <t>,76389</t>
  </si>
  <si>
    <t>1,24274</t>
  </si>
  <si>
    <t>-,82203</t>
  </si>
  <si>
    <t>-2,13270</t>
  </si>
  <si>
    <t>2,07456</t>
  </si>
  <si>
    <t>1,61583</t>
  </si>
  <si>
    <t>-2,02938</t>
  </si>
  <si>
    <t>-2,13409</t>
  </si>
  <si>
    <t>-1,75261</t>
  </si>
  <si>
    <t>1,98282</t>
  </si>
  <si>
    <t>-2,04096</t>
  </si>
  <si>
    <t>-,60273</t>
  </si>
  <si>
    <t>,10855</t>
  </si>
  <si>
    <t>,30515</t>
  </si>
  <si>
    <t>-,72053</t>
  </si>
  <si>
    <t>-1,66086</t>
  </si>
  <si>
    <t>1,05224</t>
  </si>
  <si>
    <t>-1,47737</t>
  </si>
  <si>
    <t>-1,15245</t>
  </si>
  <si>
    <t>-2,68380</t>
  </si>
  <si>
    <t>-1,85746</t>
  </si>
  <si>
    <t>-1,94921</t>
  </si>
  <si>
    <t>-,27552</t>
  </si>
  <si>
    <t>-1,04774</t>
  </si>
  <si>
    <t>,21341</t>
  </si>
  <si>
    <t>-1,70217</t>
  </si>
  <si>
    <t>Zobject_Factor</t>
  </si>
  <si>
    <t>Zspatial_Factor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</si>
</sst>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V671"/>
  <sheetViews>
    <sheetView tabSelected="1" zoomScaleNormal="60" workbookViewId="0">
      <selection activeCell="C14" sqref="C14"/>
    </sheetView>
  </sheetViews>
  <sheetFormatPr baseColWidth="10" defaultColWidth="8.83203125" defaultRowHeight="15" x14ac:dyDescent="0.2"/>
  <cols>
    <col min="15" max="15" width="17.1640625" customWidth="1"/>
    <col min="27" max="27" width="8.6640625" customWidth="1"/>
    <col min="40" max="49" width="8.6640625"/>
    <col min="50" max="52" width="8.6640625" customWidth="1"/>
    <col min="55" max="59" width="8.6640625" style="3"/>
  </cols>
  <sheetData>
    <row r="1" spans="1:74" x14ac:dyDescent="0.2">
      <c r="A1">
        <v>0</v>
      </c>
      <c r="B1" t="s">
        <v>202</v>
      </c>
      <c r="C1" t="s">
        <v>201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702</v>
      </c>
      <c r="L1" t="s">
        <v>703</v>
      </c>
      <c r="M1" t="s">
        <v>8</v>
      </c>
      <c r="N1" t="s">
        <v>9</v>
      </c>
      <c r="O1" t="s">
        <v>10</v>
      </c>
      <c r="P1" t="s">
        <v>11</v>
      </c>
      <c r="Q1" t="s">
        <v>782</v>
      </c>
      <c r="R1" t="s">
        <v>783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273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204</v>
      </c>
      <c r="AY1" t="s">
        <v>205</v>
      </c>
      <c r="AZ1" t="s">
        <v>203</v>
      </c>
      <c r="BA1" t="s">
        <v>44</v>
      </c>
      <c r="BB1" t="s">
        <v>45</v>
      </c>
      <c r="BC1" s="3" t="s">
        <v>46</v>
      </c>
      <c r="BD1" s="3" t="s">
        <v>47</v>
      </c>
      <c r="BE1" s="3" t="s">
        <v>48</v>
      </c>
      <c r="BF1" s="3" t="s">
        <v>49</v>
      </c>
      <c r="BG1" s="3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</v>
      </c>
      <c r="BT1" t="s">
        <v>7</v>
      </c>
      <c r="BU1" t="s">
        <v>12</v>
      </c>
      <c r="BV1" t="s">
        <v>13</v>
      </c>
    </row>
    <row r="2" spans="1:74" s="1" customFormat="1" x14ac:dyDescent="0.2">
      <c r="A2">
        <v>3</v>
      </c>
      <c r="B2">
        <v>3</v>
      </c>
      <c r="C2" t="s">
        <v>70</v>
      </c>
      <c r="D2"/>
      <c r="E2" t="s">
        <v>71</v>
      </c>
      <c r="F2">
        <v>2</v>
      </c>
      <c r="G2">
        <v>1999</v>
      </c>
      <c r="H2">
        <v>23</v>
      </c>
      <c r="I2" t="s">
        <v>64</v>
      </c>
      <c r="J2">
        <v>1</v>
      </c>
      <c r="K2" t="s">
        <v>635</v>
      </c>
      <c r="L2" t="s">
        <v>636</v>
      </c>
      <c r="M2">
        <v>2</v>
      </c>
      <c r="N2">
        <v>66</v>
      </c>
      <c r="O2" t="s">
        <v>277</v>
      </c>
      <c r="P2" t="s">
        <v>278</v>
      </c>
      <c r="Q2" t="s">
        <v>704</v>
      </c>
      <c r="R2" t="s">
        <v>705</v>
      </c>
      <c r="S2" t="s">
        <v>281</v>
      </c>
      <c r="T2" t="s">
        <v>282</v>
      </c>
      <c r="U2" t="s">
        <v>283</v>
      </c>
      <c r="V2" t="s">
        <v>284</v>
      </c>
      <c r="W2" t="s">
        <v>65</v>
      </c>
      <c r="X2" t="s">
        <v>66</v>
      </c>
      <c r="Y2" t="s">
        <v>66</v>
      </c>
      <c r="Z2">
        <v>6</v>
      </c>
      <c r="AA2">
        <v>7</v>
      </c>
      <c r="AB2">
        <v>6</v>
      </c>
      <c r="AC2">
        <v>4</v>
      </c>
      <c r="AD2">
        <v>1</v>
      </c>
      <c r="AE2">
        <v>1</v>
      </c>
      <c r="AF2">
        <v>1</v>
      </c>
      <c r="AG2">
        <v>1</v>
      </c>
      <c r="AH2">
        <v>6</v>
      </c>
      <c r="AI2">
        <v>7</v>
      </c>
      <c r="AJ2">
        <v>1</v>
      </c>
      <c r="AK2">
        <v>6</v>
      </c>
      <c r="AL2">
        <v>6</v>
      </c>
      <c r="AM2">
        <v>1</v>
      </c>
      <c r="AN2">
        <v>122</v>
      </c>
      <c r="AO2">
        <v>1</v>
      </c>
      <c r="AP2">
        <v>2</v>
      </c>
      <c r="AQ2">
        <v>1</v>
      </c>
      <c r="AR2">
        <v>5</v>
      </c>
      <c r="AS2">
        <v>3</v>
      </c>
      <c r="AT2">
        <v>4</v>
      </c>
      <c r="AU2">
        <v>4</v>
      </c>
      <c r="AV2">
        <v>6</v>
      </c>
      <c r="AW2">
        <v>7</v>
      </c>
      <c r="AX2">
        <v>1</v>
      </c>
      <c r="AY2" cm="1">
        <f t="array" ref="AY2">_xlfn.IFS(AZ2="Positive",1, AZ2="Negative",1, AZ2="Neutral",0)</f>
        <v>1</v>
      </c>
      <c r="AZ2" t="str" cm="1">
        <f t="array" ref="AZ2">_xlfn.IFS(AX2=1,"Positive",AX2=2,"Neutral",AX2=3,"Negative")</f>
        <v>Positive</v>
      </c>
      <c r="BA2">
        <v>0</v>
      </c>
      <c r="BB2">
        <v>3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>
        <v>0</v>
      </c>
      <c r="BI2">
        <v>0</v>
      </c>
      <c r="BJ2">
        <v>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 t="s">
        <v>275</v>
      </c>
      <c r="BT2" t="s">
        <v>276</v>
      </c>
      <c r="BU2" t="s">
        <v>279</v>
      </c>
      <c r="BV2" t="s">
        <v>280</v>
      </c>
    </row>
    <row r="3" spans="1:74" s="1" customFormat="1" hidden="1" x14ac:dyDescent="0.2">
      <c r="A3">
        <v>4</v>
      </c>
      <c r="B3">
        <v>4</v>
      </c>
      <c r="C3" t="s">
        <v>72</v>
      </c>
      <c r="D3"/>
      <c r="E3" t="s">
        <v>73</v>
      </c>
      <c r="F3">
        <v>2</v>
      </c>
      <c r="G3">
        <v>1999</v>
      </c>
      <c r="H3">
        <v>23</v>
      </c>
      <c r="I3" t="s">
        <v>64</v>
      </c>
      <c r="J3">
        <v>1</v>
      </c>
      <c r="K3" t="s">
        <v>637</v>
      </c>
      <c r="L3" t="s">
        <v>638</v>
      </c>
      <c r="M3">
        <v>8</v>
      </c>
      <c r="N3">
        <v>61</v>
      </c>
      <c r="O3" t="s">
        <v>287</v>
      </c>
      <c r="P3" t="s">
        <v>288</v>
      </c>
      <c r="Q3" t="s">
        <v>706</v>
      </c>
      <c r="R3" t="s">
        <v>707</v>
      </c>
      <c r="S3" t="s">
        <v>291</v>
      </c>
      <c r="T3" t="s">
        <v>292</v>
      </c>
      <c r="U3" t="s">
        <v>293</v>
      </c>
      <c r="V3" t="s">
        <v>294</v>
      </c>
      <c r="W3" t="s">
        <v>65</v>
      </c>
      <c r="X3" t="s">
        <v>66</v>
      </c>
      <c r="Y3" t="s">
        <v>66</v>
      </c>
      <c r="Z3">
        <v>5</v>
      </c>
      <c r="AA3">
        <v>4</v>
      </c>
      <c r="AB3">
        <v>6</v>
      </c>
      <c r="AC3">
        <v>6</v>
      </c>
      <c r="AD3">
        <v>1</v>
      </c>
      <c r="AE3">
        <v>1</v>
      </c>
      <c r="AF3">
        <v>2</v>
      </c>
      <c r="AG3">
        <v>3</v>
      </c>
      <c r="AH3">
        <v>4</v>
      </c>
      <c r="AI3">
        <v>4</v>
      </c>
      <c r="AJ3">
        <v>4</v>
      </c>
      <c r="AK3">
        <v>3</v>
      </c>
      <c r="AL3">
        <v>1</v>
      </c>
      <c r="AM3">
        <v>5</v>
      </c>
      <c r="AN3">
        <v>127</v>
      </c>
      <c r="AO3">
        <v>7</v>
      </c>
      <c r="AP3">
        <v>4</v>
      </c>
      <c r="AQ3">
        <v>5</v>
      </c>
      <c r="AR3">
        <v>1</v>
      </c>
      <c r="AS3">
        <v>6</v>
      </c>
      <c r="AT3">
        <v>2</v>
      </c>
      <c r="AU3">
        <v>6</v>
      </c>
      <c r="AV3">
        <v>6</v>
      </c>
      <c r="AW3">
        <v>7</v>
      </c>
      <c r="AX3">
        <v>2</v>
      </c>
      <c r="AY3" cm="1">
        <f t="array" ref="AY3">_xlfn.IFS(AZ3="Positive",1, AZ3="Negative",1, AZ3="Neutral",0)</f>
        <v>0</v>
      </c>
      <c r="AZ3" t="str" cm="1">
        <f t="array" ref="AZ3">_xlfn.IFS(AX3=1,"Positive",AX3=2,"Neutral",AX3=3,"Negative")</f>
        <v>Neutral</v>
      </c>
      <c r="BA3">
        <v>12</v>
      </c>
      <c r="BB3">
        <v>0</v>
      </c>
      <c r="BC3" s="3">
        <v>9</v>
      </c>
      <c r="BD3" s="3">
        <v>0</v>
      </c>
      <c r="BE3" s="3">
        <v>1</v>
      </c>
      <c r="BF3" s="3">
        <v>2</v>
      </c>
      <c r="BG3" s="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 t="s">
        <v>285</v>
      </c>
      <c r="BT3" t="s">
        <v>286</v>
      </c>
      <c r="BU3" t="s">
        <v>289</v>
      </c>
      <c r="BV3" t="s">
        <v>290</v>
      </c>
    </row>
    <row r="4" spans="1:74" s="1" customFormat="1" hidden="1" x14ac:dyDescent="0.2">
      <c r="A4">
        <v>5</v>
      </c>
      <c r="B4">
        <v>5</v>
      </c>
      <c r="C4" t="s">
        <v>74</v>
      </c>
      <c r="D4"/>
      <c r="E4" t="s">
        <v>68</v>
      </c>
      <c r="F4">
        <v>6</v>
      </c>
      <c r="G4">
        <v>2001</v>
      </c>
      <c r="H4">
        <v>21</v>
      </c>
      <c r="I4" t="s">
        <v>69</v>
      </c>
      <c r="J4">
        <v>2</v>
      </c>
      <c r="K4" t="s">
        <v>639</v>
      </c>
      <c r="L4" t="s">
        <v>640</v>
      </c>
      <c r="M4">
        <v>20</v>
      </c>
      <c r="N4">
        <v>51</v>
      </c>
      <c r="O4" t="s">
        <v>297</v>
      </c>
      <c r="P4" t="s">
        <v>298</v>
      </c>
      <c r="Q4" t="s">
        <v>708</v>
      </c>
      <c r="R4" t="s">
        <v>709</v>
      </c>
      <c r="S4" t="s">
        <v>301</v>
      </c>
      <c r="T4" t="s">
        <v>302</v>
      </c>
      <c r="U4" t="s">
        <v>303</v>
      </c>
      <c r="V4" t="s">
        <v>304</v>
      </c>
      <c r="W4" t="s">
        <v>65</v>
      </c>
      <c r="X4" t="s">
        <v>66</v>
      </c>
      <c r="Y4" t="s">
        <v>66</v>
      </c>
      <c r="Z4">
        <v>2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3</v>
      </c>
      <c r="AJ4">
        <v>2</v>
      </c>
      <c r="AK4">
        <v>1</v>
      </c>
      <c r="AL4">
        <v>2</v>
      </c>
      <c r="AM4">
        <v>1</v>
      </c>
      <c r="AN4">
        <v>240</v>
      </c>
      <c r="AO4">
        <v>2</v>
      </c>
      <c r="AP4">
        <v>3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2</v>
      </c>
      <c r="AY4" cm="1">
        <f t="array" ref="AY4">_xlfn.IFS(AZ4="Positive",1, AZ4="Negative",1, AZ4="Neutral",0)</f>
        <v>0</v>
      </c>
      <c r="AZ4" t="str" cm="1">
        <f t="array" ref="AZ4">_xlfn.IFS(AX4=1,"Positive",AX4=2,"Neutral",AX4=3,"Negative")</f>
        <v>Neutral</v>
      </c>
      <c r="BA4">
        <v>11</v>
      </c>
      <c r="BB4">
        <v>0</v>
      </c>
      <c r="BC4" s="3">
        <v>8</v>
      </c>
      <c r="BD4" s="3">
        <v>0</v>
      </c>
      <c r="BE4" s="3">
        <v>2</v>
      </c>
      <c r="BF4" s="3">
        <v>1</v>
      </c>
      <c r="BG4" s="3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 t="s">
        <v>295</v>
      </c>
      <c r="BT4" t="s">
        <v>296</v>
      </c>
      <c r="BU4" t="s">
        <v>299</v>
      </c>
      <c r="BV4" t="s">
        <v>300</v>
      </c>
    </row>
    <row r="5" spans="1:74" s="1" customFormat="1" hidden="1" x14ac:dyDescent="0.2">
      <c r="A5">
        <v>6</v>
      </c>
      <c r="B5">
        <v>6</v>
      </c>
      <c r="C5" t="s">
        <v>75</v>
      </c>
      <c r="D5"/>
      <c r="E5" t="s">
        <v>76</v>
      </c>
      <c r="F5">
        <v>28</v>
      </c>
      <c r="G5">
        <v>1999</v>
      </c>
      <c r="H5">
        <v>23</v>
      </c>
      <c r="I5" t="s">
        <v>64</v>
      </c>
      <c r="J5">
        <v>1</v>
      </c>
      <c r="K5" t="s">
        <v>641</v>
      </c>
      <c r="L5" t="s">
        <v>633</v>
      </c>
      <c r="M5">
        <v>21</v>
      </c>
      <c r="N5">
        <v>61</v>
      </c>
      <c r="O5" t="s">
        <v>306</v>
      </c>
      <c r="P5" t="s">
        <v>307</v>
      </c>
      <c r="Q5" t="s">
        <v>710</v>
      </c>
      <c r="R5" t="s">
        <v>711</v>
      </c>
      <c r="S5" t="s">
        <v>310</v>
      </c>
      <c r="T5" t="s">
        <v>292</v>
      </c>
      <c r="U5" t="s">
        <v>311</v>
      </c>
      <c r="V5" t="s">
        <v>312</v>
      </c>
      <c r="W5" t="s">
        <v>65</v>
      </c>
      <c r="X5" t="s">
        <v>66</v>
      </c>
      <c r="Y5" t="s">
        <v>66</v>
      </c>
      <c r="Z5">
        <v>5</v>
      </c>
      <c r="AA5">
        <v>4</v>
      </c>
      <c r="AB5">
        <v>6</v>
      </c>
      <c r="AC5">
        <v>6</v>
      </c>
      <c r="AD5">
        <v>2</v>
      </c>
      <c r="AE5">
        <v>4</v>
      </c>
      <c r="AF5">
        <v>5</v>
      </c>
      <c r="AG5">
        <v>6</v>
      </c>
      <c r="AH5">
        <v>4</v>
      </c>
      <c r="AI5">
        <v>4</v>
      </c>
      <c r="AJ5">
        <v>4</v>
      </c>
      <c r="AK5">
        <v>4</v>
      </c>
      <c r="AL5">
        <v>4</v>
      </c>
      <c r="AM5">
        <v>5</v>
      </c>
      <c r="AN5">
        <v>240</v>
      </c>
      <c r="AO5">
        <v>6</v>
      </c>
      <c r="AP5">
        <v>4</v>
      </c>
      <c r="AQ5">
        <v>4</v>
      </c>
      <c r="AR5">
        <v>6</v>
      </c>
      <c r="AS5">
        <v>5</v>
      </c>
      <c r="AT5">
        <v>6</v>
      </c>
      <c r="AU5">
        <v>4</v>
      </c>
      <c r="AV5">
        <v>6</v>
      </c>
      <c r="AW5">
        <v>5</v>
      </c>
      <c r="AX5">
        <v>2</v>
      </c>
      <c r="AY5" cm="1">
        <f t="array" ref="AY5">_xlfn.IFS(AZ5="Positive",1, AZ5="Negative",1, AZ5="Neutral",0)</f>
        <v>0</v>
      </c>
      <c r="AZ5" t="str" cm="1">
        <f t="array" ref="AZ5">_xlfn.IFS(AX5=1,"Positive",AX5=2,"Neutral",AX5=3,"Negative")</f>
        <v>Neutral</v>
      </c>
      <c r="BA5">
        <v>8</v>
      </c>
      <c r="BB5">
        <v>1</v>
      </c>
      <c r="BC5" s="3">
        <v>5</v>
      </c>
      <c r="BD5" s="3">
        <v>2</v>
      </c>
      <c r="BE5" s="3">
        <v>1</v>
      </c>
      <c r="BF5" s="3">
        <v>0</v>
      </c>
      <c r="BG5" s="3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 t="s">
        <v>305</v>
      </c>
      <c r="BT5">
        <v>3</v>
      </c>
      <c r="BU5" t="s">
        <v>308</v>
      </c>
      <c r="BV5" t="s">
        <v>309</v>
      </c>
    </row>
    <row r="6" spans="1:74" s="1" customFormat="1" hidden="1" x14ac:dyDescent="0.2">
      <c r="A6">
        <v>7</v>
      </c>
      <c r="B6">
        <v>7</v>
      </c>
      <c r="C6" t="s">
        <v>77</v>
      </c>
      <c r="D6"/>
      <c r="E6" t="s">
        <v>78</v>
      </c>
      <c r="F6">
        <v>11</v>
      </c>
      <c r="G6">
        <v>2001</v>
      </c>
      <c r="H6">
        <v>21</v>
      </c>
      <c r="I6" t="s">
        <v>64</v>
      </c>
      <c r="J6">
        <v>1</v>
      </c>
      <c r="K6" t="s">
        <v>642</v>
      </c>
      <c r="L6" t="s">
        <v>643</v>
      </c>
      <c r="M6">
        <v>5</v>
      </c>
      <c r="N6">
        <v>62</v>
      </c>
      <c r="O6" t="s">
        <v>314</v>
      </c>
      <c r="P6" t="s">
        <v>315</v>
      </c>
      <c r="Q6" t="s">
        <v>712</v>
      </c>
      <c r="R6" t="s">
        <v>713</v>
      </c>
      <c r="S6" t="s">
        <v>318</v>
      </c>
      <c r="T6" t="s">
        <v>319</v>
      </c>
      <c r="U6" t="s">
        <v>320</v>
      </c>
      <c r="V6" t="s">
        <v>321</v>
      </c>
      <c r="W6" t="s">
        <v>65</v>
      </c>
      <c r="X6" t="s">
        <v>66</v>
      </c>
      <c r="Y6" t="s">
        <v>66</v>
      </c>
      <c r="Z6">
        <v>7</v>
      </c>
      <c r="AA6">
        <v>6</v>
      </c>
      <c r="AB6">
        <v>6</v>
      </c>
      <c r="AC6">
        <v>4</v>
      </c>
      <c r="AD6">
        <v>4</v>
      </c>
      <c r="AE6">
        <v>6</v>
      </c>
      <c r="AF6">
        <v>3</v>
      </c>
      <c r="AG6">
        <v>1</v>
      </c>
      <c r="AH6">
        <v>7</v>
      </c>
      <c r="AI6">
        <v>1</v>
      </c>
      <c r="AJ6">
        <v>7</v>
      </c>
      <c r="AK6">
        <v>7</v>
      </c>
      <c r="AL6">
        <v>7</v>
      </c>
      <c r="AM6">
        <v>5</v>
      </c>
      <c r="AN6">
        <v>144</v>
      </c>
      <c r="AO6">
        <v>3</v>
      </c>
      <c r="AP6">
        <v>7</v>
      </c>
      <c r="AQ6">
        <v>7</v>
      </c>
      <c r="AR6">
        <v>6</v>
      </c>
      <c r="AS6">
        <v>6</v>
      </c>
      <c r="AT6">
        <v>5</v>
      </c>
      <c r="AU6">
        <v>4</v>
      </c>
      <c r="AV6">
        <v>6</v>
      </c>
      <c r="AW6">
        <v>6</v>
      </c>
      <c r="AX6">
        <v>3</v>
      </c>
      <c r="AY6" cm="1">
        <f t="array" ref="AY6">_xlfn.IFS(AZ6="Positive",1, AZ6="Negative",1, AZ6="Neutral",0)</f>
        <v>1</v>
      </c>
      <c r="AZ6" t="str" cm="1">
        <f t="array" ref="AZ6">_xlfn.IFS(AX6=1,"Positive",AX6=2,"Neutral",AX6=3,"Negative")</f>
        <v>Negative</v>
      </c>
      <c r="BA6">
        <v>12</v>
      </c>
      <c r="BB6">
        <v>0</v>
      </c>
      <c r="BC6" s="3">
        <v>8</v>
      </c>
      <c r="BD6" s="3">
        <v>1</v>
      </c>
      <c r="BE6" s="3">
        <v>1</v>
      </c>
      <c r="BF6" s="3">
        <v>0</v>
      </c>
      <c r="BG6" s="3">
        <v>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 t="s">
        <v>313</v>
      </c>
      <c r="BT6" t="s">
        <v>313</v>
      </c>
      <c r="BU6" t="s">
        <v>316</v>
      </c>
      <c r="BV6" t="s">
        <v>317</v>
      </c>
    </row>
    <row r="7" spans="1:74" s="1" customFormat="1" hidden="1" x14ac:dyDescent="0.2">
      <c r="A7">
        <v>8</v>
      </c>
      <c r="B7">
        <v>8</v>
      </c>
      <c r="C7" t="s">
        <v>79</v>
      </c>
      <c r="D7"/>
      <c r="E7" t="s">
        <v>80</v>
      </c>
      <c r="F7">
        <v>22</v>
      </c>
      <c r="G7">
        <v>2000</v>
      </c>
      <c r="H7">
        <v>22</v>
      </c>
      <c r="I7" t="s">
        <v>64</v>
      </c>
      <c r="J7">
        <v>1</v>
      </c>
      <c r="K7" t="s">
        <v>644</v>
      </c>
      <c r="L7" t="s">
        <v>645</v>
      </c>
      <c r="M7">
        <v>13</v>
      </c>
      <c r="N7">
        <v>71</v>
      </c>
      <c r="O7" t="s">
        <v>324</v>
      </c>
      <c r="P7" t="s">
        <v>325</v>
      </c>
      <c r="Q7" t="s">
        <v>714</v>
      </c>
      <c r="R7" t="s">
        <v>715</v>
      </c>
      <c r="S7" t="s">
        <v>328</v>
      </c>
      <c r="T7" t="s">
        <v>329</v>
      </c>
      <c r="U7" t="s">
        <v>330</v>
      </c>
      <c r="V7" t="s">
        <v>331</v>
      </c>
      <c r="W7" t="s">
        <v>65</v>
      </c>
      <c r="X7" t="s">
        <v>66</v>
      </c>
      <c r="Y7" t="s">
        <v>66</v>
      </c>
      <c r="Z7">
        <v>6</v>
      </c>
      <c r="AA7">
        <v>6</v>
      </c>
      <c r="AB7">
        <v>7</v>
      </c>
      <c r="AC7">
        <v>4</v>
      </c>
      <c r="AD7">
        <v>3</v>
      </c>
      <c r="AE7">
        <v>3</v>
      </c>
      <c r="AF7">
        <v>3</v>
      </c>
      <c r="AG7">
        <v>3</v>
      </c>
      <c r="AH7">
        <v>5</v>
      </c>
      <c r="AI7">
        <v>3</v>
      </c>
      <c r="AJ7">
        <v>5</v>
      </c>
      <c r="AK7">
        <v>4</v>
      </c>
      <c r="AL7">
        <v>3</v>
      </c>
      <c r="AM7">
        <v>4</v>
      </c>
      <c r="AN7">
        <v>51</v>
      </c>
      <c r="AO7">
        <v>6</v>
      </c>
      <c r="AP7">
        <v>5</v>
      </c>
      <c r="AQ7">
        <v>4</v>
      </c>
      <c r="AR7">
        <v>5</v>
      </c>
      <c r="AS7">
        <v>5</v>
      </c>
      <c r="AT7">
        <v>5</v>
      </c>
      <c r="AU7">
        <v>5</v>
      </c>
      <c r="AV7">
        <v>6</v>
      </c>
      <c r="AW7">
        <v>3</v>
      </c>
      <c r="AX7">
        <v>2</v>
      </c>
      <c r="AY7" cm="1">
        <f t="array" ref="AY7">_xlfn.IFS(AZ7="Positive",1, AZ7="Negative",1, AZ7="Neutral",0)</f>
        <v>0</v>
      </c>
      <c r="AZ7" t="str" cm="1">
        <f t="array" ref="AZ7">_xlfn.IFS(AX7=1,"Positive",AX7=2,"Neutral",AX7=3,"Negative")</f>
        <v>Neutral</v>
      </c>
      <c r="BA7">
        <v>11</v>
      </c>
      <c r="BB7">
        <v>0</v>
      </c>
      <c r="BC7" s="3">
        <v>6</v>
      </c>
      <c r="BD7" s="3">
        <v>1</v>
      </c>
      <c r="BE7" s="3">
        <v>2</v>
      </c>
      <c r="BF7" s="3">
        <v>2</v>
      </c>
      <c r="BG7" s="3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 t="s">
        <v>322</v>
      </c>
      <c r="BT7" t="s">
        <v>323</v>
      </c>
      <c r="BU7" t="s">
        <v>326</v>
      </c>
      <c r="BV7" t="s">
        <v>327</v>
      </c>
    </row>
    <row r="8" spans="1:74" s="1" customFormat="1" x14ac:dyDescent="0.2">
      <c r="A8">
        <v>9</v>
      </c>
      <c r="B8">
        <v>9</v>
      </c>
      <c r="C8" t="s">
        <v>81</v>
      </c>
      <c r="D8"/>
      <c r="E8" t="s">
        <v>82</v>
      </c>
      <c r="F8">
        <v>29</v>
      </c>
      <c r="G8">
        <v>1999</v>
      </c>
      <c r="H8">
        <v>23</v>
      </c>
      <c r="I8" t="s">
        <v>69</v>
      </c>
      <c r="J8">
        <v>2</v>
      </c>
      <c r="K8" t="s">
        <v>646</v>
      </c>
      <c r="L8" t="s">
        <v>647</v>
      </c>
      <c r="M8">
        <v>1</v>
      </c>
      <c r="N8">
        <v>43</v>
      </c>
      <c r="O8" t="s">
        <v>332</v>
      </c>
      <c r="P8" t="s">
        <v>315</v>
      </c>
      <c r="Q8" t="s">
        <v>716</v>
      </c>
      <c r="R8" t="s">
        <v>717</v>
      </c>
      <c r="S8" t="s">
        <v>335</v>
      </c>
      <c r="T8" t="s">
        <v>336</v>
      </c>
      <c r="U8" t="s">
        <v>337</v>
      </c>
      <c r="V8" t="s">
        <v>321</v>
      </c>
      <c r="W8" t="s">
        <v>65</v>
      </c>
      <c r="X8" t="s">
        <v>66</v>
      </c>
      <c r="Y8" t="s">
        <v>66</v>
      </c>
      <c r="Z8">
        <v>1</v>
      </c>
      <c r="AA8">
        <v>1</v>
      </c>
      <c r="AB8">
        <v>7</v>
      </c>
      <c r="AC8">
        <v>1</v>
      </c>
      <c r="AD8">
        <v>1</v>
      </c>
      <c r="AE8">
        <v>5</v>
      </c>
      <c r="AF8">
        <v>1</v>
      </c>
      <c r="AG8">
        <v>4</v>
      </c>
      <c r="AH8">
        <v>3</v>
      </c>
      <c r="AI8">
        <v>1</v>
      </c>
      <c r="AJ8">
        <v>5</v>
      </c>
      <c r="AK8">
        <v>2</v>
      </c>
      <c r="AL8">
        <v>1</v>
      </c>
      <c r="AM8">
        <v>4</v>
      </c>
      <c r="AN8">
        <v>120</v>
      </c>
      <c r="AO8">
        <v>4</v>
      </c>
      <c r="AP8">
        <v>5</v>
      </c>
      <c r="AQ8">
        <v>4</v>
      </c>
      <c r="AR8">
        <v>4</v>
      </c>
      <c r="AS8">
        <v>6</v>
      </c>
      <c r="AT8">
        <v>5</v>
      </c>
      <c r="AU8">
        <v>7</v>
      </c>
      <c r="AV8">
        <v>7</v>
      </c>
      <c r="AW8">
        <v>5</v>
      </c>
      <c r="AX8">
        <v>2</v>
      </c>
      <c r="AY8" cm="1">
        <f t="array" ref="AY8">_xlfn.IFS(AZ8="Positive",1, AZ8="Negative",1, AZ8="Neutral",0)</f>
        <v>0</v>
      </c>
      <c r="AZ8" t="str" cm="1">
        <f t="array" ref="AZ8">_xlfn.IFS(AX8=1,"Positive",AX8=2,"Neutral",AX8=3,"Negative")</f>
        <v>Neutral</v>
      </c>
      <c r="BA8">
        <v>0</v>
      </c>
      <c r="BB8">
        <v>4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>
        <v>0</v>
      </c>
      <c r="BI8">
        <v>0</v>
      </c>
      <c r="BJ8">
        <v>2</v>
      </c>
      <c r="BK8">
        <v>0</v>
      </c>
      <c r="BL8">
        <v>2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</v>
      </c>
      <c r="BT8" t="s">
        <v>275</v>
      </c>
      <c r="BU8" t="s">
        <v>333</v>
      </c>
      <c r="BV8" t="s">
        <v>334</v>
      </c>
    </row>
    <row r="9" spans="1:74" s="1" customFormat="1" hidden="1" x14ac:dyDescent="0.2">
      <c r="A9">
        <v>10</v>
      </c>
      <c r="B9">
        <v>10</v>
      </c>
      <c r="C9" t="s">
        <v>83</v>
      </c>
      <c r="D9"/>
      <c r="E9" t="s">
        <v>80</v>
      </c>
      <c r="F9">
        <v>23</v>
      </c>
      <c r="G9">
        <v>2001</v>
      </c>
      <c r="H9">
        <v>21</v>
      </c>
      <c r="I9" t="s">
        <v>64</v>
      </c>
      <c r="J9">
        <v>1</v>
      </c>
      <c r="K9" t="s">
        <v>637</v>
      </c>
      <c r="L9" t="s">
        <v>648</v>
      </c>
      <c r="M9">
        <v>13</v>
      </c>
      <c r="N9">
        <v>59</v>
      </c>
      <c r="O9" t="s">
        <v>338</v>
      </c>
      <c r="P9" t="s">
        <v>339</v>
      </c>
      <c r="Q9" t="s">
        <v>706</v>
      </c>
      <c r="R9" t="s">
        <v>718</v>
      </c>
      <c r="S9" t="s">
        <v>328</v>
      </c>
      <c r="T9" t="s">
        <v>341</v>
      </c>
      <c r="U9" t="s">
        <v>342</v>
      </c>
      <c r="V9" t="s">
        <v>343</v>
      </c>
      <c r="W9" t="s">
        <v>65</v>
      </c>
      <c r="X9" t="s">
        <v>66</v>
      </c>
      <c r="Y9" t="s">
        <v>66</v>
      </c>
      <c r="Z9">
        <v>6</v>
      </c>
      <c r="AA9">
        <v>5</v>
      </c>
      <c r="AB9">
        <v>5</v>
      </c>
      <c r="AC9">
        <v>2</v>
      </c>
      <c r="AD9">
        <v>2</v>
      </c>
      <c r="AE9">
        <v>6</v>
      </c>
      <c r="AF9">
        <v>2</v>
      </c>
      <c r="AG9">
        <v>2</v>
      </c>
      <c r="AH9">
        <v>5</v>
      </c>
      <c r="AI9">
        <v>4</v>
      </c>
      <c r="AJ9">
        <v>3</v>
      </c>
      <c r="AK9">
        <v>2</v>
      </c>
      <c r="AL9">
        <v>1</v>
      </c>
      <c r="AM9">
        <v>1</v>
      </c>
      <c r="AN9">
        <v>48</v>
      </c>
      <c r="AO9">
        <v>2</v>
      </c>
      <c r="AP9">
        <v>4</v>
      </c>
      <c r="AQ9">
        <v>3</v>
      </c>
      <c r="AR9">
        <v>3</v>
      </c>
      <c r="AS9">
        <v>3</v>
      </c>
      <c r="AT9">
        <v>3</v>
      </c>
      <c r="AU9">
        <v>5</v>
      </c>
      <c r="AV9">
        <v>5</v>
      </c>
      <c r="AW9">
        <v>5</v>
      </c>
      <c r="AX9">
        <v>2</v>
      </c>
      <c r="AY9" cm="1">
        <f t="array" ref="AY9">_xlfn.IFS(AZ9="Positive",1, AZ9="Negative",1, AZ9="Neutral",0)</f>
        <v>0</v>
      </c>
      <c r="AZ9" t="str" cm="1">
        <f t="array" ref="AZ9">_xlfn.IFS(AX9=1,"Positive",AX9=2,"Neutral",AX9=3,"Negative")</f>
        <v>Neutral</v>
      </c>
      <c r="BA9">
        <v>8</v>
      </c>
      <c r="BB9">
        <v>5</v>
      </c>
      <c r="BC9" s="3">
        <v>3</v>
      </c>
      <c r="BD9" s="3">
        <v>0</v>
      </c>
      <c r="BE9" s="3">
        <v>2</v>
      </c>
      <c r="BF9" s="3">
        <v>3</v>
      </c>
      <c r="BG9" s="3">
        <v>0</v>
      </c>
      <c r="BH9">
        <v>0</v>
      </c>
      <c r="BI9">
        <v>0</v>
      </c>
      <c r="BJ9">
        <v>2</v>
      </c>
      <c r="BK9">
        <v>0</v>
      </c>
      <c r="BL9">
        <v>3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 t="s">
        <v>285</v>
      </c>
      <c r="BT9">
        <v>2</v>
      </c>
      <c r="BU9" t="s">
        <v>289</v>
      </c>
      <c r="BV9" t="s">
        <v>340</v>
      </c>
    </row>
    <row r="10" spans="1:74" s="1" customFormat="1" hidden="1" x14ac:dyDescent="0.2">
      <c r="A10">
        <v>11</v>
      </c>
      <c r="B10">
        <v>11</v>
      </c>
      <c r="C10" t="s">
        <v>84</v>
      </c>
      <c r="D10"/>
      <c r="E10" t="s">
        <v>85</v>
      </c>
      <c r="F10">
        <v>26</v>
      </c>
      <c r="G10">
        <v>2000</v>
      </c>
      <c r="H10">
        <v>22</v>
      </c>
      <c r="I10" t="s">
        <v>64</v>
      </c>
      <c r="J10">
        <v>1</v>
      </c>
      <c r="K10" t="s">
        <v>649</v>
      </c>
      <c r="L10" t="s">
        <v>650</v>
      </c>
      <c r="M10">
        <v>9</v>
      </c>
      <c r="N10">
        <v>61</v>
      </c>
      <c r="O10" t="s">
        <v>346</v>
      </c>
      <c r="P10" t="s">
        <v>314</v>
      </c>
      <c r="Q10" t="s">
        <v>719</v>
      </c>
      <c r="R10" t="s">
        <v>720</v>
      </c>
      <c r="S10" t="s">
        <v>349</v>
      </c>
      <c r="T10" t="s">
        <v>292</v>
      </c>
      <c r="U10" t="s">
        <v>350</v>
      </c>
      <c r="V10" t="s">
        <v>351</v>
      </c>
      <c r="W10" t="s">
        <v>65</v>
      </c>
      <c r="X10" t="s">
        <v>66</v>
      </c>
      <c r="Y10" t="s">
        <v>66</v>
      </c>
      <c r="Z10">
        <v>6</v>
      </c>
      <c r="AA10">
        <v>6</v>
      </c>
      <c r="AB10">
        <v>6</v>
      </c>
      <c r="AC10">
        <v>6</v>
      </c>
      <c r="AD10">
        <v>1</v>
      </c>
      <c r="AE10">
        <v>5</v>
      </c>
      <c r="AF10">
        <v>4</v>
      </c>
      <c r="AG10">
        <v>1</v>
      </c>
      <c r="AH10">
        <v>6</v>
      </c>
      <c r="AI10">
        <v>4</v>
      </c>
      <c r="AJ10">
        <v>4</v>
      </c>
      <c r="AK10">
        <v>5</v>
      </c>
      <c r="AL10">
        <v>1</v>
      </c>
      <c r="AM10">
        <v>2</v>
      </c>
      <c r="AN10">
        <v>7</v>
      </c>
      <c r="AO10">
        <v>5</v>
      </c>
      <c r="AP10">
        <v>4</v>
      </c>
      <c r="AQ10">
        <v>5</v>
      </c>
      <c r="AR10">
        <v>6</v>
      </c>
      <c r="AS10">
        <v>6</v>
      </c>
      <c r="AT10">
        <v>6</v>
      </c>
      <c r="AU10">
        <v>6</v>
      </c>
      <c r="AV10">
        <v>6</v>
      </c>
      <c r="AW10">
        <v>6</v>
      </c>
      <c r="AX10">
        <v>2</v>
      </c>
      <c r="AY10" cm="1">
        <f t="array" ref="AY10">_xlfn.IFS(AZ10="Positive",1, AZ10="Negative",1, AZ10="Neutral",0)</f>
        <v>0</v>
      </c>
      <c r="AZ10" t="str" cm="1">
        <f t="array" ref="AZ10">_xlfn.IFS(AX10=1,"Positive",AX10=2,"Neutral",AX10=3,"Negative")</f>
        <v>Neutral</v>
      </c>
      <c r="BA10">
        <v>12</v>
      </c>
      <c r="BB10">
        <v>0</v>
      </c>
      <c r="BC10" s="3">
        <v>8</v>
      </c>
      <c r="BD10" s="3">
        <v>1</v>
      </c>
      <c r="BE10" s="3">
        <v>2</v>
      </c>
      <c r="BF10" s="3">
        <v>1</v>
      </c>
      <c r="BG10" s="3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 t="s">
        <v>344</v>
      </c>
      <c r="BT10" t="s">
        <v>345</v>
      </c>
      <c r="BU10" t="s">
        <v>347</v>
      </c>
      <c r="BV10" t="s">
        <v>348</v>
      </c>
    </row>
    <row r="11" spans="1:74" s="1" customFormat="1" hidden="1" x14ac:dyDescent="0.2">
      <c r="A11">
        <v>12</v>
      </c>
      <c r="B11">
        <v>12</v>
      </c>
      <c r="C11" t="s">
        <v>86</v>
      </c>
      <c r="D11"/>
      <c r="E11" t="s">
        <v>63</v>
      </c>
      <c r="F11">
        <v>7</v>
      </c>
      <c r="G11">
        <v>2001</v>
      </c>
      <c r="H11">
        <v>21</v>
      </c>
      <c r="I11" t="s">
        <v>69</v>
      </c>
      <c r="J11">
        <v>2</v>
      </c>
      <c r="K11" t="s">
        <v>651</v>
      </c>
      <c r="L11" t="s">
        <v>652</v>
      </c>
      <c r="M11">
        <v>19</v>
      </c>
      <c r="N11">
        <v>69</v>
      </c>
      <c r="O11" t="s">
        <v>353</v>
      </c>
      <c r="P11" t="s">
        <v>354</v>
      </c>
      <c r="Q11" t="s">
        <v>721</v>
      </c>
      <c r="R11" t="s">
        <v>722</v>
      </c>
      <c r="S11" t="s">
        <v>356</v>
      </c>
      <c r="T11" t="s">
        <v>357</v>
      </c>
      <c r="U11" t="s">
        <v>358</v>
      </c>
      <c r="V11" t="s">
        <v>359</v>
      </c>
      <c r="W11" t="s">
        <v>65</v>
      </c>
      <c r="X11" t="s">
        <v>66</v>
      </c>
      <c r="Y11" t="s">
        <v>66</v>
      </c>
      <c r="Z11">
        <v>5</v>
      </c>
      <c r="AA11">
        <v>5</v>
      </c>
      <c r="AB11">
        <v>7</v>
      </c>
      <c r="AC11">
        <v>6</v>
      </c>
      <c r="AD11">
        <v>1</v>
      </c>
      <c r="AE11">
        <v>5</v>
      </c>
      <c r="AF11">
        <v>2</v>
      </c>
      <c r="AG11">
        <v>5</v>
      </c>
      <c r="AH11">
        <v>5</v>
      </c>
      <c r="AI11">
        <v>2</v>
      </c>
      <c r="AJ11">
        <v>6</v>
      </c>
      <c r="AK11">
        <v>5</v>
      </c>
      <c r="AL11">
        <v>4</v>
      </c>
      <c r="AM11">
        <v>5</v>
      </c>
      <c r="AN11">
        <v>48</v>
      </c>
      <c r="AO11">
        <v>6</v>
      </c>
      <c r="AP11">
        <v>5</v>
      </c>
      <c r="AQ11">
        <v>7</v>
      </c>
      <c r="AR11">
        <v>7</v>
      </c>
      <c r="AS11">
        <v>7</v>
      </c>
      <c r="AT11">
        <v>5</v>
      </c>
      <c r="AU11">
        <v>2</v>
      </c>
      <c r="AV11">
        <v>7</v>
      </c>
      <c r="AW11">
        <v>6</v>
      </c>
      <c r="AX11">
        <v>2</v>
      </c>
      <c r="AY11" cm="1">
        <f t="array" ref="AY11">_xlfn.IFS(AZ11="Positive",1, AZ11="Negative",1, AZ11="Neutral",0)</f>
        <v>0</v>
      </c>
      <c r="AZ11" t="str" cm="1">
        <f t="array" ref="AZ11">_xlfn.IFS(AX11=1,"Positive",AX11=2,"Neutral",AX11=3,"Negative")</f>
        <v>Neutral</v>
      </c>
      <c r="BA11">
        <v>11</v>
      </c>
      <c r="BB11">
        <v>2</v>
      </c>
      <c r="BC11" s="3">
        <v>7</v>
      </c>
      <c r="BD11" s="3">
        <v>1</v>
      </c>
      <c r="BE11" s="3">
        <v>1</v>
      </c>
      <c r="BF11" s="3">
        <v>1</v>
      </c>
      <c r="BG11" s="3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 t="s">
        <v>352</v>
      </c>
      <c r="BT11" t="s">
        <v>296</v>
      </c>
      <c r="BU11" t="s">
        <v>355</v>
      </c>
      <c r="BV11" t="s">
        <v>300</v>
      </c>
    </row>
    <row r="12" spans="1:74" s="1" customFormat="1" hidden="1" x14ac:dyDescent="0.2">
      <c r="A12">
        <v>13</v>
      </c>
      <c r="B12">
        <v>13</v>
      </c>
      <c r="C12" t="s">
        <v>87</v>
      </c>
      <c r="D12"/>
      <c r="E12" t="s">
        <v>88</v>
      </c>
      <c r="F12">
        <v>14</v>
      </c>
      <c r="G12">
        <v>1999</v>
      </c>
      <c r="H12">
        <v>23</v>
      </c>
      <c r="I12" t="s">
        <v>69</v>
      </c>
      <c r="J12">
        <v>2</v>
      </c>
      <c r="K12" t="s">
        <v>416</v>
      </c>
      <c r="L12" t="s">
        <v>653</v>
      </c>
      <c r="M12">
        <v>15</v>
      </c>
      <c r="N12">
        <v>58</v>
      </c>
      <c r="O12" t="s">
        <v>360</v>
      </c>
      <c r="P12" t="s">
        <v>361</v>
      </c>
      <c r="Q12" t="s">
        <v>723</v>
      </c>
      <c r="R12" t="s">
        <v>724</v>
      </c>
      <c r="S12" t="s">
        <v>363</v>
      </c>
      <c r="T12" t="s">
        <v>364</v>
      </c>
      <c r="U12" t="s">
        <v>365</v>
      </c>
      <c r="V12" t="s">
        <v>366</v>
      </c>
      <c r="W12" t="s">
        <v>65</v>
      </c>
      <c r="X12" t="s">
        <v>66</v>
      </c>
      <c r="Y12" t="s">
        <v>66</v>
      </c>
      <c r="Z12">
        <v>7</v>
      </c>
      <c r="AA12">
        <v>6</v>
      </c>
      <c r="AB12">
        <v>7</v>
      </c>
      <c r="AC12">
        <v>2</v>
      </c>
      <c r="AD12">
        <v>1</v>
      </c>
      <c r="AE12">
        <v>4</v>
      </c>
      <c r="AF12">
        <v>2</v>
      </c>
      <c r="AG12">
        <v>1</v>
      </c>
      <c r="AH12">
        <v>4</v>
      </c>
      <c r="AI12">
        <v>5</v>
      </c>
      <c r="AJ12">
        <v>2</v>
      </c>
      <c r="AK12">
        <v>5</v>
      </c>
      <c r="AL12">
        <v>5</v>
      </c>
      <c r="AM12">
        <v>7</v>
      </c>
      <c r="AN12">
        <v>95</v>
      </c>
      <c r="AO12">
        <v>1</v>
      </c>
      <c r="AP12">
        <v>2</v>
      </c>
      <c r="AQ12">
        <v>6</v>
      </c>
      <c r="AR12">
        <v>4</v>
      </c>
      <c r="AS12">
        <v>6</v>
      </c>
      <c r="AT12">
        <v>3</v>
      </c>
      <c r="AU12">
        <v>7</v>
      </c>
      <c r="AV12">
        <v>6</v>
      </c>
      <c r="AW12">
        <v>6</v>
      </c>
      <c r="AX12">
        <v>1</v>
      </c>
      <c r="AY12" cm="1">
        <f t="array" ref="AY12">_xlfn.IFS(AZ12="Positive",1, AZ12="Negative",1, AZ12="Neutral",0)</f>
        <v>1</v>
      </c>
      <c r="AZ12" t="str" cm="1">
        <f t="array" ref="AZ12">_xlfn.IFS(AX12=1,"Positive",AX12=2,"Neutral",AX12=3,"Negative")</f>
        <v>Positive</v>
      </c>
      <c r="BA12">
        <v>7</v>
      </c>
      <c r="BB12">
        <v>0</v>
      </c>
      <c r="BC12" s="3">
        <v>6</v>
      </c>
      <c r="BD12" s="3">
        <v>1</v>
      </c>
      <c r="BE12" s="3">
        <v>0</v>
      </c>
      <c r="BF12" s="3">
        <v>0</v>
      </c>
      <c r="BG12" s="3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 t="s">
        <v>296</v>
      </c>
      <c r="BT12">
        <v>3</v>
      </c>
      <c r="BU12" t="s">
        <v>362</v>
      </c>
      <c r="BV12" t="s">
        <v>309</v>
      </c>
    </row>
    <row r="13" spans="1:74" s="1" customFormat="1" hidden="1" x14ac:dyDescent="0.2">
      <c r="A13">
        <v>15</v>
      </c>
      <c r="B13">
        <v>15</v>
      </c>
      <c r="C13" t="s">
        <v>90</v>
      </c>
      <c r="D13"/>
      <c r="E13" t="s">
        <v>76</v>
      </c>
      <c r="F13">
        <v>26</v>
      </c>
      <c r="G13">
        <v>2000</v>
      </c>
      <c r="H13">
        <v>22</v>
      </c>
      <c r="I13" t="s">
        <v>64</v>
      </c>
      <c r="J13">
        <v>1</v>
      </c>
      <c r="K13" t="s">
        <v>655</v>
      </c>
      <c r="L13" t="s">
        <v>656</v>
      </c>
      <c r="M13">
        <v>3</v>
      </c>
      <c r="N13">
        <v>69</v>
      </c>
      <c r="O13" t="s">
        <v>368</v>
      </c>
      <c r="P13" t="s">
        <v>369</v>
      </c>
      <c r="Q13" t="s">
        <v>725</v>
      </c>
      <c r="R13" t="s">
        <v>726</v>
      </c>
      <c r="S13" t="s">
        <v>372</v>
      </c>
      <c r="T13" t="s">
        <v>357</v>
      </c>
      <c r="U13" t="s">
        <v>373</v>
      </c>
      <c r="V13" t="s">
        <v>374</v>
      </c>
      <c r="W13" t="s">
        <v>65</v>
      </c>
      <c r="X13" t="s">
        <v>66</v>
      </c>
      <c r="Y13" t="s">
        <v>66</v>
      </c>
      <c r="Z13">
        <v>5</v>
      </c>
      <c r="AA13">
        <v>5</v>
      </c>
      <c r="AB13">
        <v>6</v>
      </c>
      <c r="AC13">
        <v>2</v>
      </c>
      <c r="AD13">
        <v>1</v>
      </c>
      <c r="AE13">
        <v>4</v>
      </c>
      <c r="AF13">
        <v>2</v>
      </c>
      <c r="AG13">
        <v>3</v>
      </c>
      <c r="AH13">
        <v>3</v>
      </c>
      <c r="AI13">
        <v>7</v>
      </c>
      <c r="AJ13">
        <v>1</v>
      </c>
      <c r="AK13">
        <v>6</v>
      </c>
      <c r="AL13">
        <v>6</v>
      </c>
      <c r="AM13">
        <v>4</v>
      </c>
      <c r="AN13">
        <v>106</v>
      </c>
      <c r="AO13">
        <v>3</v>
      </c>
      <c r="AP13">
        <v>2</v>
      </c>
      <c r="AQ13">
        <v>4</v>
      </c>
      <c r="AR13">
        <v>5</v>
      </c>
      <c r="AS13">
        <v>5</v>
      </c>
      <c r="AT13">
        <v>6</v>
      </c>
      <c r="AU13">
        <v>4</v>
      </c>
      <c r="AV13">
        <v>4</v>
      </c>
      <c r="AW13">
        <v>3</v>
      </c>
      <c r="AX13">
        <v>1</v>
      </c>
      <c r="AY13" cm="1">
        <f t="array" ref="AY13">_xlfn.IFS(AZ13="Positive",1, AZ13="Negative",1, AZ13="Neutral",0)</f>
        <v>1</v>
      </c>
      <c r="AZ13" t="str" cm="1">
        <f t="array" ref="AZ13">_xlfn.IFS(AX13=1,"Positive",AX13=2,"Neutral",AX13=3,"Negative")</f>
        <v>Positive</v>
      </c>
      <c r="BA13">
        <v>12</v>
      </c>
      <c r="BB13">
        <v>1</v>
      </c>
      <c r="BC13" s="3">
        <v>8</v>
      </c>
      <c r="BD13" s="3">
        <v>0</v>
      </c>
      <c r="BE13" s="3">
        <v>2</v>
      </c>
      <c r="BF13" s="3">
        <v>1</v>
      </c>
      <c r="BG13" s="3">
        <v>1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4</v>
      </c>
      <c r="BT13" t="s">
        <v>367</v>
      </c>
      <c r="BU13" t="s">
        <v>370</v>
      </c>
      <c r="BV13" t="s">
        <v>371</v>
      </c>
    </row>
    <row r="14" spans="1:74" s="1" customFormat="1" x14ac:dyDescent="0.2">
      <c r="A14">
        <v>16</v>
      </c>
      <c r="B14">
        <v>16</v>
      </c>
      <c r="C14" t="s">
        <v>91</v>
      </c>
      <c r="D14"/>
      <c r="E14" t="s">
        <v>82</v>
      </c>
      <c r="F14">
        <v>8</v>
      </c>
      <c r="G14">
        <v>2000</v>
      </c>
      <c r="H14">
        <v>22</v>
      </c>
      <c r="I14" t="s">
        <v>64</v>
      </c>
      <c r="J14">
        <v>1</v>
      </c>
      <c r="K14" t="s">
        <v>657</v>
      </c>
      <c r="L14" t="s">
        <v>654</v>
      </c>
      <c r="M14">
        <v>10</v>
      </c>
      <c r="N14">
        <v>72</v>
      </c>
      <c r="O14" t="s">
        <v>278</v>
      </c>
      <c r="P14" t="s">
        <v>376</v>
      </c>
      <c r="Q14" t="s">
        <v>727</v>
      </c>
      <c r="R14" t="s">
        <v>728</v>
      </c>
      <c r="S14" t="s">
        <v>378</v>
      </c>
      <c r="T14" t="s">
        <v>379</v>
      </c>
      <c r="U14" t="s">
        <v>380</v>
      </c>
      <c r="V14" t="s">
        <v>381</v>
      </c>
      <c r="W14" t="s">
        <v>65</v>
      </c>
      <c r="X14" t="s">
        <v>66</v>
      </c>
      <c r="Y14" t="s">
        <v>66</v>
      </c>
      <c r="Z14">
        <v>5</v>
      </c>
      <c r="AA14">
        <v>4</v>
      </c>
      <c r="AB14">
        <v>6</v>
      </c>
      <c r="AC14">
        <v>2</v>
      </c>
      <c r="AD14">
        <v>1</v>
      </c>
      <c r="AE14">
        <v>6</v>
      </c>
      <c r="AF14">
        <v>3</v>
      </c>
      <c r="AG14">
        <v>1</v>
      </c>
      <c r="AH14">
        <v>6</v>
      </c>
      <c r="AI14">
        <v>7</v>
      </c>
      <c r="AJ14">
        <v>1</v>
      </c>
      <c r="AK14">
        <v>5</v>
      </c>
      <c r="AL14">
        <v>7</v>
      </c>
      <c r="AM14">
        <v>6</v>
      </c>
      <c r="AN14">
        <v>144</v>
      </c>
      <c r="AO14">
        <v>1</v>
      </c>
      <c r="AP14">
        <v>1</v>
      </c>
      <c r="AQ14">
        <v>3</v>
      </c>
      <c r="AR14">
        <v>5</v>
      </c>
      <c r="AS14">
        <v>7</v>
      </c>
      <c r="AT14">
        <v>7</v>
      </c>
      <c r="AU14">
        <v>7</v>
      </c>
      <c r="AV14">
        <v>7</v>
      </c>
      <c r="AW14">
        <v>7</v>
      </c>
      <c r="AX14">
        <v>1</v>
      </c>
      <c r="AY14" cm="1">
        <f t="array" ref="AY14">_xlfn.IFS(AZ14="Positive",1, AZ14="Negative",1, AZ14="Neutral",0)</f>
        <v>1</v>
      </c>
      <c r="AZ14" t="str" cm="1">
        <f t="array" ref="AZ14">_xlfn.IFS(AX14=1,"Positive",AX14=2,"Neutral",AX14=3,"Negative")</f>
        <v>Positive</v>
      </c>
      <c r="BA14">
        <v>0</v>
      </c>
      <c r="BB14">
        <v>4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>
        <v>0</v>
      </c>
      <c r="BI14">
        <v>0</v>
      </c>
      <c r="BJ14">
        <v>1</v>
      </c>
      <c r="BK14">
        <v>0</v>
      </c>
      <c r="BL14">
        <v>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 t="s">
        <v>375</v>
      </c>
      <c r="BT14" t="s">
        <v>367</v>
      </c>
      <c r="BU14" t="s">
        <v>377</v>
      </c>
      <c r="BV14" t="s">
        <v>371</v>
      </c>
    </row>
    <row r="15" spans="1:74" s="1" customFormat="1" x14ac:dyDescent="0.2">
      <c r="A15">
        <v>17</v>
      </c>
      <c r="B15">
        <v>17</v>
      </c>
      <c r="C15" t="s">
        <v>92</v>
      </c>
      <c r="D15"/>
      <c r="E15" t="s">
        <v>93</v>
      </c>
      <c r="F15">
        <v>25</v>
      </c>
      <c r="G15">
        <v>2001</v>
      </c>
      <c r="H15">
        <v>21</v>
      </c>
      <c r="I15" t="s">
        <v>64</v>
      </c>
      <c r="J15">
        <v>1</v>
      </c>
      <c r="K15" t="s">
        <v>658</v>
      </c>
      <c r="L15" t="s">
        <v>653</v>
      </c>
      <c r="M15">
        <v>10</v>
      </c>
      <c r="N15">
        <v>69</v>
      </c>
      <c r="O15" t="s">
        <v>384</v>
      </c>
      <c r="P15" t="s">
        <v>307</v>
      </c>
      <c r="Q15" t="s">
        <v>729</v>
      </c>
      <c r="R15" t="s">
        <v>724</v>
      </c>
      <c r="S15" t="s">
        <v>378</v>
      </c>
      <c r="T15" t="s">
        <v>357</v>
      </c>
      <c r="U15" t="s">
        <v>387</v>
      </c>
      <c r="V15" t="s">
        <v>312</v>
      </c>
      <c r="W15" t="s">
        <v>65</v>
      </c>
      <c r="X15" t="s">
        <v>66</v>
      </c>
      <c r="Y15" t="s">
        <v>66</v>
      </c>
      <c r="Z15">
        <v>4</v>
      </c>
      <c r="AA15">
        <v>3</v>
      </c>
      <c r="AB15">
        <v>7</v>
      </c>
      <c r="AC15">
        <v>7</v>
      </c>
      <c r="AD15">
        <v>1</v>
      </c>
      <c r="AE15">
        <v>7</v>
      </c>
      <c r="AF15">
        <v>4</v>
      </c>
      <c r="AG15">
        <v>4</v>
      </c>
      <c r="AH15">
        <v>7</v>
      </c>
      <c r="AI15">
        <v>7</v>
      </c>
      <c r="AJ15">
        <v>1</v>
      </c>
      <c r="AK15">
        <v>1</v>
      </c>
      <c r="AL15">
        <v>2</v>
      </c>
      <c r="AM15">
        <v>6</v>
      </c>
      <c r="AN15">
        <v>240</v>
      </c>
      <c r="AO15">
        <v>7</v>
      </c>
      <c r="AP15">
        <v>1</v>
      </c>
      <c r="AQ15">
        <v>1</v>
      </c>
      <c r="AR15">
        <v>4</v>
      </c>
      <c r="AS15">
        <v>4</v>
      </c>
      <c r="AT15">
        <v>4</v>
      </c>
      <c r="AU15">
        <v>7</v>
      </c>
      <c r="AV15">
        <v>7</v>
      </c>
      <c r="AW15">
        <v>7</v>
      </c>
      <c r="AX15">
        <v>1</v>
      </c>
      <c r="AY15" cm="1">
        <f t="array" ref="AY15">_xlfn.IFS(AZ15="Positive",1, AZ15="Negative",1, AZ15="Neutral",0)</f>
        <v>1</v>
      </c>
      <c r="AZ15" t="str" cm="1">
        <f t="array" ref="AZ15">_xlfn.IFS(AX15=1,"Positive",AX15=2,"Neutral",AX15=3,"Negative")</f>
        <v>Positive</v>
      </c>
      <c r="BA15">
        <v>0</v>
      </c>
      <c r="BB15">
        <v>2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>
        <v>0</v>
      </c>
      <c r="BI15">
        <v>0</v>
      </c>
      <c r="BJ15">
        <v>1</v>
      </c>
      <c r="BK15">
        <v>0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 t="s">
        <v>382</v>
      </c>
      <c r="BT15" t="s">
        <v>383</v>
      </c>
      <c r="BU15" t="s">
        <v>385</v>
      </c>
      <c r="BV15" t="s">
        <v>386</v>
      </c>
    </row>
    <row r="16" spans="1:74" s="1" customFormat="1" hidden="1" x14ac:dyDescent="0.2">
      <c r="A16">
        <v>18</v>
      </c>
      <c r="B16">
        <v>18</v>
      </c>
      <c r="C16" t="s">
        <v>94</v>
      </c>
      <c r="D16"/>
      <c r="E16" t="s">
        <v>76</v>
      </c>
      <c r="F16">
        <v>17</v>
      </c>
      <c r="G16">
        <v>1997</v>
      </c>
      <c r="H16">
        <v>25</v>
      </c>
      <c r="I16" t="s">
        <v>69</v>
      </c>
      <c r="J16">
        <v>2</v>
      </c>
      <c r="K16" t="s">
        <v>651</v>
      </c>
      <c r="L16" t="s">
        <v>659</v>
      </c>
      <c r="M16">
        <v>10</v>
      </c>
      <c r="N16">
        <v>69</v>
      </c>
      <c r="O16" t="s">
        <v>389</v>
      </c>
      <c r="P16" t="s">
        <v>389</v>
      </c>
      <c r="Q16" t="s">
        <v>721</v>
      </c>
      <c r="R16" t="s">
        <v>730</v>
      </c>
      <c r="S16" t="s">
        <v>378</v>
      </c>
      <c r="T16" t="s">
        <v>357</v>
      </c>
      <c r="U16" t="s">
        <v>391</v>
      </c>
      <c r="V16" t="s">
        <v>392</v>
      </c>
      <c r="W16" t="s">
        <v>65</v>
      </c>
      <c r="X16" t="s">
        <v>66</v>
      </c>
      <c r="Y16" t="s">
        <v>66</v>
      </c>
      <c r="Z16">
        <v>7</v>
      </c>
      <c r="AA16">
        <v>4</v>
      </c>
      <c r="AB16">
        <v>5</v>
      </c>
      <c r="AC16">
        <v>5</v>
      </c>
      <c r="AD16">
        <v>1</v>
      </c>
      <c r="AE16">
        <v>7</v>
      </c>
      <c r="AF16">
        <v>1</v>
      </c>
      <c r="AG16">
        <v>1</v>
      </c>
      <c r="AH16">
        <v>3</v>
      </c>
      <c r="AI16">
        <v>1</v>
      </c>
      <c r="AJ16">
        <v>7</v>
      </c>
      <c r="AK16">
        <v>4</v>
      </c>
      <c r="AL16">
        <v>1</v>
      </c>
      <c r="AM16">
        <v>1</v>
      </c>
      <c r="AN16">
        <v>1</v>
      </c>
      <c r="AO16">
        <v>1</v>
      </c>
      <c r="AP16">
        <v>7</v>
      </c>
      <c r="AQ16">
        <v>7</v>
      </c>
      <c r="AR16">
        <v>7</v>
      </c>
      <c r="AS16">
        <v>6</v>
      </c>
      <c r="AT16">
        <v>6</v>
      </c>
      <c r="AU16">
        <v>7</v>
      </c>
      <c r="AV16">
        <v>7</v>
      </c>
      <c r="AW16">
        <v>7</v>
      </c>
      <c r="AX16">
        <v>3</v>
      </c>
      <c r="AY16" cm="1">
        <f t="array" ref="AY16">_xlfn.IFS(AZ16="Positive",1, AZ16="Negative",1, AZ16="Neutral",0)</f>
        <v>1</v>
      </c>
      <c r="AZ16" t="str" cm="1">
        <f t="array" ref="AZ16">_xlfn.IFS(AX16=1,"Positive",AX16=2,"Neutral",AX16=3,"Negative")</f>
        <v>Negative</v>
      </c>
      <c r="BA16">
        <v>5</v>
      </c>
      <c r="BB16">
        <v>1</v>
      </c>
      <c r="BC16" s="3">
        <v>3</v>
      </c>
      <c r="BD16" s="3">
        <v>0</v>
      </c>
      <c r="BE16" s="3">
        <v>1</v>
      </c>
      <c r="BF16" s="3">
        <v>1</v>
      </c>
      <c r="BG16" s="3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0</v>
      </c>
      <c r="BS16">
        <v>4</v>
      </c>
      <c r="BT16" t="s">
        <v>388</v>
      </c>
      <c r="BU16" t="s">
        <v>370</v>
      </c>
      <c r="BV16" t="s">
        <v>390</v>
      </c>
    </row>
    <row r="17" spans="1:74" s="1" customFormat="1" hidden="1" x14ac:dyDescent="0.2">
      <c r="A17">
        <v>19</v>
      </c>
      <c r="B17">
        <v>19</v>
      </c>
      <c r="C17" t="s">
        <v>95</v>
      </c>
      <c r="D17"/>
      <c r="E17" t="s">
        <v>73</v>
      </c>
      <c r="F17">
        <v>30</v>
      </c>
      <c r="G17">
        <v>1999</v>
      </c>
      <c r="H17">
        <v>23</v>
      </c>
      <c r="I17" t="s">
        <v>64</v>
      </c>
      <c r="J17">
        <v>1</v>
      </c>
      <c r="K17" t="s">
        <v>632</v>
      </c>
      <c r="L17" t="s">
        <v>632</v>
      </c>
      <c r="M17">
        <v>4</v>
      </c>
      <c r="N17">
        <v>72</v>
      </c>
      <c r="O17" t="s">
        <v>393</v>
      </c>
      <c r="P17" t="s">
        <v>394</v>
      </c>
      <c r="Q17" t="s">
        <v>731</v>
      </c>
      <c r="R17" t="s">
        <v>732</v>
      </c>
      <c r="S17" t="s">
        <v>396</v>
      </c>
      <c r="T17" t="s">
        <v>379</v>
      </c>
      <c r="U17" t="s">
        <v>397</v>
      </c>
      <c r="V17" t="s">
        <v>398</v>
      </c>
      <c r="W17" t="s">
        <v>65</v>
      </c>
      <c r="X17" t="s">
        <v>66</v>
      </c>
      <c r="Y17" t="s">
        <v>66</v>
      </c>
      <c r="Z17">
        <v>7</v>
      </c>
      <c r="AA17">
        <v>5</v>
      </c>
      <c r="AB17">
        <v>6</v>
      </c>
      <c r="AC17">
        <v>7</v>
      </c>
      <c r="AD17">
        <v>3</v>
      </c>
      <c r="AE17">
        <v>2</v>
      </c>
      <c r="AF17">
        <v>6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110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2</v>
      </c>
      <c r="AY17" cm="1">
        <f t="array" ref="AY17">_xlfn.IFS(AZ17="Positive",1, AZ17="Negative",1, AZ17="Neutral",0)</f>
        <v>0</v>
      </c>
      <c r="AZ17" t="str" cm="1">
        <f t="array" ref="AZ17">_xlfn.IFS(AX17=1,"Positive",AX17=2,"Neutral",AX17=3,"Negative")</f>
        <v>Neutral</v>
      </c>
      <c r="BA17">
        <v>5</v>
      </c>
      <c r="BB17">
        <v>0</v>
      </c>
      <c r="BC17" s="3">
        <v>3</v>
      </c>
      <c r="BD17" s="3">
        <v>0</v>
      </c>
      <c r="BE17" s="3">
        <v>2</v>
      </c>
      <c r="BF17" s="3">
        <v>0</v>
      </c>
      <c r="BG17" s="3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3</v>
      </c>
      <c r="BT17">
        <v>3</v>
      </c>
      <c r="BU17" t="s">
        <v>395</v>
      </c>
      <c r="BV17" t="s">
        <v>309</v>
      </c>
    </row>
    <row r="18" spans="1:74" s="1" customFormat="1" hidden="1" x14ac:dyDescent="0.2">
      <c r="A18">
        <v>20</v>
      </c>
      <c r="B18">
        <v>20</v>
      </c>
      <c r="C18" t="s">
        <v>96</v>
      </c>
      <c r="D18"/>
      <c r="E18" t="s">
        <v>97</v>
      </c>
      <c r="F18">
        <v>27</v>
      </c>
      <c r="G18">
        <v>1998</v>
      </c>
      <c r="H18">
        <v>24</v>
      </c>
      <c r="I18" t="s">
        <v>64</v>
      </c>
      <c r="J18">
        <v>1</v>
      </c>
      <c r="K18" t="s">
        <v>644</v>
      </c>
      <c r="L18" t="s">
        <v>660</v>
      </c>
      <c r="M18">
        <v>2</v>
      </c>
      <c r="N18">
        <v>47</v>
      </c>
      <c r="O18" t="s">
        <v>287</v>
      </c>
      <c r="P18" t="s">
        <v>389</v>
      </c>
      <c r="Q18" t="s">
        <v>714</v>
      </c>
      <c r="R18" t="s">
        <v>733</v>
      </c>
      <c r="S18" t="s">
        <v>281</v>
      </c>
      <c r="T18" t="s">
        <v>401</v>
      </c>
      <c r="U18" t="s">
        <v>293</v>
      </c>
      <c r="V18" t="s">
        <v>392</v>
      </c>
      <c r="W18" t="s">
        <v>65</v>
      </c>
      <c r="X18" t="s">
        <v>66</v>
      </c>
      <c r="Y18" t="s">
        <v>66</v>
      </c>
      <c r="Z18">
        <v>7</v>
      </c>
      <c r="AA18">
        <v>6</v>
      </c>
      <c r="AB18">
        <v>6</v>
      </c>
      <c r="AC18">
        <v>5</v>
      </c>
      <c r="AD18">
        <v>6</v>
      </c>
      <c r="AE18">
        <v>6</v>
      </c>
      <c r="AF18">
        <v>4</v>
      </c>
      <c r="AG18">
        <v>1</v>
      </c>
      <c r="AH18">
        <v>3</v>
      </c>
      <c r="AI18">
        <v>5</v>
      </c>
      <c r="AJ18">
        <v>3</v>
      </c>
      <c r="AK18">
        <v>4</v>
      </c>
      <c r="AL18">
        <v>4</v>
      </c>
      <c r="AM18">
        <v>6</v>
      </c>
      <c r="AN18">
        <v>24</v>
      </c>
      <c r="AO18">
        <v>4</v>
      </c>
      <c r="AP18">
        <v>5</v>
      </c>
      <c r="AQ18">
        <v>3</v>
      </c>
      <c r="AR18">
        <v>6</v>
      </c>
      <c r="AS18">
        <v>6</v>
      </c>
      <c r="AT18">
        <v>6</v>
      </c>
      <c r="AU18">
        <v>6</v>
      </c>
      <c r="AV18">
        <v>6</v>
      </c>
      <c r="AW18">
        <v>6</v>
      </c>
      <c r="AX18">
        <v>2</v>
      </c>
      <c r="AY18" cm="1">
        <f t="array" ref="AY18">_xlfn.IFS(AZ18="Positive",1, AZ18="Negative",1, AZ18="Neutral",0)</f>
        <v>0</v>
      </c>
      <c r="AZ18" t="str" cm="1">
        <f t="array" ref="AZ18">_xlfn.IFS(AX18=1,"Positive",AX18=2,"Neutral",AX18=3,"Negative")</f>
        <v>Neutral</v>
      </c>
      <c r="BA18">
        <v>15</v>
      </c>
      <c r="BB18">
        <v>1</v>
      </c>
      <c r="BC18" s="3">
        <v>6</v>
      </c>
      <c r="BD18" s="3">
        <v>2</v>
      </c>
      <c r="BE18" s="3">
        <v>3</v>
      </c>
      <c r="BF18" s="3">
        <v>3</v>
      </c>
      <c r="BG18" s="3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 t="s">
        <v>399</v>
      </c>
      <c r="BT18" t="s">
        <v>367</v>
      </c>
      <c r="BU18" t="s">
        <v>400</v>
      </c>
      <c r="BV18" t="s">
        <v>371</v>
      </c>
    </row>
    <row r="19" spans="1:74" s="1" customFormat="1" hidden="1" x14ac:dyDescent="0.2">
      <c r="A19">
        <v>21</v>
      </c>
      <c r="B19">
        <v>21</v>
      </c>
      <c r="C19" t="s">
        <v>98</v>
      </c>
      <c r="D19"/>
      <c r="E19" t="s">
        <v>82</v>
      </c>
      <c r="F19">
        <v>27</v>
      </c>
      <c r="G19">
        <v>1997</v>
      </c>
      <c r="H19">
        <v>25</v>
      </c>
      <c r="I19" t="s">
        <v>64</v>
      </c>
      <c r="J19">
        <v>1</v>
      </c>
      <c r="K19" t="s">
        <v>661</v>
      </c>
      <c r="L19" t="s">
        <v>662</v>
      </c>
      <c r="M19">
        <v>6</v>
      </c>
      <c r="N19">
        <v>55</v>
      </c>
      <c r="O19" t="s">
        <v>287</v>
      </c>
      <c r="P19" t="s">
        <v>389</v>
      </c>
      <c r="Q19" t="s">
        <v>734</v>
      </c>
      <c r="R19" t="s">
        <v>735</v>
      </c>
      <c r="S19" t="s">
        <v>403</v>
      </c>
      <c r="T19" t="s">
        <v>404</v>
      </c>
      <c r="U19" t="s">
        <v>293</v>
      </c>
      <c r="V19" t="s">
        <v>392</v>
      </c>
      <c r="W19" t="s">
        <v>65</v>
      </c>
      <c r="X19" t="s">
        <v>66</v>
      </c>
      <c r="Y19" t="s">
        <v>66</v>
      </c>
      <c r="Z19">
        <v>7</v>
      </c>
      <c r="AA19">
        <v>6</v>
      </c>
      <c r="AB19">
        <v>6</v>
      </c>
      <c r="AC19">
        <v>5</v>
      </c>
      <c r="AD19">
        <v>6</v>
      </c>
      <c r="AE19">
        <v>6</v>
      </c>
      <c r="AF19">
        <v>4</v>
      </c>
      <c r="AG19">
        <v>1</v>
      </c>
      <c r="AH19">
        <v>3</v>
      </c>
      <c r="AI19">
        <v>5</v>
      </c>
      <c r="AJ19">
        <v>3</v>
      </c>
      <c r="AK19">
        <v>4</v>
      </c>
      <c r="AL19">
        <v>4</v>
      </c>
      <c r="AM19">
        <v>6</v>
      </c>
      <c r="AN19">
        <v>24</v>
      </c>
      <c r="AO19">
        <v>4</v>
      </c>
      <c r="AP19">
        <v>5</v>
      </c>
      <c r="AQ19">
        <v>3</v>
      </c>
      <c r="AR19">
        <v>6</v>
      </c>
      <c r="AS19">
        <v>6</v>
      </c>
      <c r="AT19">
        <v>6</v>
      </c>
      <c r="AU19">
        <v>6</v>
      </c>
      <c r="AV19">
        <v>6</v>
      </c>
      <c r="AW19">
        <v>6</v>
      </c>
      <c r="AX19">
        <v>2</v>
      </c>
      <c r="AY19" cm="1">
        <f t="array" ref="AY19">_xlfn.IFS(AZ19="Positive",1, AZ19="Negative",1, AZ19="Neutral",0)</f>
        <v>0</v>
      </c>
      <c r="AZ19" t="str" cm="1">
        <f t="array" ref="AZ19">_xlfn.IFS(AX19=1,"Positive",AX19=2,"Neutral",AX19=3,"Negative")</f>
        <v>Neutral</v>
      </c>
      <c r="BA19">
        <v>5</v>
      </c>
      <c r="BB19">
        <v>1</v>
      </c>
      <c r="BC19" s="3">
        <v>3</v>
      </c>
      <c r="BD19" s="3">
        <v>0</v>
      </c>
      <c r="BE19" s="3">
        <v>1</v>
      </c>
      <c r="BF19" s="3">
        <v>1</v>
      </c>
      <c r="BG19" s="3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 t="s">
        <v>305</v>
      </c>
      <c r="BT19" t="s">
        <v>305</v>
      </c>
      <c r="BU19" t="s">
        <v>308</v>
      </c>
      <c r="BV19" t="s">
        <v>402</v>
      </c>
    </row>
    <row r="20" spans="1:74" s="1" customFormat="1" hidden="1" x14ac:dyDescent="0.2">
      <c r="A20">
        <v>22</v>
      </c>
      <c r="B20">
        <v>22</v>
      </c>
      <c r="C20" t="s">
        <v>99</v>
      </c>
      <c r="D20"/>
      <c r="E20" t="s">
        <v>68</v>
      </c>
      <c r="F20">
        <v>17</v>
      </c>
      <c r="G20">
        <v>1998</v>
      </c>
      <c r="H20">
        <v>24</v>
      </c>
      <c r="I20" t="s">
        <v>64</v>
      </c>
      <c r="J20">
        <v>1</v>
      </c>
      <c r="K20" t="s">
        <v>456</v>
      </c>
      <c r="L20" t="s">
        <v>643</v>
      </c>
      <c r="M20">
        <v>6</v>
      </c>
      <c r="N20">
        <v>55</v>
      </c>
      <c r="O20" t="s">
        <v>332</v>
      </c>
      <c r="P20" t="s">
        <v>405</v>
      </c>
      <c r="Q20" t="s">
        <v>736</v>
      </c>
      <c r="R20" t="s">
        <v>713</v>
      </c>
      <c r="S20" t="s">
        <v>403</v>
      </c>
      <c r="T20" t="s">
        <v>404</v>
      </c>
      <c r="U20" t="s">
        <v>337</v>
      </c>
      <c r="V20" t="s">
        <v>407</v>
      </c>
      <c r="W20" t="s">
        <v>65</v>
      </c>
      <c r="X20" t="s">
        <v>66</v>
      </c>
      <c r="Y20" t="s">
        <v>66</v>
      </c>
      <c r="Z20">
        <v>7</v>
      </c>
      <c r="AA20">
        <v>1</v>
      </c>
      <c r="AB20">
        <v>6</v>
      </c>
      <c r="AC20">
        <v>4</v>
      </c>
      <c r="AD20">
        <v>1</v>
      </c>
      <c r="AE20">
        <v>1</v>
      </c>
      <c r="AF20">
        <v>1</v>
      </c>
      <c r="AG20">
        <v>1</v>
      </c>
      <c r="AH20">
        <v>6</v>
      </c>
      <c r="AI20">
        <v>4</v>
      </c>
      <c r="AJ20">
        <v>4</v>
      </c>
      <c r="AK20">
        <v>4</v>
      </c>
      <c r="AL20">
        <v>2</v>
      </c>
      <c r="AM20">
        <v>4</v>
      </c>
      <c r="AN20">
        <v>219</v>
      </c>
      <c r="AO20">
        <v>7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3</v>
      </c>
      <c r="AX20">
        <v>2</v>
      </c>
      <c r="AY20" cm="1">
        <f t="array" ref="AY20">_xlfn.IFS(AZ20="Positive",1, AZ20="Negative",1, AZ20="Neutral",0)</f>
        <v>0</v>
      </c>
      <c r="AZ20" t="str" cm="1">
        <f t="array" ref="AZ20">_xlfn.IFS(AX20=1,"Positive",AX20=2,"Neutral",AX20=3,"Negative")</f>
        <v>Neutral</v>
      </c>
      <c r="BA20">
        <v>6</v>
      </c>
      <c r="BB20">
        <v>0</v>
      </c>
      <c r="BC20" s="3">
        <v>2</v>
      </c>
      <c r="BD20" s="3">
        <v>0</v>
      </c>
      <c r="BE20" s="3">
        <v>2</v>
      </c>
      <c r="BF20" s="3">
        <v>1</v>
      </c>
      <c r="BG20" s="3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 t="s">
        <v>405</v>
      </c>
      <c r="BT20" t="s">
        <v>313</v>
      </c>
      <c r="BU20" t="s">
        <v>406</v>
      </c>
      <c r="BV20" t="s">
        <v>317</v>
      </c>
    </row>
    <row r="21" spans="1:74" s="1" customFormat="1" hidden="1" x14ac:dyDescent="0.2">
      <c r="A21">
        <v>23</v>
      </c>
      <c r="B21">
        <v>23</v>
      </c>
      <c r="C21" t="s">
        <v>100</v>
      </c>
      <c r="D21"/>
      <c r="E21" t="s">
        <v>78</v>
      </c>
      <c r="F21">
        <v>31</v>
      </c>
      <c r="G21">
        <v>2000</v>
      </c>
      <c r="H21">
        <v>22</v>
      </c>
      <c r="I21" t="s">
        <v>69</v>
      </c>
      <c r="J21">
        <v>2</v>
      </c>
      <c r="K21" t="s">
        <v>663</v>
      </c>
      <c r="L21" t="s">
        <v>652</v>
      </c>
      <c r="M21">
        <v>0</v>
      </c>
      <c r="N21">
        <v>58</v>
      </c>
      <c r="O21" t="s">
        <v>408</v>
      </c>
      <c r="P21" t="s">
        <v>409</v>
      </c>
      <c r="Q21" t="s">
        <v>737</v>
      </c>
      <c r="R21" t="s">
        <v>722</v>
      </c>
      <c r="S21" t="s">
        <v>411</v>
      </c>
      <c r="T21" t="s">
        <v>364</v>
      </c>
      <c r="U21" t="s">
        <v>412</v>
      </c>
      <c r="V21" t="s">
        <v>413</v>
      </c>
      <c r="W21" t="s">
        <v>65</v>
      </c>
      <c r="X21" t="s">
        <v>66</v>
      </c>
      <c r="Y21" t="s">
        <v>66</v>
      </c>
      <c r="Z21">
        <v>7</v>
      </c>
      <c r="AA21">
        <v>6</v>
      </c>
      <c r="AB21">
        <v>4</v>
      </c>
      <c r="AC21">
        <v>4</v>
      </c>
      <c r="AD21">
        <v>1</v>
      </c>
      <c r="AE21">
        <v>1</v>
      </c>
      <c r="AF21">
        <v>1</v>
      </c>
      <c r="AG21">
        <v>1</v>
      </c>
      <c r="AH21">
        <v>7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240</v>
      </c>
      <c r="AO21">
        <v>1</v>
      </c>
      <c r="AP21">
        <v>1</v>
      </c>
      <c r="AQ21">
        <v>1</v>
      </c>
      <c r="AR21">
        <v>6</v>
      </c>
      <c r="AS21">
        <v>7</v>
      </c>
      <c r="AT21">
        <v>7</v>
      </c>
      <c r="AU21">
        <v>7</v>
      </c>
      <c r="AV21">
        <v>7</v>
      </c>
      <c r="AW21">
        <v>7</v>
      </c>
      <c r="AX21">
        <v>1</v>
      </c>
      <c r="AY21" cm="1">
        <f t="array" ref="AY21">_xlfn.IFS(AZ21="Positive",1, AZ21="Negative",1, AZ21="Neutral",0)</f>
        <v>1</v>
      </c>
      <c r="AZ21" t="str" cm="1">
        <f t="array" ref="AZ21">_xlfn.IFS(AX21=1,"Positive",AX21=2,"Neutral",AX21=3,"Negative")</f>
        <v>Positive</v>
      </c>
      <c r="BA21">
        <v>6</v>
      </c>
      <c r="BB21">
        <v>0</v>
      </c>
      <c r="BC21" s="3">
        <v>4</v>
      </c>
      <c r="BD21" s="3">
        <v>0</v>
      </c>
      <c r="BE21" s="3">
        <v>2</v>
      </c>
      <c r="BF21" s="3">
        <v>0</v>
      </c>
      <c r="BG21" s="3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 t="s">
        <v>405</v>
      </c>
      <c r="BT21" t="s">
        <v>382</v>
      </c>
      <c r="BU21" t="s">
        <v>406</v>
      </c>
      <c r="BV21" t="s">
        <v>410</v>
      </c>
    </row>
    <row r="22" spans="1:74" s="1" customFormat="1" x14ac:dyDescent="0.2">
      <c r="A22">
        <v>24</v>
      </c>
      <c r="B22">
        <v>24</v>
      </c>
      <c r="C22" t="s">
        <v>101</v>
      </c>
      <c r="D22"/>
      <c r="E22" t="s">
        <v>76</v>
      </c>
      <c r="F22">
        <v>18</v>
      </c>
      <c r="G22">
        <v>2000</v>
      </c>
      <c r="H22">
        <v>22</v>
      </c>
      <c r="I22" t="s">
        <v>64</v>
      </c>
      <c r="J22">
        <v>1</v>
      </c>
      <c r="K22" t="s">
        <v>664</v>
      </c>
      <c r="L22" t="s">
        <v>648</v>
      </c>
      <c r="M22">
        <v>9</v>
      </c>
      <c r="N22">
        <v>48</v>
      </c>
      <c r="O22" t="s">
        <v>415</v>
      </c>
      <c r="P22" t="s">
        <v>416</v>
      </c>
      <c r="Q22" t="s">
        <v>738</v>
      </c>
      <c r="R22" t="s">
        <v>718</v>
      </c>
      <c r="S22" t="s">
        <v>349</v>
      </c>
      <c r="T22" t="s">
        <v>418</v>
      </c>
      <c r="U22" t="s">
        <v>419</v>
      </c>
      <c r="V22" t="s">
        <v>420</v>
      </c>
      <c r="W22" t="s">
        <v>65</v>
      </c>
      <c r="X22" t="s">
        <v>66</v>
      </c>
      <c r="Y22" t="s">
        <v>66</v>
      </c>
      <c r="Z22">
        <v>7</v>
      </c>
      <c r="AA22">
        <v>6</v>
      </c>
      <c r="AB22">
        <v>6</v>
      </c>
      <c r="AC22">
        <v>6</v>
      </c>
      <c r="AD22">
        <v>2</v>
      </c>
      <c r="AE22">
        <v>6</v>
      </c>
      <c r="AF22">
        <v>2</v>
      </c>
      <c r="AG22">
        <v>1</v>
      </c>
      <c r="AH22">
        <v>6</v>
      </c>
      <c r="AI22">
        <v>7</v>
      </c>
      <c r="AJ22">
        <v>1</v>
      </c>
      <c r="AK22">
        <v>5</v>
      </c>
      <c r="AL22">
        <v>4</v>
      </c>
      <c r="AM22">
        <v>5</v>
      </c>
      <c r="AN22">
        <v>240</v>
      </c>
      <c r="AO22">
        <v>5</v>
      </c>
      <c r="AP22">
        <v>2</v>
      </c>
      <c r="AQ22">
        <v>2</v>
      </c>
      <c r="AR22">
        <v>5</v>
      </c>
      <c r="AS22">
        <v>5</v>
      </c>
      <c r="AT22">
        <v>5</v>
      </c>
      <c r="AU22">
        <v>6</v>
      </c>
      <c r="AV22">
        <v>6</v>
      </c>
      <c r="AW22">
        <v>6</v>
      </c>
      <c r="AX22">
        <v>1</v>
      </c>
      <c r="AY22" cm="1">
        <f t="array" ref="AY22">_xlfn.IFS(AZ22="Positive",1, AZ22="Negative",1, AZ22="Neutral",0)</f>
        <v>1</v>
      </c>
      <c r="AZ22" t="str" cm="1">
        <f t="array" ref="AZ22">_xlfn.IFS(AX22=1,"Positive",AX22=2,"Neutral",AX22=3,"Negative")</f>
        <v>Positive</v>
      </c>
      <c r="BA22">
        <v>0</v>
      </c>
      <c r="BB22">
        <v>3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>
        <v>0</v>
      </c>
      <c r="BI22">
        <v>0</v>
      </c>
      <c r="BJ22">
        <v>2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 t="s">
        <v>414</v>
      </c>
      <c r="BT22">
        <v>2</v>
      </c>
      <c r="BU22" t="s">
        <v>417</v>
      </c>
      <c r="BV22" t="s">
        <v>340</v>
      </c>
    </row>
    <row r="23" spans="1:74" s="1" customFormat="1" x14ac:dyDescent="0.2">
      <c r="A23">
        <v>25</v>
      </c>
      <c r="B23">
        <v>25</v>
      </c>
      <c r="C23" t="s">
        <v>102</v>
      </c>
      <c r="D23"/>
      <c r="E23" t="s">
        <v>63</v>
      </c>
      <c r="F23">
        <v>3</v>
      </c>
      <c r="G23">
        <v>2001</v>
      </c>
      <c r="H23">
        <v>21</v>
      </c>
      <c r="I23" t="s">
        <v>69</v>
      </c>
      <c r="J23">
        <v>2</v>
      </c>
      <c r="K23" t="s">
        <v>661</v>
      </c>
      <c r="L23" t="s">
        <v>665</v>
      </c>
      <c r="M23">
        <v>0</v>
      </c>
      <c r="N23">
        <v>56</v>
      </c>
      <c r="O23" t="s">
        <v>421</v>
      </c>
      <c r="P23" t="s">
        <v>394</v>
      </c>
      <c r="Q23" t="s">
        <v>734</v>
      </c>
      <c r="R23" t="s">
        <v>739</v>
      </c>
      <c r="S23" t="s">
        <v>411</v>
      </c>
      <c r="T23" t="s">
        <v>423</v>
      </c>
      <c r="U23" t="s">
        <v>424</v>
      </c>
      <c r="V23" t="s">
        <v>398</v>
      </c>
      <c r="W23" t="s">
        <v>65</v>
      </c>
      <c r="X23" t="s">
        <v>66</v>
      </c>
      <c r="Y23" t="s">
        <v>66</v>
      </c>
      <c r="Z23">
        <v>7</v>
      </c>
      <c r="AA23">
        <v>4</v>
      </c>
      <c r="AB23">
        <v>5</v>
      </c>
      <c r="AC23">
        <v>2</v>
      </c>
      <c r="AD23">
        <v>3</v>
      </c>
      <c r="AE23">
        <v>6</v>
      </c>
      <c r="AF23">
        <v>2</v>
      </c>
      <c r="AG23">
        <v>2</v>
      </c>
      <c r="AH23">
        <v>4</v>
      </c>
      <c r="AI23">
        <v>4</v>
      </c>
      <c r="AJ23">
        <v>2</v>
      </c>
      <c r="AK23">
        <v>3</v>
      </c>
      <c r="AL23">
        <v>2</v>
      </c>
      <c r="AM23">
        <v>1</v>
      </c>
      <c r="AN23">
        <v>129</v>
      </c>
      <c r="AO23">
        <v>3</v>
      </c>
      <c r="AP23">
        <v>5</v>
      </c>
      <c r="AQ23">
        <v>4</v>
      </c>
      <c r="AR23">
        <v>4</v>
      </c>
      <c r="AS23">
        <v>4</v>
      </c>
      <c r="AT23">
        <v>4</v>
      </c>
      <c r="AU23">
        <v>5</v>
      </c>
      <c r="AV23">
        <v>4</v>
      </c>
      <c r="AW23">
        <v>3</v>
      </c>
      <c r="AX23">
        <v>2</v>
      </c>
      <c r="AY23" cm="1">
        <f t="array" ref="AY23">_xlfn.IFS(AZ23="Positive",1, AZ23="Negative",1, AZ23="Neutral",0)</f>
        <v>0</v>
      </c>
      <c r="AZ23" t="str" cm="1">
        <f t="array" ref="AZ23">_xlfn.IFS(AX23=1,"Positive",AX23=2,"Neutral",AX23=3,"Negative")</f>
        <v>Neutral</v>
      </c>
      <c r="BA23">
        <v>0</v>
      </c>
      <c r="BB23">
        <v>3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>
        <v>0</v>
      </c>
      <c r="BI23">
        <v>0</v>
      </c>
      <c r="BJ23">
        <v>3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 t="s">
        <v>285</v>
      </c>
      <c r="BT23" t="s">
        <v>322</v>
      </c>
      <c r="BU23" t="s">
        <v>289</v>
      </c>
      <c r="BV23" t="s">
        <v>422</v>
      </c>
    </row>
    <row r="24" spans="1:74" s="1" customFormat="1" hidden="1" x14ac:dyDescent="0.2">
      <c r="A24">
        <v>26</v>
      </c>
      <c r="B24">
        <v>26</v>
      </c>
      <c r="C24" t="s">
        <v>103</v>
      </c>
      <c r="D24"/>
      <c r="E24" t="s">
        <v>97</v>
      </c>
      <c r="F24">
        <v>14</v>
      </c>
      <c r="G24">
        <v>2001</v>
      </c>
      <c r="H24">
        <v>21</v>
      </c>
      <c r="I24" t="s">
        <v>64</v>
      </c>
      <c r="J24">
        <v>1</v>
      </c>
      <c r="K24" t="s">
        <v>663</v>
      </c>
      <c r="L24" t="s">
        <v>645</v>
      </c>
      <c r="M24">
        <v>7</v>
      </c>
      <c r="N24">
        <v>67</v>
      </c>
      <c r="O24" t="s">
        <v>277</v>
      </c>
      <c r="P24" t="s">
        <v>427</v>
      </c>
      <c r="Q24" t="s">
        <v>737</v>
      </c>
      <c r="R24" t="s">
        <v>715</v>
      </c>
      <c r="S24" t="s">
        <v>430</v>
      </c>
      <c r="T24" t="s">
        <v>431</v>
      </c>
      <c r="U24" t="s">
        <v>283</v>
      </c>
      <c r="V24" t="s">
        <v>432</v>
      </c>
      <c r="W24" t="s">
        <v>65</v>
      </c>
      <c r="X24" t="s">
        <v>66</v>
      </c>
      <c r="Y24" t="s">
        <v>66</v>
      </c>
      <c r="Z24">
        <v>7</v>
      </c>
      <c r="AA24">
        <v>5</v>
      </c>
      <c r="AB24">
        <v>7</v>
      </c>
      <c r="AC24">
        <v>3</v>
      </c>
      <c r="AD24">
        <v>1</v>
      </c>
      <c r="AE24">
        <v>1</v>
      </c>
      <c r="AF24">
        <v>3</v>
      </c>
      <c r="AG24">
        <v>3</v>
      </c>
      <c r="AH24">
        <v>5</v>
      </c>
      <c r="AI24">
        <v>2</v>
      </c>
      <c r="AJ24">
        <v>5</v>
      </c>
      <c r="AK24">
        <v>5</v>
      </c>
      <c r="AL24">
        <v>2</v>
      </c>
      <c r="AM24">
        <v>4</v>
      </c>
      <c r="AN24">
        <v>58</v>
      </c>
      <c r="AO24">
        <v>5</v>
      </c>
      <c r="AP24">
        <v>5</v>
      </c>
      <c r="AQ24">
        <v>5</v>
      </c>
      <c r="AR24">
        <v>6</v>
      </c>
      <c r="AS24">
        <v>7</v>
      </c>
      <c r="AT24">
        <v>7</v>
      </c>
      <c r="AU24">
        <v>7</v>
      </c>
      <c r="AV24">
        <v>7</v>
      </c>
      <c r="AW24">
        <v>3</v>
      </c>
      <c r="AX24">
        <v>2</v>
      </c>
      <c r="AY24" cm="1">
        <f t="array" ref="AY24">_xlfn.IFS(AZ24="Positive",1, AZ24="Negative",1, AZ24="Neutral",0)</f>
        <v>0</v>
      </c>
      <c r="AZ24" t="str" cm="1">
        <f t="array" ref="AZ24">_xlfn.IFS(AX24=1,"Positive",AX24=2,"Neutral",AX24=3,"Negative")</f>
        <v>Neutral</v>
      </c>
      <c r="BA24">
        <v>14</v>
      </c>
      <c r="BB24">
        <v>4</v>
      </c>
      <c r="BC24" s="3">
        <v>9</v>
      </c>
      <c r="BD24" s="3">
        <v>1</v>
      </c>
      <c r="BE24" s="3">
        <v>2</v>
      </c>
      <c r="BF24" s="3">
        <v>1</v>
      </c>
      <c r="BG24" s="3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3</v>
      </c>
      <c r="BN24">
        <v>0</v>
      </c>
      <c r="BO24">
        <v>0</v>
      </c>
      <c r="BP24">
        <v>1</v>
      </c>
      <c r="BQ24">
        <v>0</v>
      </c>
      <c r="BR24">
        <v>0</v>
      </c>
      <c r="BS24" t="s">
        <v>425</v>
      </c>
      <c r="BT24" t="s">
        <v>426</v>
      </c>
      <c r="BU24" t="s">
        <v>428</v>
      </c>
      <c r="BV24" t="s">
        <v>429</v>
      </c>
    </row>
    <row r="25" spans="1:74" s="1" customFormat="1" x14ac:dyDescent="0.2">
      <c r="A25">
        <v>27</v>
      </c>
      <c r="B25">
        <v>27</v>
      </c>
      <c r="C25" t="s">
        <v>104</v>
      </c>
      <c r="D25"/>
      <c r="E25" t="s">
        <v>85</v>
      </c>
      <c r="F25">
        <v>26</v>
      </c>
      <c r="G25">
        <v>2001</v>
      </c>
      <c r="H25">
        <v>21</v>
      </c>
      <c r="I25" t="s">
        <v>64</v>
      </c>
      <c r="J25">
        <v>1</v>
      </c>
      <c r="K25" t="s">
        <v>651</v>
      </c>
      <c r="L25" t="s">
        <v>647</v>
      </c>
      <c r="M25">
        <v>7</v>
      </c>
      <c r="N25">
        <v>69</v>
      </c>
      <c r="O25">
        <v>6</v>
      </c>
      <c r="P25" t="s">
        <v>353</v>
      </c>
      <c r="Q25" t="s">
        <v>721</v>
      </c>
      <c r="R25" t="s">
        <v>717</v>
      </c>
      <c r="S25" t="s">
        <v>430</v>
      </c>
      <c r="T25" t="s">
        <v>357</v>
      </c>
      <c r="U25" t="s">
        <v>436</v>
      </c>
      <c r="V25" t="s">
        <v>437</v>
      </c>
      <c r="W25" t="s">
        <v>65</v>
      </c>
      <c r="X25" t="s">
        <v>66</v>
      </c>
      <c r="Y25" t="s">
        <v>66</v>
      </c>
      <c r="Z25">
        <v>7</v>
      </c>
      <c r="AA25">
        <v>5</v>
      </c>
      <c r="AB25">
        <v>6</v>
      </c>
      <c r="AC25">
        <v>7</v>
      </c>
      <c r="AD25">
        <v>2</v>
      </c>
      <c r="AE25">
        <v>2</v>
      </c>
      <c r="AF25">
        <v>3</v>
      </c>
      <c r="AG25">
        <v>1</v>
      </c>
      <c r="AH25">
        <v>6</v>
      </c>
      <c r="AI25">
        <v>5</v>
      </c>
      <c r="AJ25">
        <v>1</v>
      </c>
      <c r="AK25">
        <v>4</v>
      </c>
      <c r="AL25">
        <v>3</v>
      </c>
      <c r="AM25">
        <v>6</v>
      </c>
      <c r="AN25">
        <v>183</v>
      </c>
      <c r="AO25">
        <v>2</v>
      </c>
      <c r="AP25">
        <v>3</v>
      </c>
      <c r="AQ25">
        <v>5</v>
      </c>
      <c r="AR25">
        <v>3</v>
      </c>
      <c r="AS25">
        <v>6</v>
      </c>
      <c r="AT25">
        <v>6</v>
      </c>
      <c r="AU25">
        <v>6</v>
      </c>
      <c r="AV25">
        <v>6</v>
      </c>
      <c r="AW25">
        <v>6</v>
      </c>
      <c r="AX25">
        <v>2</v>
      </c>
      <c r="AY25" cm="1">
        <f t="array" ref="AY25">_xlfn.IFS(AZ25="Positive",1, AZ25="Negative",1, AZ25="Neutral",0)</f>
        <v>0</v>
      </c>
      <c r="AZ25" t="str" cm="1">
        <f t="array" ref="AZ25">_xlfn.IFS(AX25=1,"Positive",AX25=2,"Neutral",AX25=3,"Negative")</f>
        <v>Neutral</v>
      </c>
      <c r="BA25">
        <v>0</v>
      </c>
      <c r="BB25">
        <v>4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>
        <v>0</v>
      </c>
      <c r="BI25">
        <v>0</v>
      </c>
      <c r="BJ25">
        <v>4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 t="s">
        <v>388</v>
      </c>
      <c r="BT25" t="s">
        <v>433</v>
      </c>
      <c r="BU25" t="s">
        <v>434</v>
      </c>
      <c r="BV25" t="s">
        <v>435</v>
      </c>
    </row>
    <row r="26" spans="1:74" s="1" customFormat="1" hidden="1" x14ac:dyDescent="0.2">
      <c r="A26">
        <v>28</v>
      </c>
      <c r="B26">
        <v>28</v>
      </c>
      <c r="C26" t="s">
        <v>105</v>
      </c>
      <c r="D26"/>
      <c r="E26" t="s">
        <v>85</v>
      </c>
      <c r="F26">
        <v>15</v>
      </c>
      <c r="G26">
        <v>2001</v>
      </c>
      <c r="H26">
        <v>21</v>
      </c>
      <c r="I26" t="s">
        <v>64</v>
      </c>
      <c r="J26">
        <v>1</v>
      </c>
      <c r="K26" t="s">
        <v>655</v>
      </c>
      <c r="L26" t="s">
        <v>653</v>
      </c>
      <c r="M26">
        <v>8</v>
      </c>
      <c r="N26">
        <v>65</v>
      </c>
      <c r="O26" t="s">
        <v>376</v>
      </c>
      <c r="P26" t="s">
        <v>438</v>
      </c>
      <c r="Q26" t="s">
        <v>725</v>
      </c>
      <c r="R26" t="s">
        <v>724</v>
      </c>
      <c r="S26" t="s">
        <v>291</v>
      </c>
      <c r="T26" t="s">
        <v>439</v>
      </c>
      <c r="U26" t="s">
        <v>440</v>
      </c>
      <c r="V26" t="s">
        <v>441</v>
      </c>
      <c r="W26" t="s">
        <v>65</v>
      </c>
      <c r="X26" t="s">
        <v>66</v>
      </c>
      <c r="Y26" t="s">
        <v>66</v>
      </c>
      <c r="Z26">
        <v>7</v>
      </c>
      <c r="AA26">
        <v>6</v>
      </c>
      <c r="AB26">
        <v>6</v>
      </c>
      <c r="AC26">
        <v>4</v>
      </c>
      <c r="AD26">
        <v>4</v>
      </c>
      <c r="AE26">
        <v>7</v>
      </c>
      <c r="AF26">
        <v>6</v>
      </c>
      <c r="AG26">
        <v>3</v>
      </c>
      <c r="AH26">
        <v>6</v>
      </c>
      <c r="AI26">
        <v>1</v>
      </c>
      <c r="AJ26">
        <v>7</v>
      </c>
      <c r="AK26">
        <v>7</v>
      </c>
      <c r="AL26">
        <v>3</v>
      </c>
      <c r="AM26">
        <v>3</v>
      </c>
      <c r="AN26">
        <v>35</v>
      </c>
      <c r="AO26">
        <v>4</v>
      </c>
      <c r="AP26">
        <v>6</v>
      </c>
      <c r="AQ26">
        <v>6</v>
      </c>
      <c r="AR26">
        <v>4</v>
      </c>
      <c r="AS26">
        <v>6</v>
      </c>
      <c r="AT26">
        <v>6</v>
      </c>
      <c r="AU26">
        <v>6</v>
      </c>
      <c r="AV26">
        <v>6</v>
      </c>
      <c r="AW26">
        <v>5</v>
      </c>
      <c r="AX26">
        <v>3</v>
      </c>
      <c r="AY26" cm="1">
        <f t="array" ref="AY26">_xlfn.IFS(AZ26="Positive",1, AZ26="Negative",1, AZ26="Neutral",0)</f>
        <v>1</v>
      </c>
      <c r="AZ26" t="str" cm="1">
        <f t="array" ref="AZ26">_xlfn.IFS(AX26=1,"Positive",AX26=2,"Neutral",AX26=3,"Negative")</f>
        <v>Negative</v>
      </c>
      <c r="BA26">
        <v>10</v>
      </c>
      <c r="BB26">
        <v>1</v>
      </c>
      <c r="BC26" s="3">
        <v>5</v>
      </c>
      <c r="BD26" s="3">
        <v>0</v>
      </c>
      <c r="BE26" s="3">
        <v>1</v>
      </c>
      <c r="BF26" s="3">
        <v>2</v>
      </c>
      <c r="BG26" s="3">
        <v>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 t="s">
        <v>414</v>
      </c>
      <c r="BT26">
        <v>3</v>
      </c>
      <c r="BU26" t="s">
        <v>417</v>
      </c>
      <c r="BV26" t="s">
        <v>309</v>
      </c>
    </row>
    <row r="27" spans="1:74" s="1" customFormat="1" hidden="1" x14ac:dyDescent="0.2">
      <c r="A27">
        <v>29</v>
      </c>
      <c r="B27">
        <v>29</v>
      </c>
      <c r="C27" t="s">
        <v>106</v>
      </c>
      <c r="D27"/>
      <c r="E27" t="s">
        <v>78</v>
      </c>
      <c r="F27">
        <v>3</v>
      </c>
      <c r="G27">
        <v>1999</v>
      </c>
      <c r="H27">
        <v>23</v>
      </c>
      <c r="I27" t="s">
        <v>64</v>
      </c>
      <c r="J27">
        <v>1</v>
      </c>
      <c r="K27" t="s">
        <v>644</v>
      </c>
      <c r="L27" t="s">
        <v>666</v>
      </c>
      <c r="M27">
        <v>17</v>
      </c>
      <c r="N27">
        <v>60</v>
      </c>
      <c r="O27" t="s">
        <v>442</v>
      </c>
      <c r="P27" t="s">
        <v>409</v>
      </c>
      <c r="Q27" t="s">
        <v>714</v>
      </c>
      <c r="R27" t="s">
        <v>740</v>
      </c>
      <c r="S27" t="s">
        <v>443</v>
      </c>
      <c r="T27" t="s">
        <v>444</v>
      </c>
      <c r="U27" t="s">
        <v>445</v>
      </c>
      <c r="V27" t="s">
        <v>413</v>
      </c>
      <c r="W27" t="s">
        <v>65</v>
      </c>
      <c r="X27" t="s">
        <v>66</v>
      </c>
      <c r="Y27" t="s">
        <v>66</v>
      </c>
      <c r="Z27">
        <v>7</v>
      </c>
      <c r="AA27">
        <v>7</v>
      </c>
      <c r="AB27">
        <v>5</v>
      </c>
      <c r="AC27">
        <v>6</v>
      </c>
      <c r="AD27">
        <v>1</v>
      </c>
      <c r="AE27">
        <v>6</v>
      </c>
      <c r="AF27">
        <v>3</v>
      </c>
      <c r="AG27">
        <v>2</v>
      </c>
      <c r="AH27">
        <v>6</v>
      </c>
      <c r="AI27">
        <v>7</v>
      </c>
      <c r="AJ27">
        <v>1</v>
      </c>
      <c r="AK27">
        <v>4</v>
      </c>
      <c r="AL27">
        <v>5</v>
      </c>
      <c r="AM27">
        <v>3</v>
      </c>
      <c r="AN27">
        <v>109</v>
      </c>
      <c r="AO27">
        <v>5</v>
      </c>
      <c r="AP27">
        <v>2</v>
      </c>
      <c r="AQ27">
        <v>3</v>
      </c>
      <c r="AR27">
        <v>2</v>
      </c>
      <c r="AS27">
        <v>7</v>
      </c>
      <c r="AT27">
        <v>4</v>
      </c>
      <c r="AU27">
        <v>6</v>
      </c>
      <c r="AV27">
        <v>7</v>
      </c>
      <c r="AW27">
        <v>7</v>
      </c>
      <c r="AX27">
        <v>1</v>
      </c>
      <c r="AY27" cm="1">
        <f t="array" ref="AY27">_xlfn.IFS(AZ27="Positive",1, AZ27="Negative",1, AZ27="Neutral",0)</f>
        <v>1</v>
      </c>
      <c r="AZ27" t="str" cm="1">
        <f t="array" ref="AZ27">_xlfn.IFS(AX27=1,"Positive",AX27=2,"Neutral",AX27=3,"Negative")</f>
        <v>Positive</v>
      </c>
      <c r="BA27">
        <v>11</v>
      </c>
      <c r="BB27">
        <v>0</v>
      </c>
      <c r="BC27" s="3">
        <v>6</v>
      </c>
      <c r="BD27" s="3">
        <v>1</v>
      </c>
      <c r="BE27" s="3">
        <v>2</v>
      </c>
      <c r="BF27" s="3">
        <v>1</v>
      </c>
      <c r="BG27" s="3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 t="s">
        <v>296</v>
      </c>
      <c r="BT27" t="s">
        <v>276</v>
      </c>
      <c r="BU27" t="s">
        <v>362</v>
      </c>
      <c r="BV27" t="s">
        <v>280</v>
      </c>
    </row>
    <row r="28" spans="1:74" s="1" customFormat="1" hidden="1" x14ac:dyDescent="0.2">
      <c r="A28">
        <v>30</v>
      </c>
      <c r="B28">
        <v>30</v>
      </c>
      <c r="C28" t="s">
        <v>107</v>
      </c>
      <c r="D28"/>
      <c r="E28" t="s">
        <v>73</v>
      </c>
      <c r="F28">
        <v>30</v>
      </c>
      <c r="G28">
        <v>1999</v>
      </c>
      <c r="H28">
        <v>23</v>
      </c>
      <c r="I28" t="s">
        <v>64</v>
      </c>
      <c r="J28">
        <v>1</v>
      </c>
      <c r="K28" t="s">
        <v>661</v>
      </c>
      <c r="L28" t="s">
        <v>652</v>
      </c>
      <c r="M28">
        <v>6</v>
      </c>
      <c r="N28">
        <v>66</v>
      </c>
      <c r="O28" t="s">
        <v>446</v>
      </c>
      <c r="P28" t="s">
        <v>369</v>
      </c>
      <c r="Q28" t="s">
        <v>734</v>
      </c>
      <c r="R28" t="s">
        <v>722</v>
      </c>
      <c r="S28" t="s">
        <v>403</v>
      </c>
      <c r="T28" t="s">
        <v>282</v>
      </c>
      <c r="U28" t="s">
        <v>448</v>
      </c>
      <c r="V28" t="s">
        <v>374</v>
      </c>
      <c r="W28" t="s">
        <v>65</v>
      </c>
      <c r="X28" t="s">
        <v>66</v>
      </c>
      <c r="Y28" t="s">
        <v>66</v>
      </c>
      <c r="Z28">
        <v>7</v>
      </c>
      <c r="AA28">
        <v>5</v>
      </c>
      <c r="AB28">
        <v>6</v>
      </c>
      <c r="AC28">
        <v>6</v>
      </c>
      <c r="AD28">
        <v>5</v>
      </c>
      <c r="AE28">
        <v>5</v>
      </c>
      <c r="AF28">
        <v>6</v>
      </c>
      <c r="AG28">
        <v>4</v>
      </c>
      <c r="AH28">
        <v>5</v>
      </c>
      <c r="AI28">
        <v>5</v>
      </c>
      <c r="AJ28">
        <v>6</v>
      </c>
      <c r="AK28">
        <v>5</v>
      </c>
      <c r="AL28">
        <v>6</v>
      </c>
      <c r="AM28">
        <v>5</v>
      </c>
      <c r="AN28">
        <v>169</v>
      </c>
      <c r="AO28">
        <v>6</v>
      </c>
      <c r="AP28">
        <v>5</v>
      </c>
      <c r="AQ28">
        <v>5</v>
      </c>
      <c r="AR28">
        <v>5</v>
      </c>
      <c r="AS28">
        <v>6</v>
      </c>
      <c r="AT28">
        <v>5</v>
      </c>
      <c r="AU28">
        <v>5</v>
      </c>
      <c r="AV28">
        <v>4</v>
      </c>
      <c r="AW28">
        <v>4</v>
      </c>
      <c r="AX28">
        <v>2</v>
      </c>
      <c r="AY28" cm="1">
        <f t="array" ref="AY28">_xlfn.IFS(AZ28="Positive",1, AZ28="Negative",1, AZ28="Neutral",0)</f>
        <v>0</v>
      </c>
      <c r="AZ28" t="str" cm="1">
        <f t="array" ref="AZ28">_xlfn.IFS(AX28=1,"Positive",AX28=2,"Neutral",AX28=3,"Negative")</f>
        <v>Neutral</v>
      </c>
      <c r="BA28">
        <v>6</v>
      </c>
      <c r="BB28">
        <v>0</v>
      </c>
      <c r="BC28" s="3">
        <v>4</v>
      </c>
      <c r="BD28" s="3">
        <v>0</v>
      </c>
      <c r="BE28" s="3">
        <v>1</v>
      </c>
      <c r="BF28" s="3">
        <v>1</v>
      </c>
      <c r="BG28" s="3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 t="s">
        <v>414</v>
      </c>
      <c r="BT28" t="s">
        <v>399</v>
      </c>
      <c r="BU28" t="s">
        <v>417</v>
      </c>
      <c r="BV28" t="s">
        <v>447</v>
      </c>
    </row>
    <row r="29" spans="1:74" s="1" customFormat="1" x14ac:dyDescent="0.2">
      <c r="A29">
        <v>31</v>
      </c>
      <c r="B29">
        <v>31</v>
      </c>
      <c r="C29" t="s">
        <v>108</v>
      </c>
      <c r="D29"/>
      <c r="E29" t="s">
        <v>97</v>
      </c>
      <c r="F29">
        <v>24</v>
      </c>
      <c r="G29">
        <v>1999</v>
      </c>
      <c r="H29">
        <v>23</v>
      </c>
      <c r="I29" t="s">
        <v>64</v>
      </c>
      <c r="J29">
        <v>1</v>
      </c>
      <c r="K29" t="s">
        <v>667</v>
      </c>
      <c r="L29" t="s">
        <v>668</v>
      </c>
      <c r="M29">
        <v>2</v>
      </c>
      <c r="N29">
        <v>62</v>
      </c>
      <c r="O29" t="s">
        <v>339</v>
      </c>
      <c r="P29" t="s">
        <v>339</v>
      </c>
      <c r="Q29" t="s">
        <v>741</v>
      </c>
      <c r="R29" t="s">
        <v>742</v>
      </c>
      <c r="S29" t="s">
        <v>281</v>
      </c>
      <c r="T29" t="s">
        <v>319</v>
      </c>
      <c r="U29" t="s">
        <v>452</v>
      </c>
      <c r="V29" t="s">
        <v>343</v>
      </c>
      <c r="W29" t="s">
        <v>65</v>
      </c>
      <c r="X29" t="s">
        <v>66</v>
      </c>
      <c r="Y29" t="s">
        <v>66</v>
      </c>
      <c r="Z29">
        <v>7</v>
      </c>
      <c r="AA29">
        <v>7</v>
      </c>
      <c r="AB29">
        <v>7</v>
      </c>
      <c r="AC29">
        <v>5</v>
      </c>
      <c r="AD29">
        <v>3</v>
      </c>
      <c r="AE29">
        <v>1</v>
      </c>
      <c r="AF29">
        <v>1</v>
      </c>
      <c r="AG29">
        <v>1</v>
      </c>
      <c r="AH29">
        <v>5</v>
      </c>
      <c r="AI29">
        <v>4</v>
      </c>
      <c r="AJ29">
        <v>4</v>
      </c>
      <c r="AK29">
        <v>3</v>
      </c>
      <c r="AL29">
        <v>2</v>
      </c>
      <c r="AM29">
        <v>1</v>
      </c>
      <c r="AN29">
        <v>97</v>
      </c>
      <c r="AO29">
        <v>1</v>
      </c>
      <c r="AP29">
        <v>4</v>
      </c>
      <c r="AQ29">
        <v>4</v>
      </c>
      <c r="AR29">
        <v>6</v>
      </c>
      <c r="AS29">
        <v>6</v>
      </c>
      <c r="AT29">
        <v>5</v>
      </c>
      <c r="AU29">
        <v>6</v>
      </c>
      <c r="AV29">
        <v>6</v>
      </c>
      <c r="AW29">
        <v>6</v>
      </c>
      <c r="AX29">
        <v>2</v>
      </c>
      <c r="AY29" cm="1">
        <f t="array" ref="AY29">_xlfn.IFS(AZ29="Positive",1, AZ29="Negative",1, AZ29="Neutral",0)</f>
        <v>0</v>
      </c>
      <c r="AZ29" t="str" cm="1">
        <f t="array" ref="AZ29">_xlfn.IFS(AX29=1,"Positive",AX29=2,"Neutral",AX29=3,"Negative")</f>
        <v>Neutral</v>
      </c>
      <c r="BA29">
        <v>0</v>
      </c>
      <c r="BB29">
        <v>1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 t="s">
        <v>367</v>
      </c>
      <c r="BT29" t="s">
        <v>449</v>
      </c>
      <c r="BU29" t="s">
        <v>450</v>
      </c>
      <c r="BV29" t="s">
        <v>451</v>
      </c>
    </row>
    <row r="30" spans="1:74" s="1" customFormat="1" hidden="1" x14ac:dyDescent="0.2">
      <c r="A30">
        <v>32</v>
      </c>
      <c r="B30">
        <v>32</v>
      </c>
      <c r="C30" t="s">
        <v>109</v>
      </c>
      <c r="D30"/>
      <c r="E30" t="s">
        <v>68</v>
      </c>
      <c r="F30">
        <v>9</v>
      </c>
      <c r="G30">
        <v>1999</v>
      </c>
      <c r="H30">
        <v>23</v>
      </c>
      <c r="I30" t="s">
        <v>69</v>
      </c>
      <c r="J30">
        <v>2</v>
      </c>
      <c r="K30" t="s">
        <v>481</v>
      </c>
      <c r="L30" t="s">
        <v>633</v>
      </c>
      <c r="M30">
        <v>8</v>
      </c>
      <c r="N30">
        <v>54</v>
      </c>
      <c r="O30" t="s">
        <v>393</v>
      </c>
      <c r="P30" t="s">
        <v>314</v>
      </c>
      <c r="Q30" t="s">
        <v>743</v>
      </c>
      <c r="R30" t="s">
        <v>711</v>
      </c>
      <c r="S30" t="s">
        <v>291</v>
      </c>
      <c r="T30" t="s">
        <v>455</v>
      </c>
      <c r="U30" t="s">
        <v>397</v>
      </c>
      <c r="V30" t="s">
        <v>351</v>
      </c>
      <c r="W30" t="s">
        <v>65</v>
      </c>
      <c r="X30" t="s">
        <v>66</v>
      </c>
      <c r="Y30" t="s">
        <v>66</v>
      </c>
      <c r="Z30">
        <v>7</v>
      </c>
      <c r="AA30">
        <v>6</v>
      </c>
      <c r="AB30">
        <v>5</v>
      </c>
      <c r="AC30">
        <v>2</v>
      </c>
      <c r="AD30">
        <v>1</v>
      </c>
      <c r="AE30">
        <v>5</v>
      </c>
      <c r="AF30">
        <v>1</v>
      </c>
      <c r="AG30">
        <v>5</v>
      </c>
      <c r="AH30">
        <v>5</v>
      </c>
      <c r="AI30">
        <v>1</v>
      </c>
      <c r="AJ30">
        <v>7</v>
      </c>
      <c r="AK30">
        <v>6</v>
      </c>
      <c r="AL30">
        <v>6</v>
      </c>
      <c r="AM30">
        <v>1</v>
      </c>
      <c r="AN30">
        <v>189</v>
      </c>
      <c r="AO30">
        <v>6</v>
      </c>
      <c r="AP30">
        <v>7</v>
      </c>
      <c r="AQ30">
        <v>6</v>
      </c>
      <c r="AR30">
        <v>4</v>
      </c>
      <c r="AS30">
        <v>5</v>
      </c>
      <c r="AT30">
        <v>6</v>
      </c>
      <c r="AU30">
        <v>6</v>
      </c>
      <c r="AV30">
        <v>4</v>
      </c>
      <c r="AW30">
        <v>3</v>
      </c>
      <c r="AX30">
        <v>3</v>
      </c>
      <c r="AY30" cm="1">
        <f t="array" ref="AY30">_xlfn.IFS(AZ30="Positive",1, AZ30="Negative",1, AZ30="Neutral",0)</f>
        <v>1</v>
      </c>
      <c r="AZ30" t="str" cm="1">
        <f t="array" ref="AZ30">_xlfn.IFS(AX30=1,"Positive",AX30=2,"Neutral",AX30=3,"Negative")</f>
        <v>Negative</v>
      </c>
      <c r="BA30">
        <v>11</v>
      </c>
      <c r="BB30">
        <v>3</v>
      </c>
      <c r="BC30" s="3">
        <v>6</v>
      </c>
      <c r="BD30" s="3">
        <v>0</v>
      </c>
      <c r="BE30" s="3">
        <v>2</v>
      </c>
      <c r="BF30" s="3">
        <v>3</v>
      </c>
      <c r="BG30" s="3">
        <v>0</v>
      </c>
      <c r="BH30">
        <v>0</v>
      </c>
      <c r="BI30">
        <v>0</v>
      </c>
      <c r="BJ30">
        <v>1</v>
      </c>
      <c r="BK30">
        <v>2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 t="s">
        <v>305</v>
      </c>
      <c r="BT30" t="s">
        <v>453</v>
      </c>
      <c r="BU30" t="s">
        <v>308</v>
      </c>
      <c r="BV30" t="s">
        <v>454</v>
      </c>
    </row>
    <row r="31" spans="1:74" s="1" customFormat="1" hidden="1" x14ac:dyDescent="0.2">
      <c r="A31">
        <v>33</v>
      </c>
      <c r="B31">
        <v>33</v>
      </c>
      <c r="C31" t="s">
        <v>110</v>
      </c>
      <c r="D31"/>
      <c r="E31" t="s">
        <v>63</v>
      </c>
      <c r="F31">
        <v>4</v>
      </c>
      <c r="G31">
        <v>1998</v>
      </c>
      <c r="H31">
        <v>24</v>
      </c>
      <c r="I31" t="s">
        <v>69</v>
      </c>
      <c r="J31">
        <v>2</v>
      </c>
      <c r="K31" t="s">
        <v>642</v>
      </c>
      <c r="L31" t="s">
        <v>652</v>
      </c>
      <c r="M31">
        <v>20</v>
      </c>
      <c r="N31">
        <v>46</v>
      </c>
      <c r="O31" t="s">
        <v>339</v>
      </c>
      <c r="P31" t="s">
        <v>456</v>
      </c>
      <c r="Q31" t="s">
        <v>712</v>
      </c>
      <c r="R31" t="s">
        <v>722</v>
      </c>
      <c r="S31" t="s">
        <v>301</v>
      </c>
      <c r="T31" t="s">
        <v>457</v>
      </c>
      <c r="U31" t="s">
        <v>452</v>
      </c>
      <c r="V31" t="s">
        <v>458</v>
      </c>
      <c r="W31" t="s">
        <v>65</v>
      </c>
      <c r="X31" t="s">
        <v>66</v>
      </c>
      <c r="Y31" t="s">
        <v>66</v>
      </c>
      <c r="Z31">
        <v>7</v>
      </c>
      <c r="AA31">
        <v>3</v>
      </c>
      <c r="AB31">
        <v>7</v>
      </c>
      <c r="AC31">
        <v>2</v>
      </c>
      <c r="AD31">
        <v>1</v>
      </c>
      <c r="AE31">
        <v>1</v>
      </c>
      <c r="AF31">
        <v>1</v>
      </c>
      <c r="AG31">
        <v>3</v>
      </c>
      <c r="AH31">
        <v>1</v>
      </c>
      <c r="AI31">
        <v>2</v>
      </c>
      <c r="AJ31">
        <v>2</v>
      </c>
      <c r="AK31">
        <v>2</v>
      </c>
      <c r="AL31">
        <v>3</v>
      </c>
      <c r="AM31">
        <v>3</v>
      </c>
      <c r="AN31">
        <v>105</v>
      </c>
      <c r="AO31">
        <v>1</v>
      </c>
      <c r="AP31">
        <v>4</v>
      </c>
      <c r="AQ31">
        <v>3</v>
      </c>
      <c r="AR31">
        <v>3</v>
      </c>
      <c r="AS31">
        <v>2</v>
      </c>
      <c r="AT31">
        <v>4</v>
      </c>
      <c r="AU31">
        <v>6</v>
      </c>
      <c r="AV31">
        <v>3</v>
      </c>
      <c r="AW31">
        <v>5</v>
      </c>
      <c r="AX31">
        <v>2</v>
      </c>
      <c r="AY31" cm="1">
        <f t="array" ref="AY31">_xlfn.IFS(AZ31="Positive",1, AZ31="Negative",1, AZ31="Neutral",0)</f>
        <v>0</v>
      </c>
      <c r="AZ31" t="str" cm="1">
        <f t="array" ref="AZ31">_xlfn.IFS(AX31=1,"Positive",AX31=2,"Neutral",AX31=3,"Negative")</f>
        <v>Neutral</v>
      </c>
      <c r="BA31">
        <v>11</v>
      </c>
      <c r="BB31">
        <v>1</v>
      </c>
      <c r="BC31" s="3">
        <v>3</v>
      </c>
      <c r="BD31" s="3">
        <v>3</v>
      </c>
      <c r="BE31" s="3">
        <v>1</v>
      </c>
      <c r="BF31" s="3">
        <v>1</v>
      </c>
      <c r="BG31" s="3">
        <v>3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 t="s">
        <v>382</v>
      </c>
      <c r="BT31" t="s">
        <v>382</v>
      </c>
      <c r="BU31" t="s">
        <v>385</v>
      </c>
      <c r="BV31" t="s">
        <v>410</v>
      </c>
    </row>
    <row r="32" spans="1:74" s="1" customFormat="1" hidden="1" x14ac:dyDescent="0.2">
      <c r="A32">
        <v>34</v>
      </c>
      <c r="B32">
        <v>34</v>
      </c>
      <c r="C32" t="s">
        <v>111</v>
      </c>
      <c r="D32"/>
      <c r="E32" t="s">
        <v>88</v>
      </c>
      <c r="F32">
        <v>5</v>
      </c>
      <c r="G32">
        <v>1999</v>
      </c>
      <c r="H32">
        <v>23</v>
      </c>
      <c r="I32" t="s">
        <v>69</v>
      </c>
      <c r="J32">
        <v>2</v>
      </c>
      <c r="K32" t="s">
        <v>517</v>
      </c>
      <c r="L32" t="s">
        <v>632</v>
      </c>
      <c r="M32">
        <v>9</v>
      </c>
      <c r="N32">
        <v>60</v>
      </c>
      <c r="O32" t="s">
        <v>456</v>
      </c>
      <c r="P32" t="s">
        <v>394</v>
      </c>
      <c r="Q32" t="s">
        <v>744</v>
      </c>
      <c r="R32" t="s">
        <v>732</v>
      </c>
      <c r="S32" t="s">
        <v>349</v>
      </c>
      <c r="T32" t="s">
        <v>444</v>
      </c>
      <c r="U32" t="s">
        <v>459</v>
      </c>
      <c r="V32" t="s">
        <v>398</v>
      </c>
      <c r="W32" t="s">
        <v>65</v>
      </c>
      <c r="X32" t="s">
        <v>66</v>
      </c>
      <c r="Y32" t="s">
        <v>66</v>
      </c>
      <c r="Z32">
        <v>7</v>
      </c>
      <c r="AA32">
        <v>6</v>
      </c>
      <c r="AB32">
        <v>6</v>
      </c>
      <c r="AC32">
        <v>6</v>
      </c>
      <c r="AD32">
        <v>2</v>
      </c>
      <c r="AE32">
        <v>3</v>
      </c>
      <c r="AF32">
        <v>2</v>
      </c>
      <c r="AG32">
        <v>1</v>
      </c>
      <c r="AH32">
        <v>6</v>
      </c>
      <c r="AI32">
        <v>7</v>
      </c>
      <c r="AJ32">
        <v>1</v>
      </c>
      <c r="AK32">
        <v>6</v>
      </c>
      <c r="AL32">
        <v>6</v>
      </c>
      <c r="AM32">
        <v>2</v>
      </c>
      <c r="AN32">
        <v>177</v>
      </c>
      <c r="AO32">
        <v>2</v>
      </c>
      <c r="AP32">
        <v>2</v>
      </c>
      <c r="AQ32">
        <v>4</v>
      </c>
      <c r="AR32">
        <v>5</v>
      </c>
      <c r="AS32">
        <v>5</v>
      </c>
      <c r="AT32">
        <v>5</v>
      </c>
      <c r="AU32">
        <v>6</v>
      </c>
      <c r="AV32">
        <v>6</v>
      </c>
      <c r="AW32">
        <v>6</v>
      </c>
      <c r="AX32">
        <v>1</v>
      </c>
      <c r="AY32" cm="1">
        <f t="array" ref="AY32">_xlfn.IFS(AZ32="Positive",1, AZ32="Negative",1, AZ32="Neutral",0)</f>
        <v>1</v>
      </c>
      <c r="AZ32" t="str" cm="1">
        <f t="array" ref="AZ32">_xlfn.IFS(AX32=1,"Positive",AX32=2,"Neutral",AX32=3,"Negative")</f>
        <v>Positive</v>
      </c>
      <c r="BA32">
        <v>23</v>
      </c>
      <c r="BB32">
        <v>0</v>
      </c>
      <c r="BC32" s="3">
        <v>10</v>
      </c>
      <c r="BD32" s="3">
        <v>1</v>
      </c>
      <c r="BE32" s="3">
        <v>3</v>
      </c>
      <c r="BF32" s="3">
        <v>5</v>
      </c>
      <c r="BG32" s="3">
        <v>4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 t="s">
        <v>313</v>
      </c>
      <c r="BT32" t="s">
        <v>383</v>
      </c>
      <c r="BU32" t="s">
        <v>316</v>
      </c>
      <c r="BV32" t="s">
        <v>386</v>
      </c>
    </row>
    <row r="33" spans="1:74" s="1" customFormat="1" hidden="1" x14ac:dyDescent="0.2">
      <c r="A33">
        <v>35</v>
      </c>
      <c r="B33">
        <v>35</v>
      </c>
      <c r="C33" t="s">
        <v>112</v>
      </c>
      <c r="D33"/>
      <c r="E33" t="s">
        <v>68</v>
      </c>
      <c r="F33">
        <v>5</v>
      </c>
      <c r="G33">
        <v>1998</v>
      </c>
      <c r="H33">
        <v>24</v>
      </c>
      <c r="I33" t="s">
        <v>64</v>
      </c>
      <c r="J33">
        <v>1</v>
      </c>
      <c r="K33" t="s">
        <v>416</v>
      </c>
      <c r="L33" t="s">
        <v>669</v>
      </c>
      <c r="M33">
        <v>9</v>
      </c>
      <c r="N33">
        <v>56</v>
      </c>
      <c r="O33" t="s">
        <v>288</v>
      </c>
      <c r="P33" t="s">
        <v>460</v>
      </c>
      <c r="Q33" t="s">
        <v>723</v>
      </c>
      <c r="R33" t="s">
        <v>745</v>
      </c>
      <c r="S33" t="s">
        <v>349</v>
      </c>
      <c r="T33" t="s">
        <v>423</v>
      </c>
      <c r="U33" t="s">
        <v>461</v>
      </c>
      <c r="V33" t="s">
        <v>462</v>
      </c>
      <c r="W33" t="s">
        <v>65</v>
      </c>
      <c r="X33" t="s">
        <v>66</v>
      </c>
      <c r="Y33" t="s">
        <v>66</v>
      </c>
      <c r="Z33">
        <v>7</v>
      </c>
      <c r="AA33">
        <v>7</v>
      </c>
      <c r="AB33">
        <v>7</v>
      </c>
      <c r="AC33">
        <v>5</v>
      </c>
      <c r="AD33">
        <v>1</v>
      </c>
      <c r="AE33">
        <v>7</v>
      </c>
      <c r="AF33">
        <v>2</v>
      </c>
      <c r="AG33">
        <v>2</v>
      </c>
      <c r="AH33">
        <v>6</v>
      </c>
      <c r="AI33">
        <v>1</v>
      </c>
      <c r="AJ33">
        <v>7</v>
      </c>
      <c r="AK33">
        <v>7</v>
      </c>
      <c r="AL33">
        <v>5</v>
      </c>
      <c r="AM33">
        <v>5</v>
      </c>
      <c r="AN33">
        <v>83</v>
      </c>
      <c r="AO33">
        <v>1</v>
      </c>
      <c r="AP33">
        <v>7</v>
      </c>
      <c r="AQ33">
        <v>5</v>
      </c>
      <c r="AR33">
        <v>6</v>
      </c>
      <c r="AS33">
        <v>6</v>
      </c>
      <c r="AT33">
        <v>6</v>
      </c>
      <c r="AU33">
        <v>5</v>
      </c>
      <c r="AV33">
        <v>5</v>
      </c>
      <c r="AW33">
        <v>6</v>
      </c>
      <c r="AX33">
        <v>3</v>
      </c>
      <c r="AY33" cm="1">
        <f t="array" ref="AY33">_xlfn.IFS(AZ33="Positive",1, AZ33="Negative",1, AZ33="Neutral",0)</f>
        <v>1</v>
      </c>
      <c r="AZ33" t="str" cm="1">
        <f t="array" ref="AZ33">_xlfn.IFS(AX33=1,"Positive",AX33=2,"Neutral",AX33=3,"Negative")</f>
        <v>Negative</v>
      </c>
      <c r="BA33">
        <v>5</v>
      </c>
      <c r="BB33">
        <v>2</v>
      </c>
      <c r="BC33" s="3">
        <v>2</v>
      </c>
      <c r="BD33" s="3">
        <v>0</v>
      </c>
      <c r="BE33" s="3">
        <v>2</v>
      </c>
      <c r="BF33" s="3">
        <v>0</v>
      </c>
      <c r="BG33" s="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2</v>
      </c>
      <c r="BQ33">
        <v>0</v>
      </c>
      <c r="BR33">
        <v>0</v>
      </c>
      <c r="BS33" t="s">
        <v>382</v>
      </c>
      <c r="BT33" t="s">
        <v>433</v>
      </c>
      <c r="BU33" t="s">
        <v>385</v>
      </c>
      <c r="BV33" t="s">
        <v>435</v>
      </c>
    </row>
    <row r="34" spans="1:74" s="1" customFormat="1" hidden="1" x14ac:dyDescent="0.2">
      <c r="A34">
        <v>36</v>
      </c>
      <c r="B34">
        <v>36</v>
      </c>
      <c r="C34" t="s">
        <v>113</v>
      </c>
      <c r="D34"/>
      <c r="E34" t="s">
        <v>78</v>
      </c>
      <c r="F34">
        <v>8</v>
      </c>
      <c r="G34">
        <v>1998</v>
      </c>
      <c r="H34">
        <v>24</v>
      </c>
      <c r="I34" t="s">
        <v>64</v>
      </c>
      <c r="J34">
        <v>1</v>
      </c>
      <c r="K34" t="s">
        <v>517</v>
      </c>
      <c r="L34" t="s">
        <v>670</v>
      </c>
      <c r="M34">
        <v>10</v>
      </c>
      <c r="N34">
        <v>58</v>
      </c>
      <c r="O34" t="s">
        <v>384</v>
      </c>
      <c r="P34" t="s">
        <v>376</v>
      </c>
      <c r="Q34" t="s">
        <v>744</v>
      </c>
      <c r="R34" t="s">
        <v>746</v>
      </c>
      <c r="S34" t="s">
        <v>378</v>
      </c>
      <c r="T34" t="s">
        <v>364</v>
      </c>
      <c r="U34" t="s">
        <v>387</v>
      </c>
      <c r="V34" t="s">
        <v>381</v>
      </c>
      <c r="W34" t="s">
        <v>65</v>
      </c>
      <c r="X34" t="s">
        <v>66</v>
      </c>
      <c r="Y34" t="s">
        <v>66</v>
      </c>
      <c r="Z34">
        <v>7</v>
      </c>
      <c r="AA34">
        <v>1</v>
      </c>
      <c r="AB34">
        <v>6</v>
      </c>
      <c r="AC34">
        <v>1</v>
      </c>
      <c r="AD34">
        <v>1</v>
      </c>
      <c r="AE34">
        <v>4</v>
      </c>
      <c r="AF34">
        <v>2</v>
      </c>
      <c r="AG34">
        <v>1</v>
      </c>
      <c r="AH34">
        <v>1</v>
      </c>
      <c r="AI34">
        <v>1</v>
      </c>
      <c r="AJ34">
        <v>5</v>
      </c>
      <c r="AK34">
        <v>1</v>
      </c>
      <c r="AL34">
        <v>2</v>
      </c>
      <c r="AM34">
        <v>5</v>
      </c>
      <c r="AN34">
        <v>120</v>
      </c>
      <c r="AO34">
        <v>4</v>
      </c>
      <c r="AP34">
        <v>6</v>
      </c>
      <c r="AQ34">
        <v>5</v>
      </c>
      <c r="AR34">
        <v>6</v>
      </c>
      <c r="AS34">
        <v>6</v>
      </c>
      <c r="AT34">
        <v>6</v>
      </c>
      <c r="AU34">
        <v>6</v>
      </c>
      <c r="AV34">
        <v>6</v>
      </c>
      <c r="AW34">
        <v>6</v>
      </c>
      <c r="AX34">
        <v>3</v>
      </c>
      <c r="AY34" cm="1">
        <f t="array" ref="AY34">_xlfn.IFS(AZ34="Positive",1, AZ34="Negative",1, AZ34="Neutral",0)</f>
        <v>1</v>
      </c>
      <c r="AZ34" t="str" cm="1">
        <f t="array" ref="AZ34">_xlfn.IFS(AX34=1,"Positive",AX34=2,"Neutral",AX34=3,"Negative")</f>
        <v>Negative</v>
      </c>
      <c r="BA34">
        <v>7</v>
      </c>
      <c r="BB34">
        <v>1</v>
      </c>
      <c r="BC34" s="3">
        <v>5</v>
      </c>
      <c r="BD34" s="3">
        <v>1</v>
      </c>
      <c r="BE34" s="3">
        <v>0</v>
      </c>
      <c r="BF34" s="3">
        <v>0</v>
      </c>
      <c r="BG34" s="3">
        <v>1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 t="s">
        <v>463</v>
      </c>
      <c r="BT34" t="s">
        <v>464</v>
      </c>
      <c r="BU34" t="s">
        <v>465</v>
      </c>
      <c r="BV34" t="s">
        <v>466</v>
      </c>
    </row>
    <row r="35" spans="1:74" s="1" customFormat="1" hidden="1" x14ac:dyDescent="0.2">
      <c r="A35">
        <v>37</v>
      </c>
      <c r="B35">
        <v>37</v>
      </c>
      <c r="C35" t="s">
        <v>114</v>
      </c>
      <c r="D35"/>
      <c r="E35" t="s">
        <v>88</v>
      </c>
      <c r="F35">
        <v>25</v>
      </c>
      <c r="G35">
        <v>2000</v>
      </c>
      <c r="H35">
        <v>22</v>
      </c>
      <c r="I35" t="s">
        <v>64</v>
      </c>
      <c r="J35">
        <v>1</v>
      </c>
      <c r="K35" t="s">
        <v>416</v>
      </c>
      <c r="L35" t="s">
        <v>634</v>
      </c>
      <c r="M35">
        <v>15</v>
      </c>
      <c r="N35">
        <v>61</v>
      </c>
      <c r="O35" t="s">
        <v>468</v>
      </c>
      <c r="P35">
        <v>6</v>
      </c>
      <c r="Q35" t="s">
        <v>723</v>
      </c>
      <c r="R35" t="s">
        <v>747</v>
      </c>
      <c r="S35" t="s">
        <v>363</v>
      </c>
      <c r="T35" t="s">
        <v>292</v>
      </c>
      <c r="U35" t="s">
        <v>470</v>
      </c>
      <c r="V35" t="s">
        <v>471</v>
      </c>
      <c r="W35" t="s">
        <v>65</v>
      </c>
      <c r="X35" t="s">
        <v>66</v>
      </c>
      <c r="Y35" t="s">
        <v>66</v>
      </c>
      <c r="Z35">
        <v>7</v>
      </c>
      <c r="AA35">
        <v>7</v>
      </c>
      <c r="AB35">
        <v>7</v>
      </c>
      <c r="AC35">
        <v>6</v>
      </c>
      <c r="AD35">
        <v>1</v>
      </c>
      <c r="AE35">
        <v>5</v>
      </c>
      <c r="AF35">
        <v>1</v>
      </c>
      <c r="AG35">
        <v>1</v>
      </c>
      <c r="AH35">
        <v>7</v>
      </c>
      <c r="AI35">
        <v>7</v>
      </c>
      <c r="AJ35">
        <v>1</v>
      </c>
      <c r="AK35">
        <v>6</v>
      </c>
      <c r="AL35">
        <v>5</v>
      </c>
      <c r="AM35">
        <v>5</v>
      </c>
      <c r="AN35">
        <v>48</v>
      </c>
      <c r="AO35">
        <v>1</v>
      </c>
      <c r="AP35">
        <v>1</v>
      </c>
      <c r="AQ35">
        <v>3</v>
      </c>
      <c r="AR35">
        <v>7</v>
      </c>
      <c r="AS35">
        <v>7</v>
      </c>
      <c r="AT35">
        <v>7</v>
      </c>
      <c r="AU35">
        <v>5</v>
      </c>
      <c r="AV35">
        <v>7</v>
      </c>
      <c r="AW35">
        <v>7</v>
      </c>
      <c r="AX35">
        <v>1</v>
      </c>
      <c r="AY35" cm="1">
        <f t="array" ref="AY35">_xlfn.IFS(AZ35="Positive",1, AZ35="Negative",1, AZ35="Neutral",0)</f>
        <v>1</v>
      </c>
      <c r="AZ35" t="str" cm="1">
        <f t="array" ref="AZ35">_xlfn.IFS(AX35=1,"Positive",AX35=2,"Neutral",AX35=3,"Negative")</f>
        <v>Positive</v>
      </c>
      <c r="BA35">
        <v>16</v>
      </c>
      <c r="BB35">
        <v>3</v>
      </c>
      <c r="BC35" s="3">
        <v>11</v>
      </c>
      <c r="BD35" s="3">
        <v>0</v>
      </c>
      <c r="BE35" s="3">
        <v>2</v>
      </c>
      <c r="BF35" s="3">
        <v>2</v>
      </c>
      <c r="BG35" s="3">
        <v>1</v>
      </c>
      <c r="BH35">
        <v>0</v>
      </c>
      <c r="BI35">
        <v>0</v>
      </c>
      <c r="BJ35">
        <v>2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 t="s">
        <v>467</v>
      </c>
      <c r="BT35" t="s">
        <v>399</v>
      </c>
      <c r="BU35" t="s">
        <v>469</v>
      </c>
      <c r="BV35" t="s">
        <v>447</v>
      </c>
    </row>
    <row r="36" spans="1:74" s="1" customFormat="1" x14ac:dyDescent="0.2">
      <c r="A36">
        <v>38</v>
      </c>
      <c r="B36">
        <v>38</v>
      </c>
      <c r="C36" t="s">
        <v>115</v>
      </c>
      <c r="D36"/>
      <c r="E36" t="s">
        <v>85</v>
      </c>
      <c r="F36">
        <v>27</v>
      </c>
      <c r="G36">
        <v>1999</v>
      </c>
      <c r="H36">
        <v>23</v>
      </c>
      <c r="I36" t="s">
        <v>64</v>
      </c>
      <c r="J36">
        <v>1</v>
      </c>
      <c r="K36" t="s">
        <v>671</v>
      </c>
      <c r="L36" t="s">
        <v>670</v>
      </c>
      <c r="M36">
        <v>3</v>
      </c>
      <c r="N36">
        <v>48</v>
      </c>
      <c r="O36" t="s">
        <v>315</v>
      </c>
      <c r="P36" t="s">
        <v>405</v>
      </c>
      <c r="Q36" t="s">
        <v>748</v>
      </c>
      <c r="R36" t="s">
        <v>746</v>
      </c>
      <c r="S36" t="s">
        <v>372</v>
      </c>
      <c r="T36" t="s">
        <v>418</v>
      </c>
      <c r="U36" t="s">
        <v>474</v>
      </c>
      <c r="V36" t="s">
        <v>407</v>
      </c>
      <c r="W36" t="s">
        <v>65</v>
      </c>
      <c r="X36" t="s">
        <v>66</v>
      </c>
      <c r="Y36" t="s">
        <v>66</v>
      </c>
      <c r="Z36">
        <v>7</v>
      </c>
      <c r="AA36">
        <v>5</v>
      </c>
      <c r="AB36">
        <v>4</v>
      </c>
      <c r="AC36">
        <v>4</v>
      </c>
      <c r="AD36">
        <v>4</v>
      </c>
      <c r="AE36">
        <v>3</v>
      </c>
      <c r="AF36">
        <v>4</v>
      </c>
      <c r="AG36">
        <v>2</v>
      </c>
      <c r="AH36">
        <v>6</v>
      </c>
      <c r="AI36">
        <v>2</v>
      </c>
      <c r="AJ36">
        <v>5</v>
      </c>
      <c r="AK36">
        <v>4</v>
      </c>
      <c r="AL36">
        <v>4</v>
      </c>
      <c r="AM36">
        <v>6</v>
      </c>
      <c r="AN36">
        <v>168</v>
      </c>
      <c r="AO36">
        <v>5</v>
      </c>
      <c r="AP36">
        <v>5</v>
      </c>
      <c r="AQ36">
        <v>4</v>
      </c>
      <c r="AR36">
        <v>3</v>
      </c>
      <c r="AS36">
        <v>3</v>
      </c>
      <c r="AT36">
        <v>3</v>
      </c>
      <c r="AU36">
        <v>6</v>
      </c>
      <c r="AV36">
        <v>5</v>
      </c>
      <c r="AW36">
        <v>6</v>
      </c>
      <c r="AX36">
        <v>2</v>
      </c>
      <c r="AY36" cm="1">
        <f t="array" ref="AY36">_xlfn.IFS(AZ36="Positive",1, AZ36="Negative",1, AZ36="Neutral",0)</f>
        <v>0</v>
      </c>
      <c r="AZ36" t="str" cm="1">
        <f t="array" ref="AZ36">_xlfn.IFS(AX36=1,"Positive",AX36=2,"Neutral",AX36=3,"Negative")</f>
        <v>Neutral</v>
      </c>
      <c r="BA36">
        <v>0</v>
      </c>
      <c r="BB36">
        <v>4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>
        <v>0</v>
      </c>
      <c r="BI36">
        <v>0</v>
      </c>
      <c r="BJ36">
        <v>1</v>
      </c>
      <c r="BK36">
        <v>1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1</v>
      </c>
      <c r="BR36">
        <v>0</v>
      </c>
      <c r="BS36" t="s">
        <v>453</v>
      </c>
      <c r="BT36" t="s">
        <v>295</v>
      </c>
      <c r="BU36" t="s">
        <v>472</v>
      </c>
      <c r="BV36" t="s">
        <v>473</v>
      </c>
    </row>
    <row r="37" spans="1:74" s="1" customFormat="1" x14ac:dyDescent="0.2">
      <c r="A37">
        <v>39</v>
      </c>
      <c r="B37">
        <v>39</v>
      </c>
      <c r="C37" t="s">
        <v>116</v>
      </c>
      <c r="D37"/>
      <c r="E37" t="s">
        <v>71</v>
      </c>
      <c r="F37">
        <v>28</v>
      </c>
      <c r="G37">
        <v>2001</v>
      </c>
      <c r="H37">
        <v>21</v>
      </c>
      <c r="I37" t="s">
        <v>69</v>
      </c>
      <c r="J37">
        <v>2</v>
      </c>
      <c r="K37" t="s">
        <v>517</v>
      </c>
      <c r="L37" t="s">
        <v>672</v>
      </c>
      <c r="M37">
        <v>4</v>
      </c>
      <c r="N37">
        <v>63</v>
      </c>
      <c r="O37" t="s">
        <v>394</v>
      </c>
      <c r="P37" t="s">
        <v>354</v>
      </c>
      <c r="Q37" t="s">
        <v>744</v>
      </c>
      <c r="R37" t="s">
        <v>749</v>
      </c>
      <c r="S37" t="s">
        <v>396</v>
      </c>
      <c r="T37" t="s">
        <v>477</v>
      </c>
      <c r="U37" t="s">
        <v>478</v>
      </c>
      <c r="V37" t="s">
        <v>359</v>
      </c>
      <c r="W37" t="s">
        <v>65</v>
      </c>
      <c r="X37" t="s">
        <v>66</v>
      </c>
      <c r="Y37" t="s">
        <v>66</v>
      </c>
      <c r="Z37">
        <v>7</v>
      </c>
      <c r="AA37">
        <v>5</v>
      </c>
      <c r="AB37">
        <v>5</v>
      </c>
      <c r="AC37">
        <v>2</v>
      </c>
      <c r="AD37">
        <v>2</v>
      </c>
      <c r="AE37">
        <v>2</v>
      </c>
      <c r="AF37">
        <v>1</v>
      </c>
      <c r="AG37">
        <v>6</v>
      </c>
      <c r="AH37">
        <v>1</v>
      </c>
      <c r="AI37">
        <v>6</v>
      </c>
      <c r="AJ37">
        <v>1</v>
      </c>
      <c r="AK37">
        <v>2</v>
      </c>
      <c r="AL37">
        <v>1</v>
      </c>
      <c r="AM37">
        <v>1</v>
      </c>
      <c r="AN37">
        <v>3</v>
      </c>
      <c r="AO37">
        <v>1</v>
      </c>
      <c r="AP37">
        <v>1</v>
      </c>
      <c r="AQ37">
        <v>1</v>
      </c>
      <c r="AR37">
        <v>5</v>
      </c>
      <c r="AS37">
        <v>5</v>
      </c>
      <c r="AT37">
        <v>2</v>
      </c>
      <c r="AU37">
        <v>5</v>
      </c>
      <c r="AV37">
        <v>5</v>
      </c>
      <c r="AW37">
        <v>5</v>
      </c>
      <c r="AX37">
        <v>1</v>
      </c>
      <c r="AY37" cm="1">
        <f t="array" ref="AY37">_xlfn.IFS(AZ37="Positive",1, AZ37="Negative",1, AZ37="Neutral",0)</f>
        <v>1</v>
      </c>
      <c r="AZ37" t="str" cm="1">
        <f t="array" ref="AZ37">_xlfn.IFS(AX37=1,"Positive",AX37=2,"Neutral",AX37=3,"Negative")</f>
        <v>Positive</v>
      </c>
      <c r="BA37">
        <v>0</v>
      </c>
      <c r="BB37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 t="s">
        <v>399</v>
      </c>
      <c r="BT37" t="s">
        <v>475</v>
      </c>
      <c r="BU37" t="s">
        <v>400</v>
      </c>
      <c r="BV37" t="s">
        <v>476</v>
      </c>
    </row>
    <row r="38" spans="1:74" s="1" customFormat="1" x14ac:dyDescent="0.2">
      <c r="A38">
        <v>40</v>
      </c>
      <c r="B38">
        <v>40</v>
      </c>
      <c r="C38" t="s">
        <v>117</v>
      </c>
      <c r="D38"/>
      <c r="E38" t="s">
        <v>88</v>
      </c>
      <c r="F38">
        <v>15</v>
      </c>
      <c r="G38">
        <v>2001</v>
      </c>
      <c r="H38">
        <v>21</v>
      </c>
      <c r="I38" t="s">
        <v>69</v>
      </c>
      <c r="J38">
        <v>2</v>
      </c>
      <c r="K38" t="s">
        <v>673</v>
      </c>
      <c r="L38" t="s">
        <v>648</v>
      </c>
      <c r="M38">
        <v>5</v>
      </c>
      <c r="N38">
        <v>48</v>
      </c>
      <c r="O38" t="s">
        <v>393</v>
      </c>
      <c r="P38" t="s">
        <v>369</v>
      </c>
      <c r="Q38" t="s">
        <v>750</v>
      </c>
      <c r="R38" t="s">
        <v>718</v>
      </c>
      <c r="S38" t="s">
        <v>318</v>
      </c>
      <c r="T38" t="s">
        <v>418</v>
      </c>
      <c r="U38" t="s">
        <v>397</v>
      </c>
      <c r="V38" t="s">
        <v>374</v>
      </c>
      <c r="W38" t="s">
        <v>65</v>
      </c>
      <c r="X38" t="s">
        <v>66</v>
      </c>
      <c r="Y38" t="s">
        <v>66</v>
      </c>
      <c r="Z38">
        <v>7</v>
      </c>
      <c r="AA38">
        <v>3</v>
      </c>
      <c r="AB38">
        <v>2</v>
      </c>
      <c r="AC38">
        <v>2</v>
      </c>
      <c r="AD38">
        <v>1</v>
      </c>
      <c r="AE38">
        <v>1</v>
      </c>
      <c r="AF38">
        <v>1</v>
      </c>
      <c r="AG38">
        <v>2</v>
      </c>
      <c r="AH38">
        <v>4</v>
      </c>
      <c r="AI38">
        <v>1</v>
      </c>
      <c r="AJ38">
        <v>6</v>
      </c>
      <c r="AK38">
        <v>2</v>
      </c>
      <c r="AL38">
        <v>2</v>
      </c>
      <c r="AM38">
        <v>2</v>
      </c>
      <c r="AN38">
        <v>240</v>
      </c>
      <c r="AO38">
        <v>2</v>
      </c>
      <c r="AP38">
        <v>6</v>
      </c>
      <c r="AQ38">
        <v>6</v>
      </c>
      <c r="AR38">
        <v>5</v>
      </c>
      <c r="AS38">
        <v>4</v>
      </c>
      <c r="AT38">
        <v>4</v>
      </c>
      <c r="AU38">
        <v>6</v>
      </c>
      <c r="AV38">
        <v>5</v>
      </c>
      <c r="AW38">
        <v>5</v>
      </c>
      <c r="AX38">
        <v>3</v>
      </c>
      <c r="AY38" cm="1">
        <f t="array" ref="AY38">_xlfn.IFS(AZ38="Positive",1, AZ38="Negative",1, AZ38="Neutral",0)</f>
        <v>1</v>
      </c>
      <c r="AZ38" t="str" cm="1">
        <f t="array" ref="AZ38">_xlfn.IFS(AX38=1,"Positive",AX38=2,"Neutral",AX38=3,"Negative")</f>
        <v>Negative</v>
      </c>
      <c r="BA38">
        <v>0</v>
      </c>
      <c r="BB38">
        <v>3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>
        <v>0</v>
      </c>
      <c r="BI38">
        <v>0</v>
      </c>
      <c r="BJ38">
        <v>2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 t="s">
        <v>323</v>
      </c>
      <c r="BT38">
        <v>2</v>
      </c>
      <c r="BU38" t="s">
        <v>479</v>
      </c>
      <c r="BV38" t="s">
        <v>340</v>
      </c>
    </row>
    <row r="39" spans="1:74" s="1" customFormat="1" hidden="1" x14ac:dyDescent="0.2">
      <c r="A39">
        <v>41</v>
      </c>
      <c r="B39">
        <v>41</v>
      </c>
      <c r="C39" t="s">
        <v>118</v>
      </c>
      <c r="D39"/>
      <c r="E39" t="s">
        <v>88</v>
      </c>
      <c r="F39">
        <v>27</v>
      </c>
      <c r="G39">
        <v>1998</v>
      </c>
      <c r="H39">
        <v>24</v>
      </c>
      <c r="I39" t="s">
        <v>69</v>
      </c>
      <c r="J39">
        <v>2</v>
      </c>
      <c r="K39" t="s">
        <v>656</v>
      </c>
      <c r="L39" t="s">
        <v>653</v>
      </c>
      <c r="M39">
        <v>8</v>
      </c>
      <c r="N39">
        <v>59</v>
      </c>
      <c r="O39" t="s">
        <v>339</v>
      </c>
      <c r="P39" t="s">
        <v>481</v>
      </c>
      <c r="Q39" t="s">
        <v>751</v>
      </c>
      <c r="R39" t="s">
        <v>724</v>
      </c>
      <c r="S39" t="s">
        <v>291</v>
      </c>
      <c r="T39" t="s">
        <v>341</v>
      </c>
      <c r="U39" t="s">
        <v>452</v>
      </c>
      <c r="V39" t="s">
        <v>483</v>
      </c>
      <c r="W39" t="s">
        <v>65</v>
      </c>
      <c r="X39" t="s">
        <v>66</v>
      </c>
      <c r="Y39" t="s">
        <v>66</v>
      </c>
      <c r="Z39">
        <v>7</v>
      </c>
      <c r="AA39">
        <v>2</v>
      </c>
      <c r="AB39">
        <v>5</v>
      </c>
      <c r="AC39">
        <v>1</v>
      </c>
      <c r="AD39">
        <v>1</v>
      </c>
      <c r="AE39">
        <v>1</v>
      </c>
      <c r="AF39">
        <v>2</v>
      </c>
      <c r="AG39">
        <v>2</v>
      </c>
      <c r="AH39">
        <v>1</v>
      </c>
      <c r="AI39">
        <v>1</v>
      </c>
      <c r="AJ39">
        <v>2</v>
      </c>
      <c r="AK39">
        <v>1</v>
      </c>
      <c r="AL39">
        <v>1</v>
      </c>
      <c r="AM39">
        <v>1</v>
      </c>
      <c r="AN39">
        <v>240</v>
      </c>
      <c r="AO39">
        <v>2</v>
      </c>
      <c r="AP39">
        <v>6</v>
      </c>
      <c r="AQ39">
        <v>4</v>
      </c>
      <c r="AR39">
        <v>3</v>
      </c>
      <c r="AS39">
        <v>5</v>
      </c>
      <c r="AT39">
        <v>4</v>
      </c>
      <c r="AU39">
        <v>6</v>
      </c>
      <c r="AV39">
        <v>3</v>
      </c>
      <c r="AW39">
        <v>5</v>
      </c>
      <c r="AX39">
        <v>3</v>
      </c>
      <c r="AY39" cm="1">
        <f t="array" ref="AY39">_xlfn.IFS(AZ39="Positive",1, AZ39="Negative",1, AZ39="Neutral",0)</f>
        <v>1</v>
      </c>
      <c r="AZ39" t="str" cm="1">
        <f t="array" ref="AZ39">_xlfn.IFS(AX39=1,"Positive",AX39=2,"Neutral",AX39=3,"Negative")</f>
        <v>Negative</v>
      </c>
      <c r="BA39">
        <v>11</v>
      </c>
      <c r="BB39">
        <v>0</v>
      </c>
      <c r="BC39" s="3">
        <v>8</v>
      </c>
      <c r="BD39" s="3">
        <v>1</v>
      </c>
      <c r="BE39" s="3">
        <v>2</v>
      </c>
      <c r="BF39" s="3">
        <v>0</v>
      </c>
      <c r="BG39" s="3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 t="s">
        <v>295</v>
      </c>
      <c r="BT39" t="s">
        <v>480</v>
      </c>
      <c r="BU39" t="s">
        <v>299</v>
      </c>
      <c r="BV39" t="s">
        <v>482</v>
      </c>
    </row>
    <row r="40" spans="1:74" s="1" customFormat="1" x14ac:dyDescent="0.2">
      <c r="A40">
        <v>42</v>
      </c>
      <c r="B40">
        <v>42</v>
      </c>
      <c r="C40" t="s">
        <v>119</v>
      </c>
      <c r="D40"/>
      <c r="E40" t="s">
        <v>88</v>
      </c>
      <c r="F40">
        <v>17</v>
      </c>
      <c r="G40">
        <v>2001</v>
      </c>
      <c r="H40">
        <v>21</v>
      </c>
      <c r="I40" t="s">
        <v>64</v>
      </c>
      <c r="J40">
        <v>1</v>
      </c>
      <c r="K40" t="s">
        <v>674</v>
      </c>
      <c r="L40" t="s">
        <v>636</v>
      </c>
      <c r="M40">
        <v>10</v>
      </c>
      <c r="N40">
        <v>68</v>
      </c>
      <c r="O40" t="s">
        <v>485</v>
      </c>
      <c r="P40" t="s">
        <v>389</v>
      </c>
      <c r="Q40" t="s">
        <v>752</v>
      </c>
      <c r="R40" t="s">
        <v>705</v>
      </c>
      <c r="S40" t="s">
        <v>378</v>
      </c>
      <c r="T40" t="s">
        <v>487</v>
      </c>
      <c r="U40" t="s">
        <v>488</v>
      </c>
      <c r="V40" t="s">
        <v>392</v>
      </c>
      <c r="W40" t="s">
        <v>65</v>
      </c>
      <c r="X40" t="s">
        <v>66</v>
      </c>
      <c r="Y40" t="s">
        <v>66</v>
      </c>
      <c r="Z40">
        <v>7</v>
      </c>
      <c r="AA40">
        <v>7</v>
      </c>
      <c r="AB40">
        <v>7</v>
      </c>
      <c r="AC40">
        <v>3</v>
      </c>
      <c r="AD40">
        <v>7</v>
      </c>
      <c r="AE40">
        <v>7</v>
      </c>
      <c r="AF40">
        <v>1</v>
      </c>
      <c r="AG40">
        <v>2</v>
      </c>
      <c r="AH40">
        <v>6</v>
      </c>
      <c r="AI40">
        <v>4</v>
      </c>
      <c r="AJ40">
        <v>4</v>
      </c>
      <c r="AK40">
        <v>3</v>
      </c>
      <c r="AL40">
        <v>3</v>
      </c>
      <c r="AM40">
        <v>3</v>
      </c>
      <c r="AN40">
        <v>54</v>
      </c>
      <c r="AO40">
        <v>3</v>
      </c>
      <c r="AP40">
        <v>4</v>
      </c>
      <c r="AQ40">
        <v>4</v>
      </c>
      <c r="AR40">
        <v>5</v>
      </c>
      <c r="AS40">
        <v>5</v>
      </c>
      <c r="AT40">
        <v>5</v>
      </c>
      <c r="AU40">
        <v>4</v>
      </c>
      <c r="AV40">
        <v>5</v>
      </c>
      <c r="AW40">
        <v>6</v>
      </c>
      <c r="AX40">
        <v>2</v>
      </c>
      <c r="AY40" cm="1">
        <f t="array" ref="AY40">_xlfn.IFS(AZ40="Positive",1, AZ40="Negative",1, AZ40="Neutral",0)</f>
        <v>0</v>
      </c>
      <c r="AZ40" t="str" cm="1">
        <f t="array" ref="AZ40">_xlfn.IFS(AX40=1,"Positive",AX40=2,"Neutral",AX40=3,"Negative")</f>
        <v>Neutral</v>
      </c>
      <c r="BA40">
        <v>0</v>
      </c>
      <c r="BB40">
        <v>7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>
        <v>0</v>
      </c>
      <c r="BI40">
        <v>0</v>
      </c>
      <c r="BJ40">
        <v>6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 t="s">
        <v>388</v>
      </c>
      <c r="BT40" t="s">
        <v>484</v>
      </c>
      <c r="BU40" t="s">
        <v>434</v>
      </c>
      <c r="BV40" t="s">
        <v>486</v>
      </c>
    </row>
    <row r="41" spans="1:74" s="1" customFormat="1" x14ac:dyDescent="0.2">
      <c r="A41">
        <v>43</v>
      </c>
      <c r="B41">
        <v>43</v>
      </c>
      <c r="C41" t="s">
        <v>120</v>
      </c>
      <c r="D41"/>
      <c r="E41" t="s">
        <v>85</v>
      </c>
      <c r="F41">
        <v>3</v>
      </c>
      <c r="G41">
        <v>1998</v>
      </c>
      <c r="H41">
        <v>24</v>
      </c>
      <c r="I41" t="s">
        <v>69</v>
      </c>
      <c r="J41">
        <v>2</v>
      </c>
      <c r="K41" t="s">
        <v>642</v>
      </c>
      <c r="L41" t="s">
        <v>634</v>
      </c>
      <c r="M41">
        <v>1</v>
      </c>
      <c r="N41">
        <v>49</v>
      </c>
      <c r="O41" t="s">
        <v>456</v>
      </c>
      <c r="P41" t="s">
        <v>394</v>
      </c>
      <c r="Q41" t="s">
        <v>712</v>
      </c>
      <c r="R41" t="s">
        <v>747</v>
      </c>
      <c r="S41" t="s">
        <v>335</v>
      </c>
      <c r="T41" t="s">
        <v>491</v>
      </c>
      <c r="U41" t="s">
        <v>459</v>
      </c>
      <c r="V41" t="s">
        <v>398</v>
      </c>
      <c r="W41" t="s">
        <v>65</v>
      </c>
      <c r="X41" t="s">
        <v>66</v>
      </c>
      <c r="Y41" t="s">
        <v>66</v>
      </c>
      <c r="Z41">
        <v>7</v>
      </c>
      <c r="AA41">
        <v>5</v>
      </c>
      <c r="AB41">
        <v>5</v>
      </c>
      <c r="AC41">
        <v>4</v>
      </c>
      <c r="AD41">
        <v>3</v>
      </c>
      <c r="AE41">
        <v>5</v>
      </c>
      <c r="AF41">
        <v>4</v>
      </c>
      <c r="AG41">
        <v>3</v>
      </c>
      <c r="AH41">
        <v>6</v>
      </c>
      <c r="AI41">
        <v>4</v>
      </c>
      <c r="AJ41">
        <v>5</v>
      </c>
      <c r="AK41">
        <v>5</v>
      </c>
      <c r="AL41">
        <v>6</v>
      </c>
      <c r="AM41">
        <v>5</v>
      </c>
      <c r="AN41">
        <v>90</v>
      </c>
      <c r="AO41">
        <v>5</v>
      </c>
      <c r="AP41">
        <v>5</v>
      </c>
      <c r="AQ41">
        <v>2</v>
      </c>
      <c r="AR41">
        <v>6</v>
      </c>
      <c r="AS41">
        <v>5</v>
      </c>
      <c r="AT41">
        <v>5</v>
      </c>
      <c r="AU41">
        <v>6</v>
      </c>
      <c r="AV41">
        <v>6</v>
      </c>
      <c r="AW41">
        <v>6</v>
      </c>
      <c r="AX41">
        <v>2</v>
      </c>
      <c r="AY41" cm="1">
        <f t="array" ref="AY41">_xlfn.IFS(AZ41="Positive",1, AZ41="Negative",1, AZ41="Neutral",0)</f>
        <v>0</v>
      </c>
      <c r="AZ41" t="str" cm="1">
        <f t="array" ref="AZ41">_xlfn.IFS(AX41=1,"Positive",AX41=2,"Neutral",AX41=3,"Negative")</f>
        <v>Neutral</v>
      </c>
      <c r="BA41">
        <v>0</v>
      </c>
      <c r="BB41">
        <v>4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>
        <v>0</v>
      </c>
      <c r="BI41">
        <v>0</v>
      </c>
      <c r="BJ41">
        <v>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2</v>
      </c>
      <c r="BS41" t="s">
        <v>489</v>
      </c>
      <c r="BT41" t="s">
        <v>399</v>
      </c>
      <c r="BU41" t="s">
        <v>490</v>
      </c>
      <c r="BV41" t="s">
        <v>447</v>
      </c>
    </row>
    <row r="42" spans="1:74" s="1" customFormat="1" hidden="1" x14ac:dyDescent="0.2">
      <c r="A42">
        <v>44</v>
      </c>
      <c r="B42">
        <v>44</v>
      </c>
      <c r="C42" t="s">
        <v>121</v>
      </c>
      <c r="D42"/>
      <c r="E42" t="s">
        <v>80</v>
      </c>
      <c r="F42">
        <v>19</v>
      </c>
      <c r="G42">
        <v>1999</v>
      </c>
      <c r="H42">
        <v>23</v>
      </c>
      <c r="I42" t="s">
        <v>64</v>
      </c>
      <c r="J42">
        <v>1</v>
      </c>
      <c r="K42" t="s">
        <v>658</v>
      </c>
      <c r="L42" t="s">
        <v>634</v>
      </c>
      <c r="M42">
        <v>9</v>
      </c>
      <c r="N42">
        <v>52</v>
      </c>
      <c r="O42" t="s">
        <v>493</v>
      </c>
      <c r="P42" t="s">
        <v>315</v>
      </c>
      <c r="Q42" t="s">
        <v>729</v>
      </c>
      <c r="R42" t="s">
        <v>747</v>
      </c>
      <c r="S42" t="s">
        <v>349</v>
      </c>
      <c r="T42" t="s">
        <v>495</v>
      </c>
      <c r="U42" t="s">
        <v>496</v>
      </c>
      <c r="V42" t="s">
        <v>321</v>
      </c>
      <c r="W42" t="s">
        <v>65</v>
      </c>
      <c r="X42" t="s">
        <v>66</v>
      </c>
      <c r="Y42" t="s">
        <v>66</v>
      </c>
      <c r="Z42">
        <v>7</v>
      </c>
      <c r="AA42">
        <v>2</v>
      </c>
      <c r="AB42">
        <v>5</v>
      </c>
      <c r="AC42">
        <v>4</v>
      </c>
      <c r="AD42">
        <v>1</v>
      </c>
      <c r="AE42">
        <v>3</v>
      </c>
      <c r="AF42">
        <v>1</v>
      </c>
      <c r="AG42">
        <v>2</v>
      </c>
      <c r="AH42">
        <v>4</v>
      </c>
      <c r="AI42">
        <v>5</v>
      </c>
      <c r="AJ42">
        <v>3</v>
      </c>
      <c r="AK42">
        <v>3</v>
      </c>
      <c r="AL42">
        <v>4</v>
      </c>
      <c r="AM42">
        <v>3</v>
      </c>
      <c r="AN42">
        <v>143</v>
      </c>
      <c r="AO42">
        <v>1</v>
      </c>
      <c r="AP42">
        <v>4</v>
      </c>
      <c r="AQ42">
        <v>4</v>
      </c>
      <c r="AR42">
        <v>5</v>
      </c>
      <c r="AS42">
        <v>4</v>
      </c>
      <c r="AT42">
        <v>7</v>
      </c>
      <c r="AU42">
        <v>4</v>
      </c>
      <c r="AV42">
        <v>5</v>
      </c>
      <c r="AW42">
        <v>3</v>
      </c>
      <c r="AX42">
        <v>2</v>
      </c>
      <c r="AY42" cm="1">
        <f t="array" ref="AY42">_xlfn.IFS(AZ42="Positive",1, AZ42="Negative",1, AZ42="Neutral",0)</f>
        <v>0</v>
      </c>
      <c r="AZ42" t="str" cm="1">
        <f t="array" ref="AZ42">_xlfn.IFS(AX42=1,"Positive",AX42=2,"Neutral",AX42=3,"Negative")</f>
        <v>Neutral</v>
      </c>
      <c r="BA42">
        <v>5</v>
      </c>
      <c r="BB42">
        <v>1</v>
      </c>
      <c r="BC42" s="3">
        <v>3</v>
      </c>
      <c r="BD42" s="3">
        <v>0</v>
      </c>
      <c r="BE42" s="3">
        <v>2</v>
      </c>
      <c r="BF42" s="3">
        <v>0</v>
      </c>
      <c r="BG42" s="3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 t="s">
        <v>322</v>
      </c>
      <c r="BT42" t="s">
        <v>492</v>
      </c>
      <c r="BU42" t="s">
        <v>326</v>
      </c>
      <c r="BV42" t="s">
        <v>494</v>
      </c>
    </row>
    <row r="43" spans="1:74" s="1" customFormat="1" x14ac:dyDescent="0.2">
      <c r="A43">
        <v>45</v>
      </c>
      <c r="B43">
        <v>45</v>
      </c>
      <c r="C43" t="s">
        <v>122</v>
      </c>
      <c r="D43"/>
      <c r="E43" t="s">
        <v>76</v>
      </c>
      <c r="F43">
        <v>4</v>
      </c>
      <c r="G43">
        <v>2000</v>
      </c>
      <c r="H43">
        <v>22</v>
      </c>
      <c r="I43" t="s">
        <v>64</v>
      </c>
      <c r="J43">
        <v>1</v>
      </c>
      <c r="K43" t="s">
        <v>652</v>
      </c>
      <c r="L43" t="s">
        <v>653</v>
      </c>
      <c r="M43">
        <v>6</v>
      </c>
      <c r="N43">
        <v>62</v>
      </c>
      <c r="O43" t="s">
        <v>497</v>
      </c>
      <c r="P43" t="s">
        <v>278</v>
      </c>
      <c r="Q43" t="s">
        <v>753</v>
      </c>
      <c r="R43" t="s">
        <v>724</v>
      </c>
      <c r="S43" t="s">
        <v>403</v>
      </c>
      <c r="T43" t="s">
        <v>319</v>
      </c>
      <c r="U43" t="s">
        <v>498</v>
      </c>
      <c r="V43" t="s">
        <v>284</v>
      </c>
      <c r="W43" t="s">
        <v>65</v>
      </c>
      <c r="X43" t="s">
        <v>66</v>
      </c>
      <c r="Y43" t="s">
        <v>66</v>
      </c>
      <c r="Z43">
        <v>7</v>
      </c>
      <c r="AA43">
        <v>6</v>
      </c>
      <c r="AB43">
        <v>7</v>
      </c>
      <c r="AC43">
        <v>7</v>
      </c>
      <c r="AD43">
        <v>4</v>
      </c>
      <c r="AE43">
        <v>6</v>
      </c>
      <c r="AF43">
        <v>2</v>
      </c>
      <c r="AG43">
        <v>1</v>
      </c>
      <c r="AH43">
        <v>7</v>
      </c>
      <c r="AI43">
        <v>5</v>
      </c>
      <c r="AJ43">
        <v>3</v>
      </c>
      <c r="AK43">
        <v>6</v>
      </c>
      <c r="AL43">
        <v>6</v>
      </c>
      <c r="AM43">
        <v>6</v>
      </c>
      <c r="AN43">
        <v>240</v>
      </c>
      <c r="AO43">
        <v>6</v>
      </c>
      <c r="AP43">
        <v>3</v>
      </c>
      <c r="AQ43">
        <v>6</v>
      </c>
      <c r="AR43">
        <v>5</v>
      </c>
      <c r="AS43">
        <v>3</v>
      </c>
      <c r="AT43">
        <v>5</v>
      </c>
      <c r="AU43">
        <v>5</v>
      </c>
      <c r="AV43">
        <v>6</v>
      </c>
      <c r="AW43">
        <v>6</v>
      </c>
      <c r="AX43">
        <v>2</v>
      </c>
      <c r="AY43" cm="1">
        <f t="array" ref="AY43">_xlfn.IFS(AZ43="Positive",1, AZ43="Negative",1, AZ43="Neutral",0)</f>
        <v>0</v>
      </c>
      <c r="AZ43" t="str" cm="1">
        <f t="array" ref="AZ43">_xlfn.IFS(AX43=1,"Positive",AX43=2,"Neutral",AX43=3,"Negative")</f>
        <v>Neutral</v>
      </c>
      <c r="BA43">
        <v>0</v>
      </c>
      <c r="BB43">
        <v>3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>
        <v>0</v>
      </c>
      <c r="BI43">
        <v>0</v>
      </c>
      <c r="BJ43">
        <v>3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 t="s">
        <v>285</v>
      </c>
      <c r="BT43" t="s">
        <v>383</v>
      </c>
      <c r="BU43" t="s">
        <v>289</v>
      </c>
      <c r="BV43" t="s">
        <v>386</v>
      </c>
    </row>
    <row r="44" spans="1:74" s="1" customFormat="1" x14ac:dyDescent="0.2">
      <c r="A44">
        <v>46</v>
      </c>
      <c r="B44">
        <v>46</v>
      </c>
      <c r="C44" t="s">
        <v>123</v>
      </c>
      <c r="D44"/>
      <c r="E44" t="s">
        <v>68</v>
      </c>
      <c r="F44">
        <v>22</v>
      </c>
      <c r="G44">
        <v>2000</v>
      </c>
      <c r="H44">
        <v>22</v>
      </c>
      <c r="I44" t="s">
        <v>64</v>
      </c>
      <c r="J44">
        <v>1</v>
      </c>
      <c r="K44" t="s">
        <v>674</v>
      </c>
      <c r="L44" t="s">
        <v>675</v>
      </c>
      <c r="M44">
        <v>12</v>
      </c>
      <c r="N44">
        <v>69</v>
      </c>
      <c r="O44" t="s">
        <v>456</v>
      </c>
      <c r="P44" t="s">
        <v>315</v>
      </c>
      <c r="Q44" t="s">
        <v>752</v>
      </c>
      <c r="R44" t="s">
        <v>754</v>
      </c>
      <c r="S44" t="s">
        <v>499</v>
      </c>
      <c r="T44" t="s">
        <v>357</v>
      </c>
      <c r="U44" t="s">
        <v>459</v>
      </c>
      <c r="V44" t="s">
        <v>321</v>
      </c>
      <c r="W44" t="s">
        <v>65</v>
      </c>
      <c r="X44" t="s">
        <v>66</v>
      </c>
      <c r="Y44" t="s">
        <v>66</v>
      </c>
      <c r="Z44">
        <v>7</v>
      </c>
      <c r="AA44">
        <v>7</v>
      </c>
      <c r="AB44">
        <v>7</v>
      </c>
      <c r="AC44">
        <v>5</v>
      </c>
      <c r="AD44">
        <v>2</v>
      </c>
      <c r="AE44">
        <v>7</v>
      </c>
      <c r="AF44">
        <v>1</v>
      </c>
      <c r="AG44">
        <v>1</v>
      </c>
      <c r="AH44">
        <v>7</v>
      </c>
      <c r="AI44">
        <v>7</v>
      </c>
      <c r="AJ44">
        <v>1</v>
      </c>
      <c r="AK44">
        <v>6</v>
      </c>
      <c r="AL44">
        <v>4</v>
      </c>
      <c r="AM44">
        <v>3</v>
      </c>
      <c r="AN44">
        <v>72</v>
      </c>
      <c r="AO44">
        <v>1</v>
      </c>
      <c r="AP44">
        <v>1</v>
      </c>
      <c r="AQ44">
        <v>2</v>
      </c>
      <c r="AR44">
        <v>5</v>
      </c>
      <c r="AS44">
        <v>4</v>
      </c>
      <c r="AT44">
        <v>4</v>
      </c>
      <c r="AU44">
        <v>6</v>
      </c>
      <c r="AV44">
        <v>6</v>
      </c>
      <c r="AW44">
        <v>7</v>
      </c>
      <c r="AX44">
        <v>1</v>
      </c>
      <c r="AY44" cm="1">
        <f t="array" ref="AY44">_xlfn.IFS(AZ44="Positive",1, AZ44="Negative",1, AZ44="Neutral",0)</f>
        <v>1</v>
      </c>
      <c r="AZ44" t="str" cm="1">
        <f t="array" ref="AZ44">_xlfn.IFS(AX44=1,"Positive",AX44=2,"Neutral",AX44=3,"Negative")</f>
        <v>Positive</v>
      </c>
      <c r="BA44">
        <v>0</v>
      </c>
      <c r="BB44">
        <v>3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>
        <v>0</v>
      </c>
      <c r="BI44">
        <v>0</v>
      </c>
      <c r="BJ44">
        <v>2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 t="s">
        <v>414</v>
      </c>
      <c r="BT44" t="s">
        <v>313</v>
      </c>
      <c r="BU44" t="s">
        <v>417</v>
      </c>
      <c r="BV44" t="s">
        <v>317</v>
      </c>
    </row>
    <row r="45" spans="1:74" s="1" customFormat="1" hidden="1" x14ac:dyDescent="0.2">
      <c r="A45">
        <v>47</v>
      </c>
      <c r="B45">
        <v>47</v>
      </c>
      <c r="C45" t="s">
        <v>124</v>
      </c>
      <c r="D45"/>
      <c r="E45" t="s">
        <v>73</v>
      </c>
      <c r="F45">
        <v>22</v>
      </c>
      <c r="G45">
        <v>2001</v>
      </c>
      <c r="H45">
        <v>21</v>
      </c>
      <c r="I45" t="s">
        <v>64</v>
      </c>
      <c r="J45">
        <v>1</v>
      </c>
      <c r="K45" t="s">
        <v>676</v>
      </c>
      <c r="L45" t="s">
        <v>632</v>
      </c>
      <c r="M45">
        <v>18</v>
      </c>
      <c r="N45">
        <v>78</v>
      </c>
      <c r="O45" t="s">
        <v>500</v>
      </c>
      <c r="P45" t="s">
        <v>338</v>
      </c>
      <c r="Q45" t="s">
        <v>755</v>
      </c>
      <c r="R45" t="s">
        <v>732</v>
      </c>
      <c r="S45" t="s">
        <v>501</v>
      </c>
      <c r="T45" t="s">
        <v>502</v>
      </c>
      <c r="U45" t="s">
        <v>503</v>
      </c>
      <c r="V45" t="s">
        <v>504</v>
      </c>
      <c r="W45" t="s">
        <v>65</v>
      </c>
      <c r="X45" t="s">
        <v>66</v>
      </c>
      <c r="Y45" t="s">
        <v>66</v>
      </c>
      <c r="Z45">
        <v>7</v>
      </c>
      <c r="AA45">
        <v>1</v>
      </c>
      <c r="AB45">
        <v>5</v>
      </c>
      <c r="AC45">
        <v>1</v>
      </c>
      <c r="AD45">
        <v>1</v>
      </c>
      <c r="AE45">
        <v>1</v>
      </c>
      <c r="AF45">
        <v>5</v>
      </c>
      <c r="AG45">
        <v>6</v>
      </c>
      <c r="AH45">
        <v>1</v>
      </c>
      <c r="AI45">
        <v>5</v>
      </c>
      <c r="AJ45">
        <v>1</v>
      </c>
      <c r="AK45">
        <v>1</v>
      </c>
      <c r="AL45">
        <v>1</v>
      </c>
      <c r="AM45">
        <v>1</v>
      </c>
      <c r="AN45">
        <v>38</v>
      </c>
      <c r="AO45">
        <v>7</v>
      </c>
      <c r="AP45">
        <v>4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2</v>
      </c>
      <c r="AY45" cm="1">
        <f t="array" ref="AY45">_xlfn.IFS(AZ45="Positive",1, AZ45="Negative",1, AZ45="Neutral",0)</f>
        <v>0</v>
      </c>
      <c r="AZ45" t="str" cm="1">
        <f t="array" ref="AZ45">_xlfn.IFS(AX45=1,"Positive",AX45=2,"Neutral",AX45=3,"Negative")</f>
        <v>Neutral</v>
      </c>
      <c r="BA45">
        <v>4</v>
      </c>
      <c r="BB45">
        <v>1</v>
      </c>
      <c r="BC45" s="3">
        <v>3</v>
      </c>
      <c r="BD45" s="3">
        <v>0</v>
      </c>
      <c r="BE45" s="3">
        <v>1</v>
      </c>
      <c r="BF45" s="3">
        <v>0</v>
      </c>
      <c r="BG45" s="3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 t="s">
        <v>322</v>
      </c>
      <c r="BT45" t="s">
        <v>453</v>
      </c>
      <c r="BU45" t="s">
        <v>326</v>
      </c>
      <c r="BV45" t="s">
        <v>454</v>
      </c>
    </row>
    <row r="46" spans="1:74" s="1" customFormat="1" x14ac:dyDescent="0.2">
      <c r="A46">
        <v>48</v>
      </c>
      <c r="B46">
        <v>48</v>
      </c>
      <c r="C46" t="s">
        <v>125</v>
      </c>
      <c r="D46"/>
      <c r="E46" t="s">
        <v>63</v>
      </c>
      <c r="F46">
        <v>6</v>
      </c>
      <c r="G46">
        <v>1999</v>
      </c>
      <c r="H46">
        <v>23</v>
      </c>
      <c r="I46" t="s">
        <v>64</v>
      </c>
      <c r="J46">
        <v>1</v>
      </c>
      <c r="K46" t="s">
        <v>657</v>
      </c>
      <c r="L46" t="s">
        <v>669</v>
      </c>
      <c r="M46">
        <v>5</v>
      </c>
      <c r="N46">
        <v>75</v>
      </c>
      <c r="O46">
        <v>7</v>
      </c>
      <c r="P46" t="s">
        <v>505</v>
      </c>
      <c r="Q46" t="s">
        <v>727</v>
      </c>
      <c r="R46" t="s">
        <v>745</v>
      </c>
      <c r="S46" t="s">
        <v>318</v>
      </c>
      <c r="T46" t="s">
        <v>507</v>
      </c>
      <c r="U46" t="s">
        <v>508</v>
      </c>
      <c r="V46" t="s">
        <v>509</v>
      </c>
      <c r="W46" t="s">
        <v>65</v>
      </c>
      <c r="X46" t="s">
        <v>66</v>
      </c>
      <c r="Y46" t="s">
        <v>66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2</v>
      </c>
      <c r="AG46">
        <v>2</v>
      </c>
      <c r="AH46">
        <v>7</v>
      </c>
      <c r="AI46">
        <v>7</v>
      </c>
      <c r="AJ46">
        <v>1</v>
      </c>
      <c r="AK46">
        <v>7</v>
      </c>
      <c r="AL46">
        <v>7</v>
      </c>
      <c r="AM46">
        <v>7</v>
      </c>
      <c r="AN46">
        <v>2</v>
      </c>
      <c r="AO46">
        <v>7</v>
      </c>
      <c r="AP46">
        <v>1</v>
      </c>
      <c r="AQ46">
        <v>3</v>
      </c>
      <c r="AR46">
        <v>7</v>
      </c>
      <c r="AS46">
        <v>1</v>
      </c>
      <c r="AT46">
        <v>7</v>
      </c>
      <c r="AU46">
        <v>1</v>
      </c>
      <c r="AV46">
        <v>7</v>
      </c>
      <c r="AW46">
        <v>7</v>
      </c>
      <c r="AX46">
        <v>1</v>
      </c>
      <c r="AY46" cm="1">
        <f t="array" ref="AY46">_xlfn.IFS(AZ46="Positive",1, AZ46="Negative",1, AZ46="Neutral",0)</f>
        <v>1</v>
      </c>
      <c r="AZ46" t="str" cm="1">
        <f t="array" ref="AZ46">_xlfn.IFS(AX46=1,"Positive",AX46=2,"Neutral",AX46=3,"Negative")</f>
        <v>Positive</v>
      </c>
      <c r="BA46">
        <v>0</v>
      </c>
      <c r="BB46">
        <v>2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5</v>
      </c>
      <c r="BT46" t="s">
        <v>464</v>
      </c>
      <c r="BU46" t="s">
        <v>506</v>
      </c>
      <c r="BV46" t="s">
        <v>466</v>
      </c>
    </row>
    <row r="47" spans="1:74" s="1" customFormat="1" x14ac:dyDescent="0.2">
      <c r="A47">
        <v>49</v>
      </c>
      <c r="B47">
        <v>49</v>
      </c>
      <c r="C47" t="s">
        <v>126</v>
      </c>
      <c r="D47"/>
      <c r="E47" t="s">
        <v>73</v>
      </c>
      <c r="F47">
        <v>2</v>
      </c>
      <c r="G47">
        <v>1999</v>
      </c>
      <c r="H47">
        <v>23</v>
      </c>
      <c r="I47" t="s">
        <v>64</v>
      </c>
      <c r="J47">
        <v>1</v>
      </c>
      <c r="K47" t="s">
        <v>674</v>
      </c>
      <c r="L47" t="s">
        <v>677</v>
      </c>
      <c r="M47">
        <v>4</v>
      </c>
      <c r="N47">
        <v>56</v>
      </c>
      <c r="O47" t="s">
        <v>353</v>
      </c>
      <c r="P47" t="s">
        <v>361</v>
      </c>
      <c r="Q47" t="s">
        <v>752</v>
      </c>
      <c r="R47" t="s">
        <v>756</v>
      </c>
      <c r="S47" t="s">
        <v>396</v>
      </c>
      <c r="T47" t="s">
        <v>423</v>
      </c>
      <c r="U47" t="s">
        <v>358</v>
      </c>
      <c r="V47" t="s">
        <v>366</v>
      </c>
      <c r="W47" t="s">
        <v>65</v>
      </c>
      <c r="X47" t="s">
        <v>66</v>
      </c>
      <c r="Y47" t="s">
        <v>66</v>
      </c>
      <c r="Z47">
        <v>7</v>
      </c>
      <c r="AA47">
        <v>6</v>
      </c>
      <c r="AB47">
        <v>6</v>
      </c>
      <c r="AC47">
        <v>6</v>
      </c>
      <c r="AD47">
        <v>2</v>
      </c>
      <c r="AE47">
        <v>6</v>
      </c>
      <c r="AF47">
        <v>2</v>
      </c>
      <c r="AG47">
        <v>1</v>
      </c>
      <c r="AH47">
        <v>6</v>
      </c>
      <c r="AI47">
        <v>7</v>
      </c>
      <c r="AJ47">
        <v>1</v>
      </c>
      <c r="AK47">
        <v>6</v>
      </c>
      <c r="AL47">
        <v>6</v>
      </c>
      <c r="AM47">
        <v>2</v>
      </c>
      <c r="AN47">
        <v>240</v>
      </c>
      <c r="AO47">
        <v>6</v>
      </c>
      <c r="AP47">
        <v>1</v>
      </c>
      <c r="AQ47">
        <v>6</v>
      </c>
      <c r="AR47">
        <v>6</v>
      </c>
      <c r="AS47">
        <v>6</v>
      </c>
      <c r="AT47">
        <v>6</v>
      </c>
      <c r="AU47">
        <v>6</v>
      </c>
      <c r="AV47">
        <v>6</v>
      </c>
      <c r="AW47">
        <v>6</v>
      </c>
      <c r="AX47">
        <v>1</v>
      </c>
      <c r="AY47" cm="1">
        <f t="array" ref="AY47">_xlfn.IFS(AZ47="Positive",1, AZ47="Negative",1, AZ47="Neutral",0)</f>
        <v>1</v>
      </c>
      <c r="AZ47" t="str" cm="1">
        <f t="array" ref="AZ47">_xlfn.IFS(AX47=1,"Positive",AX47=2,"Neutral",AX47=3,"Negative")</f>
        <v>Positive</v>
      </c>
      <c r="BA47">
        <v>0</v>
      </c>
      <c r="BB47">
        <v>2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 t="s">
        <v>510</v>
      </c>
      <c r="BT47" t="s">
        <v>489</v>
      </c>
      <c r="BU47" t="s">
        <v>511</v>
      </c>
      <c r="BV47" t="s">
        <v>512</v>
      </c>
    </row>
    <row r="48" spans="1:74" s="1" customFormat="1" x14ac:dyDescent="0.2">
      <c r="A48">
        <v>50</v>
      </c>
      <c r="B48">
        <v>50</v>
      </c>
      <c r="C48" t="s">
        <v>127</v>
      </c>
      <c r="D48"/>
      <c r="E48" t="s">
        <v>76</v>
      </c>
      <c r="F48">
        <v>7</v>
      </c>
      <c r="G48">
        <v>1999</v>
      </c>
      <c r="H48">
        <v>23</v>
      </c>
      <c r="I48" t="s">
        <v>69</v>
      </c>
      <c r="J48">
        <v>2</v>
      </c>
      <c r="K48" t="s">
        <v>678</v>
      </c>
      <c r="L48" t="s">
        <v>659</v>
      </c>
      <c r="M48">
        <v>17</v>
      </c>
      <c r="N48">
        <v>49</v>
      </c>
      <c r="O48" t="s">
        <v>314</v>
      </c>
      <c r="P48" t="s">
        <v>278</v>
      </c>
      <c r="Q48" t="s">
        <v>757</v>
      </c>
      <c r="R48" t="s">
        <v>730</v>
      </c>
      <c r="S48" t="s">
        <v>443</v>
      </c>
      <c r="T48" t="s">
        <v>491</v>
      </c>
      <c r="U48" t="s">
        <v>320</v>
      </c>
      <c r="V48" t="s">
        <v>284</v>
      </c>
      <c r="W48" t="s">
        <v>65</v>
      </c>
      <c r="X48" t="s">
        <v>66</v>
      </c>
      <c r="Y48" t="s">
        <v>66</v>
      </c>
      <c r="Z48">
        <v>7</v>
      </c>
      <c r="AA48">
        <v>5</v>
      </c>
      <c r="AB48">
        <v>4</v>
      </c>
      <c r="AC48">
        <v>6</v>
      </c>
      <c r="AD48">
        <v>5</v>
      </c>
      <c r="AE48">
        <v>6</v>
      </c>
      <c r="AF48">
        <v>4</v>
      </c>
      <c r="AG48">
        <v>3</v>
      </c>
      <c r="AH48">
        <v>5</v>
      </c>
      <c r="AI48">
        <v>3</v>
      </c>
      <c r="AJ48">
        <v>5</v>
      </c>
      <c r="AK48">
        <v>5</v>
      </c>
      <c r="AL48">
        <v>4</v>
      </c>
      <c r="AM48">
        <v>5</v>
      </c>
      <c r="AN48">
        <v>146</v>
      </c>
      <c r="AO48">
        <v>6</v>
      </c>
      <c r="AP48">
        <v>5</v>
      </c>
      <c r="AQ48">
        <v>5</v>
      </c>
      <c r="AR48">
        <v>7</v>
      </c>
      <c r="AS48">
        <v>7</v>
      </c>
      <c r="AT48">
        <v>6</v>
      </c>
      <c r="AU48">
        <v>4</v>
      </c>
      <c r="AV48">
        <v>5</v>
      </c>
      <c r="AW48">
        <v>5</v>
      </c>
      <c r="AX48">
        <v>2</v>
      </c>
      <c r="AY48" cm="1">
        <f t="array" ref="AY48">_xlfn.IFS(AZ48="Positive",1, AZ48="Negative",1, AZ48="Neutral",0)</f>
        <v>0</v>
      </c>
      <c r="AZ48" t="str" cm="1">
        <f t="array" ref="AZ48">_xlfn.IFS(AX48=1,"Positive",AX48=2,"Neutral",AX48=3,"Negative")</f>
        <v>Neutral</v>
      </c>
      <c r="BA48">
        <v>0</v>
      </c>
      <c r="BB48">
        <v>4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>
        <v>0</v>
      </c>
      <c r="BI48">
        <v>0</v>
      </c>
      <c r="BJ48">
        <v>2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 t="s">
        <v>352</v>
      </c>
      <c r="BT48" t="s">
        <v>388</v>
      </c>
      <c r="BU48" t="s">
        <v>355</v>
      </c>
      <c r="BV48" t="s">
        <v>390</v>
      </c>
    </row>
    <row r="49" spans="1:74" s="1" customFormat="1" hidden="1" x14ac:dyDescent="0.2">
      <c r="A49">
        <v>51</v>
      </c>
      <c r="B49">
        <v>51</v>
      </c>
      <c r="C49" t="s">
        <v>128</v>
      </c>
      <c r="D49"/>
      <c r="E49" t="s">
        <v>63</v>
      </c>
      <c r="F49">
        <v>4</v>
      </c>
      <c r="G49">
        <v>2001</v>
      </c>
      <c r="H49">
        <v>21</v>
      </c>
      <c r="I49" t="s">
        <v>64</v>
      </c>
      <c r="J49">
        <v>1</v>
      </c>
      <c r="K49" t="s">
        <v>642</v>
      </c>
      <c r="L49" t="s">
        <v>679</v>
      </c>
      <c r="M49">
        <v>11</v>
      </c>
      <c r="N49">
        <v>62</v>
      </c>
      <c r="O49" t="s">
        <v>513</v>
      </c>
      <c r="P49" t="s">
        <v>405</v>
      </c>
      <c r="Q49" t="s">
        <v>712</v>
      </c>
      <c r="R49" t="s">
        <v>758</v>
      </c>
      <c r="S49" t="s">
        <v>514</v>
      </c>
      <c r="T49" t="s">
        <v>319</v>
      </c>
      <c r="U49" t="s">
        <v>515</v>
      </c>
      <c r="V49" t="s">
        <v>407</v>
      </c>
      <c r="W49" t="s">
        <v>65</v>
      </c>
      <c r="X49" t="s">
        <v>66</v>
      </c>
      <c r="Y49" t="s">
        <v>66</v>
      </c>
      <c r="Z49">
        <v>7</v>
      </c>
      <c r="AA49">
        <v>7</v>
      </c>
      <c r="AB49">
        <v>7</v>
      </c>
      <c r="AC49">
        <v>3</v>
      </c>
      <c r="AD49">
        <v>1</v>
      </c>
      <c r="AE49">
        <v>5</v>
      </c>
      <c r="AF49">
        <v>1</v>
      </c>
      <c r="AG49">
        <v>3</v>
      </c>
      <c r="AH49">
        <v>6</v>
      </c>
      <c r="AI49">
        <v>5</v>
      </c>
      <c r="AJ49">
        <v>1</v>
      </c>
      <c r="AK49">
        <v>3</v>
      </c>
      <c r="AL49">
        <v>2</v>
      </c>
      <c r="AM49">
        <v>2</v>
      </c>
      <c r="AN49">
        <v>48</v>
      </c>
      <c r="AO49">
        <v>2</v>
      </c>
      <c r="AP49">
        <v>1</v>
      </c>
      <c r="AQ49">
        <v>1</v>
      </c>
      <c r="AR49">
        <v>6</v>
      </c>
      <c r="AS49">
        <v>5</v>
      </c>
      <c r="AT49">
        <v>6</v>
      </c>
      <c r="AU49">
        <v>6</v>
      </c>
      <c r="AV49">
        <v>5</v>
      </c>
      <c r="AW49">
        <v>6</v>
      </c>
      <c r="AX49">
        <v>1</v>
      </c>
      <c r="AY49" cm="1">
        <f t="array" ref="AY49">_xlfn.IFS(AZ49="Positive",1, AZ49="Negative",1, AZ49="Neutral",0)</f>
        <v>1</v>
      </c>
      <c r="AZ49" t="str" cm="1">
        <f t="array" ref="AZ49">_xlfn.IFS(AX49=1,"Positive",AX49=2,"Neutral",AX49=3,"Negative")</f>
        <v>Positive</v>
      </c>
      <c r="BA49">
        <v>8</v>
      </c>
      <c r="BB49">
        <v>1</v>
      </c>
      <c r="BC49" s="3">
        <v>4</v>
      </c>
      <c r="BD49" s="3">
        <v>0</v>
      </c>
      <c r="BE49" s="3">
        <v>1</v>
      </c>
      <c r="BF49" s="3">
        <v>3</v>
      </c>
      <c r="BG49" s="3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 t="s">
        <v>463</v>
      </c>
      <c r="BT49" t="s">
        <v>275</v>
      </c>
      <c r="BU49" t="s">
        <v>465</v>
      </c>
      <c r="BV49" t="s">
        <v>334</v>
      </c>
    </row>
    <row r="50" spans="1:74" s="1" customFormat="1" hidden="1" x14ac:dyDescent="0.2">
      <c r="A50">
        <v>52</v>
      </c>
      <c r="B50">
        <v>52</v>
      </c>
      <c r="C50" t="s">
        <v>129</v>
      </c>
      <c r="D50"/>
      <c r="E50" t="s">
        <v>76</v>
      </c>
      <c r="F50">
        <v>28</v>
      </c>
      <c r="G50">
        <v>1997</v>
      </c>
      <c r="H50">
        <v>25</v>
      </c>
      <c r="I50" t="s">
        <v>69</v>
      </c>
      <c r="J50">
        <v>2</v>
      </c>
      <c r="K50" t="s">
        <v>656</v>
      </c>
      <c r="L50" t="s">
        <v>666</v>
      </c>
      <c r="M50">
        <v>6</v>
      </c>
      <c r="N50">
        <v>67</v>
      </c>
      <c r="O50" t="s">
        <v>338</v>
      </c>
      <c r="P50" t="s">
        <v>517</v>
      </c>
      <c r="Q50" t="s">
        <v>751</v>
      </c>
      <c r="R50" t="s">
        <v>740</v>
      </c>
      <c r="S50" t="s">
        <v>403</v>
      </c>
      <c r="T50" t="s">
        <v>431</v>
      </c>
      <c r="U50" t="s">
        <v>342</v>
      </c>
      <c r="V50" t="s">
        <v>519</v>
      </c>
      <c r="W50" t="s">
        <v>65</v>
      </c>
      <c r="X50" t="s">
        <v>66</v>
      </c>
      <c r="Y50" t="s">
        <v>66</v>
      </c>
      <c r="Z50">
        <v>7</v>
      </c>
      <c r="AA50">
        <v>5</v>
      </c>
      <c r="AB50">
        <v>7</v>
      </c>
      <c r="AC50">
        <v>5</v>
      </c>
      <c r="AD50">
        <v>1</v>
      </c>
      <c r="AE50">
        <v>1</v>
      </c>
      <c r="AF50">
        <v>2</v>
      </c>
      <c r="AG50">
        <v>2</v>
      </c>
      <c r="AH50">
        <v>3</v>
      </c>
      <c r="AI50">
        <v>6</v>
      </c>
      <c r="AJ50">
        <v>2</v>
      </c>
      <c r="AK50">
        <v>5</v>
      </c>
      <c r="AL50">
        <v>2</v>
      </c>
      <c r="AM50">
        <v>1</v>
      </c>
      <c r="AN50">
        <v>14</v>
      </c>
      <c r="AO50">
        <v>6</v>
      </c>
      <c r="AP50">
        <v>4</v>
      </c>
      <c r="AQ50">
        <v>1</v>
      </c>
      <c r="AR50">
        <v>7</v>
      </c>
      <c r="AS50">
        <v>3</v>
      </c>
      <c r="AT50">
        <v>7</v>
      </c>
      <c r="AU50">
        <v>7</v>
      </c>
      <c r="AV50">
        <v>7</v>
      </c>
      <c r="AW50">
        <v>7</v>
      </c>
      <c r="AX50">
        <v>2</v>
      </c>
      <c r="AY50" cm="1">
        <f t="array" ref="AY50">_xlfn.IFS(AZ50="Positive",1, AZ50="Negative",1, AZ50="Neutral",0)</f>
        <v>0</v>
      </c>
      <c r="AZ50" t="str" cm="1">
        <f t="array" ref="AZ50">_xlfn.IFS(AX50=1,"Positive",AX50=2,"Neutral",AX50=3,"Negative")</f>
        <v>Neutral</v>
      </c>
      <c r="BA50">
        <v>11</v>
      </c>
      <c r="BB50">
        <v>1</v>
      </c>
      <c r="BC50" s="3">
        <v>8</v>
      </c>
      <c r="BD50" s="3">
        <v>0</v>
      </c>
      <c r="BE50" s="3">
        <v>3</v>
      </c>
      <c r="BF50" s="3">
        <v>0</v>
      </c>
      <c r="BG50" s="3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 t="s">
        <v>516</v>
      </c>
      <c r="BT50" t="s">
        <v>433</v>
      </c>
      <c r="BU50" t="s">
        <v>518</v>
      </c>
      <c r="BV50" t="s">
        <v>435</v>
      </c>
    </row>
    <row r="51" spans="1:74" s="1" customFormat="1" hidden="1" x14ac:dyDescent="0.2">
      <c r="A51">
        <v>53</v>
      </c>
      <c r="B51">
        <v>53</v>
      </c>
      <c r="C51" t="s">
        <v>130</v>
      </c>
      <c r="D51"/>
      <c r="E51" t="s">
        <v>97</v>
      </c>
      <c r="F51">
        <v>21</v>
      </c>
      <c r="G51">
        <v>1998</v>
      </c>
      <c r="H51">
        <v>24</v>
      </c>
      <c r="I51" t="s">
        <v>64</v>
      </c>
      <c r="J51">
        <v>1</v>
      </c>
      <c r="K51" t="s">
        <v>416</v>
      </c>
      <c r="L51" t="s">
        <v>680</v>
      </c>
      <c r="M51">
        <v>6</v>
      </c>
      <c r="N51">
        <v>53</v>
      </c>
      <c r="O51" t="s">
        <v>520</v>
      </c>
      <c r="P51">
        <v>5</v>
      </c>
      <c r="Q51" t="s">
        <v>723</v>
      </c>
      <c r="R51" t="s">
        <v>759</v>
      </c>
      <c r="S51" t="s">
        <v>403</v>
      </c>
      <c r="T51" t="s">
        <v>522</v>
      </c>
      <c r="U51" t="s">
        <v>523</v>
      </c>
      <c r="V51" t="s">
        <v>524</v>
      </c>
      <c r="W51" t="s">
        <v>65</v>
      </c>
      <c r="X51" t="s">
        <v>66</v>
      </c>
      <c r="Y51" t="s">
        <v>66</v>
      </c>
      <c r="Z51">
        <v>7</v>
      </c>
      <c r="AA51">
        <v>3</v>
      </c>
      <c r="AB51">
        <v>6</v>
      </c>
      <c r="AC51">
        <v>6</v>
      </c>
      <c r="AD51">
        <v>1</v>
      </c>
      <c r="AE51">
        <v>6</v>
      </c>
      <c r="AF51">
        <v>2</v>
      </c>
      <c r="AG51">
        <v>1</v>
      </c>
      <c r="AH51">
        <v>3</v>
      </c>
      <c r="AI51">
        <v>6</v>
      </c>
      <c r="AJ51">
        <v>1</v>
      </c>
      <c r="AK51">
        <v>1</v>
      </c>
      <c r="AL51">
        <v>3</v>
      </c>
      <c r="AM51">
        <v>3</v>
      </c>
      <c r="AN51">
        <v>0</v>
      </c>
      <c r="AO51">
        <v>6</v>
      </c>
      <c r="AP51">
        <v>2</v>
      </c>
      <c r="AQ51">
        <v>2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2</v>
      </c>
      <c r="AX51">
        <v>1</v>
      </c>
      <c r="AY51" cm="1">
        <f t="array" ref="AY51">_xlfn.IFS(AZ51="Positive",1, AZ51="Negative",1, AZ51="Neutral",0)</f>
        <v>1</v>
      </c>
      <c r="AZ51" t="str" cm="1">
        <f t="array" ref="AZ51">_xlfn.IFS(AX51=1,"Positive",AX51=2,"Neutral",AX51=3,"Negative")</f>
        <v>Positive</v>
      </c>
      <c r="BA51">
        <v>9</v>
      </c>
      <c r="BB51">
        <v>2</v>
      </c>
      <c r="BC51" s="3">
        <v>6</v>
      </c>
      <c r="BD51" s="3">
        <v>1</v>
      </c>
      <c r="BE51" s="3">
        <v>1</v>
      </c>
      <c r="BF51" s="3">
        <v>0</v>
      </c>
      <c r="BG51" s="3">
        <v>1</v>
      </c>
      <c r="BH51">
        <v>0</v>
      </c>
      <c r="BI51">
        <v>0</v>
      </c>
      <c r="BJ51">
        <v>2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4</v>
      </c>
      <c r="BT51">
        <v>1</v>
      </c>
      <c r="BU51" t="s">
        <v>370</v>
      </c>
      <c r="BV51" t="s">
        <v>521</v>
      </c>
    </row>
    <row r="52" spans="1:74" s="1" customFormat="1" hidden="1" x14ac:dyDescent="0.2">
      <c r="A52">
        <v>54</v>
      </c>
      <c r="B52">
        <v>54</v>
      </c>
      <c r="C52" t="s">
        <v>131</v>
      </c>
      <c r="D52"/>
      <c r="E52" t="s">
        <v>93</v>
      </c>
      <c r="F52">
        <v>22</v>
      </c>
      <c r="G52">
        <v>1998</v>
      </c>
      <c r="H52">
        <v>24</v>
      </c>
      <c r="I52" t="s">
        <v>64</v>
      </c>
      <c r="J52">
        <v>1</v>
      </c>
      <c r="K52" t="s">
        <v>456</v>
      </c>
      <c r="L52" t="s">
        <v>681</v>
      </c>
      <c r="M52">
        <v>9</v>
      </c>
      <c r="N52">
        <v>53</v>
      </c>
      <c r="O52" t="s">
        <v>525</v>
      </c>
      <c r="P52" t="s">
        <v>306</v>
      </c>
      <c r="Q52" t="s">
        <v>736</v>
      </c>
      <c r="R52" t="s">
        <v>760</v>
      </c>
      <c r="S52" t="s">
        <v>349</v>
      </c>
      <c r="T52" t="s">
        <v>522</v>
      </c>
      <c r="U52" t="s">
        <v>527</v>
      </c>
      <c r="V52" t="s">
        <v>528</v>
      </c>
      <c r="W52" t="s">
        <v>65</v>
      </c>
      <c r="X52" t="s">
        <v>66</v>
      </c>
      <c r="Y52" t="s">
        <v>66</v>
      </c>
      <c r="Z52">
        <v>7</v>
      </c>
      <c r="AA52">
        <v>6</v>
      </c>
      <c r="AB52">
        <v>6</v>
      </c>
      <c r="AC52">
        <v>4</v>
      </c>
      <c r="AD52">
        <v>1</v>
      </c>
      <c r="AE52">
        <v>4</v>
      </c>
      <c r="AF52">
        <v>7</v>
      </c>
      <c r="AG52">
        <v>1</v>
      </c>
      <c r="AH52">
        <v>7</v>
      </c>
      <c r="AI52">
        <v>7</v>
      </c>
      <c r="AJ52">
        <v>1</v>
      </c>
      <c r="AK52">
        <v>7</v>
      </c>
      <c r="AL52">
        <v>7</v>
      </c>
      <c r="AM52">
        <v>4</v>
      </c>
      <c r="AN52">
        <v>193</v>
      </c>
      <c r="AO52">
        <v>6</v>
      </c>
      <c r="AP52">
        <v>1</v>
      </c>
      <c r="AQ52">
        <v>3</v>
      </c>
      <c r="AR52">
        <v>7</v>
      </c>
      <c r="AS52">
        <v>7</v>
      </c>
      <c r="AT52">
        <v>7</v>
      </c>
      <c r="AU52">
        <v>7</v>
      </c>
      <c r="AV52">
        <v>7</v>
      </c>
      <c r="AW52">
        <v>7</v>
      </c>
      <c r="AX52">
        <v>1</v>
      </c>
      <c r="AY52" cm="1">
        <f t="array" ref="AY52">_xlfn.IFS(AZ52="Positive",1, AZ52="Negative",1, AZ52="Neutral",0)</f>
        <v>1</v>
      </c>
      <c r="AZ52" t="str" cm="1">
        <f t="array" ref="AZ52">_xlfn.IFS(AX52=1,"Positive",AX52=2,"Neutral",AX52=3,"Negative")</f>
        <v>Positive</v>
      </c>
      <c r="BA52">
        <v>6</v>
      </c>
      <c r="BB52">
        <v>6</v>
      </c>
      <c r="BC52" s="3">
        <v>5</v>
      </c>
      <c r="BD52" s="3">
        <v>0</v>
      </c>
      <c r="BE52" s="3">
        <v>1</v>
      </c>
      <c r="BF52" s="3">
        <v>0</v>
      </c>
      <c r="BG52" s="3">
        <v>0</v>
      </c>
      <c r="BH52">
        <v>0</v>
      </c>
      <c r="BI52">
        <v>0</v>
      </c>
      <c r="BJ52">
        <v>0</v>
      </c>
      <c r="BK52">
        <v>2</v>
      </c>
      <c r="BL52">
        <v>0</v>
      </c>
      <c r="BM52">
        <v>3</v>
      </c>
      <c r="BN52">
        <v>0</v>
      </c>
      <c r="BO52">
        <v>0</v>
      </c>
      <c r="BP52">
        <v>0</v>
      </c>
      <c r="BQ52">
        <v>0</v>
      </c>
      <c r="BR52">
        <v>1</v>
      </c>
      <c r="BS52" t="s">
        <v>375</v>
      </c>
      <c r="BT52" t="s">
        <v>352</v>
      </c>
      <c r="BU52" t="s">
        <v>377</v>
      </c>
      <c r="BV52" t="s">
        <v>526</v>
      </c>
    </row>
    <row r="53" spans="1:74" s="1" customFormat="1" hidden="1" x14ac:dyDescent="0.2">
      <c r="A53">
        <v>55</v>
      </c>
      <c r="B53">
        <v>55</v>
      </c>
      <c r="C53" t="s">
        <v>132</v>
      </c>
      <c r="D53"/>
      <c r="E53" t="s">
        <v>80</v>
      </c>
      <c r="F53">
        <v>5</v>
      </c>
      <c r="G53">
        <v>1997</v>
      </c>
      <c r="H53">
        <v>25</v>
      </c>
      <c r="I53" t="s">
        <v>64</v>
      </c>
      <c r="J53">
        <v>1</v>
      </c>
      <c r="K53" t="s">
        <v>658</v>
      </c>
      <c r="L53" t="s">
        <v>632</v>
      </c>
      <c r="M53">
        <v>10</v>
      </c>
      <c r="N53">
        <v>62</v>
      </c>
      <c r="O53" t="s">
        <v>408</v>
      </c>
      <c r="P53" t="s">
        <v>354</v>
      </c>
      <c r="Q53" t="s">
        <v>729</v>
      </c>
      <c r="R53" t="s">
        <v>732</v>
      </c>
      <c r="S53" t="s">
        <v>378</v>
      </c>
      <c r="T53" t="s">
        <v>319</v>
      </c>
      <c r="U53" t="s">
        <v>412</v>
      </c>
      <c r="V53" t="s">
        <v>359</v>
      </c>
      <c r="W53" t="s">
        <v>65</v>
      </c>
      <c r="X53" t="s">
        <v>66</v>
      </c>
      <c r="Y53" t="s">
        <v>66</v>
      </c>
      <c r="Z53">
        <v>7</v>
      </c>
      <c r="AA53">
        <v>5</v>
      </c>
      <c r="AB53">
        <v>5</v>
      </c>
      <c r="AC53">
        <v>3</v>
      </c>
      <c r="AD53">
        <v>1</v>
      </c>
      <c r="AE53">
        <v>5</v>
      </c>
      <c r="AF53">
        <v>5</v>
      </c>
      <c r="AG53">
        <v>2</v>
      </c>
      <c r="AH53">
        <v>5</v>
      </c>
      <c r="AI53">
        <v>4</v>
      </c>
      <c r="AJ53">
        <v>3</v>
      </c>
      <c r="AK53">
        <v>5</v>
      </c>
      <c r="AL53">
        <v>1</v>
      </c>
      <c r="AM53">
        <v>5</v>
      </c>
      <c r="AN53">
        <v>96</v>
      </c>
      <c r="AO53">
        <v>7</v>
      </c>
      <c r="AP53">
        <v>4</v>
      </c>
      <c r="AQ53">
        <v>3</v>
      </c>
      <c r="AR53">
        <v>4</v>
      </c>
      <c r="AS53">
        <v>5</v>
      </c>
      <c r="AT53">
        <v>6</v>
      </c>
      <c r="AU53">
        <v>5</v>
      </c>
      <c r="AV53">
        <v>6</v>
      </c>
      <c r="AW53">
        <v>6</v>
      </c>
      <c r="AX53">
        <v>2</v>
      </c>
      <c r="AY53" cm="1">
        <f t="array" ref="AY53">_xlfn.IFS(AZ53="Positive",1, AZ53="Negative",1, AZ53="Neutral",0)</f>
        <v>0</v>
      </c>
      <c r="AZ53" t="str" cm="1">
        <f t="array" ref="AZ53">_xlfn.IFS(AX53=1,"Positive",AX53=2,"Neutral",AX53=3,"Negative")</f>
        <v>Neutral</v>
      </c>
      <c r="BA53">
        <v>7</v>
      </c>
      <c r="BB53">
        <v>0</v>
      </c>
      <c r="BC53" s="3">
        <v>3</v>
      </c>
      <c r="BD53" s="3">
        <v>2</v>
      </c>
      <c r="BE53" s="3">
        <v>1</v>
      </c>
      <c r="BF53" s="3">
        <v>1</v>
      </c>
      <c r="BG53" s="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 t="s">
        <v>382</v>
      </c>
      <c r="BT53">
        <v>3</v>
      </c>
      <c r="BU53" t="s">
        <v>385</v>
      </c>
      <c r="BV53" t="s">
        <v>309</v>
      </c>
    </row>
    <row r="54" spans="1:74" s="1" customFormat="1" x14ac:dyDescent="0.2">
      <c r="A54">
        <v>56</v>
      </c>
      <c r="B54">
        <v>56</v>
      </c>
      <c r="C54" t="s">
        <v>133</v>
      </c>
      <c r="D54"/>
      <c r="E54" t="s">
        <v>71</v>
      </c>
      <c r="F54">
        <v>16</v>
      </c>
      <c r="G54">
        <v>1999</v>
      </c>
      <c r="H54">
        <v>23</v>
      </c>
      <c r="I54" t="s">
        <v>69</v>
      </c>
      <c r="J54">
        <v>2</v>
      </c>
      <c r="K54" t="s">
        <v>661</v>
      </c>
      <c r="L54" t="s">
        <v>682</v>
      </c>
      <c r="M54">
        <v>10</v>
      </c>
      <c r="N54">
        <v>63</v>
      </c>
      <c r="O54" t="s">
        <v>529</v>
      </c>
      <c r="P54" t="s">
        <v>438</v>
      </c>
      <c r="Q54" t="s">
        <v>734</v>
      </c>
      <c r="R54" t="s">
        <v>761</v>
      </c>
      <c r="S54" t="s">
        <v>378</v>
      </c>
      <c r="T54" t="s">
        <v>477</v>
      </c>
      <c r="U54" t="s">
        <v>531</v>
      </c>
      <c r="V54" t="s">
        <v>441</v>
      </c>
      <c r="W54" t="s">
        <v>65</v>
      </c>
      <c r="X54" t="s">
        <v>66</v>
      </c>
      <c r="Y54" t="s">
        <v>66</v>
      </c>
      <c r="Z54">
        <v>7</v>
      </c>
      <c r="AA54">
        <v>7</v>
      </c>
      <c r="AB54">
        <v>7</v>
      </c>
      <c r="AC54">
        <v>2</v>
      </c>
      <c r="AD54">
        <v>1</v>
      </c>
      <c r="AE54">
        <v>1</v>
      </c>
      <c r="AF54">
        <v>1</v>
      </c>
      <c r="AG54">
        <v>1</v>
      </c>
      <c r="AH54">
        <v>7</v>
      </c>
      <c r="AI54">
        <v>7</v>
      </c>
      <c r="AJ54">
        <v>1</v>
      </c>
      <c r="AK54">
        <v>7</v>
      </c>
      <c r="AL54">
        <v>6</v>
      </c>
      <c r="AM54">
        <v>6</v>
      </c>
      <c r="AN54">
        <v>170</v>
      </c>
      <c r="AO54">
        <v>7</v>
      </c>
      <c r="AP54">
        <v>1</v>
      </c>
      <c r="AQ54">
        <v>7</v>
      </c>
      <c r="AR54">
        <v>5</v>
      </c>
      <c r="AS54">
        <v>7</v>
      </c>
      <c r="AT54">
        <v>7</v>
      </c>
      <c r="AU54">
        <v>7</v>
      </c>
      <c r="AV54">
        <v>7</v>
      </c>
      <c r="AW54">
        <v>7</v>
      </c>
      <c r="AX54">
        <v>1</v>
      </c>
      <c r="AY54" cm="1">
        <f t="array" ref="AY54">_xlfn.IFS(AZ54="Positive",1, AZ54="Negative",1, AZ54="Neutral",0)</f>
        <v>1</v>
      </c>
      <c r="AZ54" t="str" cm="1">
        <f t="array" ref="AZ54">_xlfn.IFS(AX54=1,"Positive",AX54=2,"Neutral",AX54=3,"Negative")</f>
        <v>Positive</v>
      </c>
      <c r="BA54">
        <v>0</v>
      </c>
      <c r="BB54">
        <v>6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>
        <v>0</v>
      </c>
      <c r="BI54">
        <v>0</v>
      </c>
      <c r="BJ54">
        <v>2</v>
      </c>
      <c r="BK54">
        <v>2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2</v>
      </c>
      <c r="BS54" t="s">
        <v>285</v>
      </c>
      <c r="BT54" t="s">
        <v>414</v>
      </c>
      <c r="BU54" t="s">
        <v>289</v>
      </c>
      <c r="BV54" t="s">
        <v>530</v>
      </c>
    </row>
    <row r="55" spans="1:74" s="1" customFormat="1" hidden="1" x14ac:dyDescent="0.2">
      <c r="A55">
        <v>57</v>
      </c>
      <c r="B55">
        <v>57</v>
      </c>
      <c r="C55" t="s">
        <v>134</v>
      </c>
      <c r="D55"/>
      <c r="E55" t="s">
        <v>71</v>
      </c>
      <c r="F55">
        <v>2</v>
      </c>
      <c r="G55">
        <v>2000</v>
      </c>
      <c r="H55">
        <v>22</v>
      </c>
      <c r="I55" t="s">
        <v>64</v>
      </c>
      <c r="J55">
        <v>1</v>
      </c>
      <c r="K55" t="s">
        <v>683</v>
      </c>
      <c r="L55" t="s">
        <v>648</v>
      </c>
      <c r="M55">
        <v>7</v>
      </c>
      <c r="N55">
        <v>68</v>
      </c>
      <c r="O55" t="s">
        <v>532</v>
      </c>
      <c r="P55" t="s">
        <v>325</v>
      </c>
      <c r="Q55" t="s">
        <v>762</v>
      </c>
      <c r="R55" t="s">
        <v>718</v>
      </c>
      <c r="S55" t="s">
        <v>430</v>
      </c>
      <c r="T55" t="s">
        <v>487</v>
      </c>
      <c r="U55" t="s">
        <v>533</v>
      </c>
      <c r="V55" t="s">
        <v>331</v>
      </c>
      <c r="W55" t="s">
        <v>65</v>
      </c>
      <c r="X55" t="s">
        <v>66</v>
      </c>
      <c r="Y55" t="s">
        <v>66</v>
      </c>
      <c r="Z55">
        <v>7</v>
      </c>
      <c r="AA55">
        <v>2</v>
      </c>
      <c r="AB55">
        <v>6</v>
      </c>
      <c r="AC55">
        <v>4</v>
      </c>
      <c r="AD55">
        <v>1</v>
      </c>
      <c r="AE55">
        <v>1</v>
      </c>
      <c r="AF55">
        <v>1</v>
      </c>
      <c r="AG55">
        <v>1</v>
      </c>
      <c r="AH55">
        <v>4</v>
      </c>
      <c r="AI55">
        <v>1</v>
      </c>
      <c r="AJ55">
        <v>7</v>
      </c>
      <c r="AK55">
        <v>5</v>
      </c>
      <c r="AL55">
        <v>3</v>
      </c>
      <c r="AM55">
        <v>2</v>
      </c>
      <c r="AN55">
        <v>84</v>
      </c>
      <c r="AO55">
        <v>3</v>
      </c>
      <c r="AP55">
        <v>7</v>
      </c>
      <c r="AQ55">
        <v>5</v>
      </c>
      <c r="AR55">
        <v>3</v>
      </c>
      <c r="AS55">
        <v>5</v>
      </c>
      <c r="AT55">
        <v>5</v>
      </c>
      <c r="AU55">
        <v>6</v>
      </c>
      <c r="AV55">
        <v>6</v>
      </c>
      <c r="AW55">
        <v>4</v>
      </c>
      <c r="AX55">
        <v>3</v>
      </c>
      <c r="AY55" cm="1">
        <f t="array" ref="AY55">_xlfn.IFS(AZ55="Positive",1, AZ55="Negative",1, AZ55="Neutral",0)</f>
        <v>1</v>
      </c>
      <c r="AZ55" t="str" cm="1">
        <f t="array" ref="AZ55">_xlfn.IFS(AX55=1,"Positive",AX55=2,"Neutral",AX55=3,"Negative")</f>
        <v>Negative</v>
      </c>
      <c r="BA55">
        <v>8</v>
      </c>
      <c r="BB55">
        <v>0</v>
      </c>
      <c r="BC55" s="3">
        <v>2</v>
      </c>
      <c r="BD55" s="3">
        <v>1</v>
      </c>
      <c r="BE55" s="3">
        <v>2</v>
      </c>
      <c r="BF55" s="3">
        <v>2</v>
      </c>
      <c r="BG55" s="3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 t="s">
        <v>323</v>
      </c>
      <c r="BT55" t="s">
        <v>323</v>
      </c>
      <c r="BU55" t="s">
        <v>479</v>
      </c>
      <c r="BV55" t="s">
        <v>327</v>
      </c>
    </row>
    <row r="56" spans="1:74" s="1" customFormat="1" hidden="1" x14ac:dyDescent="0.2">
      <c r="A56">
        <v>58</v>
      </c>
      <c r="B56">
        <v>58</v>
      </c>
      <c r="C56" t="s">
        <v>135</v>
      </c>
      <c r="D56"/>
      <c r="E56" t="s">
        <v>97</v>
      </c>
      <c r="F56">
        <v>27</v>
      </c>
      <c r="G56">
        <v>2001</v>
      </c>
      <c r="H56">
        <v>21</v>
      </c>
      <c r="I56" t="s">
        <v>64</v>
      </c>
      <c r="J56">
        <v>1</v>
      </c>
      <c r="K56" t="s">
        <v>679</v>
      </c>
      <c r="L56" t="s">
        <v>668</v>
      </c>
      <c r="M56">
        <v>7</v>
      </c>
      <c r="N56">
        <v>56</v>
      </c>
      <c r="O56" t="s">
        <v>408</v>
      </c>
      <c r="P56" t="s">
        <v>277</v>
      </c>
      <c r="Q56" t="s">
        <v>763</v>
      </c>
      <c r="R56" t="s">
        <v>742</v>
      </c>
      <c r="S56" t="s">
        <v>430</v>
      </c>
      <c r="T56" t="s">
        <v>423</v>
      </c>
      <c r="U56" t="s">
        <v>412</v>
      </c>
      <c r="V56" t="s">
        <v>535</v>
      </c>
      <c r="W56" t="s">
        <v>65</v>
      </c>
      <c r="X56" t="s">
        <v>66</v>
      </c>
      <c r="Y56" t="s">
        <v>66</v>
      </c>
      <c r="Z56">
        <v>7</v>
      </c>
      <c r="AA56">
        <v>3</v>
      </c>
      <c r="AB56">
        <v>6</v>
      </c>
      <c r="AC56">
        <v>5</v>
      </c>
      <c r="AD56">
        <v>1</v>
      </c>
      <c r="AE56">
        <v>2</v>
      </c>
      <c r="AF56">
        <v>3</v>
      </c>
      <c r="AG56">
        <v>6</v>
      </c>
      <c r="AH56">
        <v>6</v>
      </c>
      <c r="AI56">
        <v>7</v>
      </c>
      <c r="AJ56">
        <v>1</v>
      </c>
      <c r="AK56">
        <v>6</v>
      </c>
      <c r="AL56">
        <v>5</v>
      </c>
      <c r="AM56">
        <v>6</v>
      </c>
      <c r="AN56">
        <v>7</v>
      </c>
      <c r="AO56">
        <v>3</v>
      </c>
      <c r="AP56">
        <v>1</v>
      </c>
      <c r="AQ56">
        <v>6</v>
      </c>
      <c r="AR56">
        <v>5</v>
      </c>
      <c r="AS56">
        <v>7</v>
      </c>
      <c r="AT56">
        <v>6</v>
      </c>
      <c r="AU56">
        <v>6</v>
      </c>
      <c r="AV56">
        <v>7</v>
      </c>
      <c r="AW56">
        <v>6</v>
      </c>
      <c r="AX56">
        <v>1</v>
      </c>
      <c r="AY56" cm="1">
        <f t="array" ref="AY56">_xlfn.IFS(AZ56="Positive",1, AZ56="Negative",1, AZ56="Neutral",0)</f>
        <v>1</v>
      </c>
      <c r="AZ56" t="str" cm="1">
        <f t="array" ref="AZ56">_xlfn.IFS(AX56=1,"Positive",AX56=2,"Neutral",AX56=3,"Negative")</f>
        <v>Positive</v>
      </c>
      <c r="BA56">
        <v>11</v>
      </c>
      <c r="BB56">
        <v>1</v>
      </c>
      <c r="BC56" s="3">
        <v>7</v>
      </c>
      <c r="BD56" s="3">
        <v>0</v>
      </c>
      <c r="BE56" s="3">
        <v>1</v>
      </c>
      <c r="BF56" s="3">
        <v>2</v>
      </c>
      <c r="BG56" s="3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 t="s">
        <v>475</v>
      </c>
      <c r="BT56" t="s">
        <v>323</v>
      </c>
      <c r="BU56" t="s">
        <v>534</v>
      </c>
      <c r="BV56" t="s">
        <v>327</v>
      </c>
    </row>
    <row r="57" spans="1:74" s="1" customFormat="1" hidden="1" x14ac:dyDescent="0.2">
      <c r="A57">
        <v>59</v>
      </c>
      <c r="B57">
        <v>59</v>
      </c>
      <c r="C57" t="s">
        <v>136</v>
      </c>
      <c r="D57"/>
      <c r="E57" t="s">
        <v>76</v>
      </c>
      <c r="F57">
        <v>1</v>
      </c>
      <c r="G57">
        <v>2000</v>
      </c>
      <c r="H57">
        <v>22</v>
      </c>
      <c r="I57" t="s">
        <v>64</v>
      </c>
      <c r="J57">
        <v>1</v>
      </c>
      <c r="K57" t="s">
        <v>639</v>
      </c>
      <c r="L57" t="s">
        <v>666</v>
      </c>
      <c r="M57">
        <v>7</v>
      </c>
      <c r="N57">
        <v>50</v>
      </c>
      <c r="O57" t="s">
        <v>315</v>
      </c>
      <c r="P57" t="s">
        <v>460</v>
      </c>
      <c r="Q57" t="s">
        <v>708</v>
      </c>
      <c r="R57" t="s">
        <v>740</v>
      </c>
      <c r="S57" t="s">
        <v>430</v>
      </c>
      <c r="T57" t="s">
        <v>538</v>
      </c>
      <c r="U57" t="s">
        <v>474</v>
      </c>
      <c r="V57" t="s">
        <v>462</v>
      </c>
      <c r="W57" t="s">
        <v>65</v>
      </c>
      <c r="X57" t="s">
        <v>66</v>
      </c>
      <c r="Y57" t="s">
        <v>66</v>
      </c>
      <c r="Z57">
        <v>7</v>
      </c>
      <c r="AA57">
        <v>5</v>
      </c>
      <c r="AB57">
        <v>5</v>
      </c>
      <c r="AC57">
        <v>1</v>
      </c>
      <c r="AD57">
        <v>1</v>
      </c>
      <c r="AE57">
        <v>5</v>
      </c>
      <c r="AF57">
        <v>2</v>
      </c>
      <c r="AG57">
        <v>2</v>
      </c>
      <c r="AH57">
        <v>5</v>
      </c>
      <c r="AI57">
        <v>1</v>
      </c>
      <c r="AJ57">
        <v>5</v>
      </c>
      <c r="AK57">
        <v>5</v>
      </c>
      <c r="AL57">
        <v>3</v>
      </c>
      <c r="AM57">
        <v>1</v>
      </c>
      <c r="AN57">
        <v>24</v>
      </c>
      <c r="AO57">
        <v>2</v>
      </c>
      <c r="AP57">
        <v>7</v>
      </c>
      <c r="AQ57">
        <v>6</v>
      </c>
      <c r="AR57">
        <v>5</v>
      </c>
      <c r="AS57">
        <v>2</v>
      </c>
      <c r="AT57">
        <v>4</v>
      </c>
      <c r="AU57">
        <v>5</v>
      </c>
      <c r="AV57">
        <v>4</v>
      </c>
      <c r="AW57">
        <v>5</v>
      </c>
      <c r="AX57">
        <v>3</v>
      </c>
      <c r="AY57" cm="1">
        <f t="array" ref="AY57">_xlfn.IFS(AZ57="Positive",1, AZ57="Negative",1, AZ57="Neutral",0)</f>
        <v>1</v>
      </c>
      <c r="AZ57" t="str" cm="1">
        <f t="array" ref="AZ57">_xlfn.IFS(AX57=1,"Positive",AX57=2,"Neutral",AX57=3,"Negative")</f>
        <v>Negative</v>
      </c>
      <c r="BA57">
        <v>4</v>
      </c>
      <c r="BB57">
        <v>0</v>
      </c>
      <c r="BC57" s="3">
        <v>0</v>
      </c>
      <c r="BD57" s="3">
        <v>0</v>
      </c>
      <c r="BE57" s="3">
        <v>1</v>
      </c>
      <c r="BF57" s="3">
        <v>1</v>
      </c>
      <c r="BG57" s="3">
        <v>2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 t="s">
        <v>536</v>
      </c>
      <c r="BT57" t="s">
        <v>475</v>
      </c>
      <c r="BU57" t="s">
        <v>537</v>
      </c>
      <c r="BV57" t="s">
        <v>476</v>
      </c>
    </row>
    <row r="58" spans="1:74" s="1" customFormat="1" hidden="1" x14ac:dyDescent="0.2">
      <c r="A58">
        <v>60</v>
      </c>
      <c r="B58">
        <v>60</v>
      </c>
      <c r="C58" t="s">
        <v>137</v>
      </c>
      <c r="D58"/>
      <c r="E58" t="s">
        <v>93</v>
      </c>
      <c r="F58">
        <v>28</v>
      </c>
      <c r="G58">
        <v>2000</v>
      </c>
      <c r="H58">
        <v>22</v>
      </c>
      <c r="I58" t="s">
        <v>64</v>
      </c>
      <c r="J58">
        <v>1</v>
      </c>
      <c r="K58" t="s">
        <v>517</v>
      </c>
      <c r="L58" t="s">
        <v>684</v>
      </c>
      <c r="M58">
        <v>12</v>
      </c>
      <c r="N58">
        <v>64</v>
      </c>
      <c r="O58" t="s">
        <v>513</v>
      </c>
      <c r="P58" t="s">
        <v>539</v>
      </c>
      <c r="Q58" t="s">
        <v>744</v>
      </c>
      <c r="R58" t="s">
        <v>764</v>
      </c>
      <c r="S58" t="s">
        <v>499</v>
      </c>
      <c r="T58" t="s">
        <v>540</v>
      </c>
      <c r="U58" t="s">
        <v>515</v>
      </c>
      <c r="V58" t="s">
        <v>541</v>
      </c>
      <c r="W58" t="s">
        <v>65</v>
      </c>
      <c r="X58" t="s">
        <v>66</v>
      </c>
      <c r="Y58" t="s">
        <v>66</v>
      </c>
      <c r="Z58">
        <v>7</v>
      </c>
      <c r="AA58">
        <v>3</v>
      </c>
      <c r="AB58">
        <v>6</v>
      </c>
      <c r="AC58">
        <v>6</v>
      </c>
      <c r="AD58">
        <v>1</v>
      </c>
      <c r="AE58">
        <v>1</v>
      </c>
      <c r="AF58">
        <v>1</v>
      </c>
      <c r="AG58">
        <v>1</v>
      </c>
      <c r="AH58">
        <v>3</v>
      </c>
      <c r="AI58">
        <v>3</v>
      </c>
      <c r="AJ58">
        <v>5</v>
      </c>
      <c r="AK58">
        <v>3</v>
      </c>
      <c r="AL58">
        <v>2</v>
      </c>
      <c r="AM58">
        <v>1</v>
      </c>
      <c r="AN58">
        <v>108</v>
      </c>
      <c r="AO58">
        <v>3</v>
      </c>
      <c r="AP58">
        <v>5</v>
      </c>
      <c r="AQ58">
        <v>2</v>
      </c>
      <c r="AR58">
        <v>4</v>
      </c>
      <c r="AS58">
        <v>6</v>
      </c>
      <c r="AT58">
        <v>6</v>
      </c>
      <c r="AU58">
        <v>5</v>
      </c>
      <c r="AV58">
        <v>3</v>
      </c>
      <c r="AW58">
        <v>5</v>
      </c>
      <c r="AX58">
        <v>2</v>
      </c>
      <c r="AY58" cm="1">
        <f t="array" ref="AY58">_xlfn.IFS(AZ58="Positive",1, AZ58="Negative",1, AZ58="Neutral",0)</f>
        <v>0</v>
      </c>
      <c r="AZ58" t="str" cm="1">
        <f t="array" ref="AZ58">_xlfn.IFS(AX58=1,"Positive",AX58=2,"Neutral",AX58=3,"Negative")</f>
        <v>Neutral</v>
      </c>
      <c r="BA58">
        <v>8</v>
      </c>
      <c r="BB58">
        <v>4</v>
      </c>
      <c r="BC58" s="3">
        <v>4</v>
      </c>
      <c r="BD58" s="3">
        <v>2</v>
      </c>
      <c r="BE58" s="3">
        <v>1</v>
      </c>
      <c r="BF58" s="3">
        <v>1</v>
      </c>
      <c r="BG58" s="3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3</v>
      </c>
      <c r="BN58">
        <v>0</v>
      </c>
      <c r="BO58">
        <v>0</v>
      </c>
      <c r="BP58">
        <v>0</v>
      </c>
      <c r="BQ58">
        <v>1</v>
      </c>
      <c r="BR58">
        <v>0</v>
      </c>
      <c r="BS58" t="s">
        <v>463</v>
      </c>
      <c r="BT58" t="s">
        <v>286</v>
      </c>
      <c r="BU58" t="s">
        <v>465</v>
      </c>
      <c r="BV58" t="s">
        <v>290</v>
      </c>
    </row>
    <row r="59" spans="1:74" s="1" customFormat="1" x14ac:dyDescent="0.2">
      <c r="A59">
        <v>61</v>
      </c>
      <c r="B59">
        <v>61</v>
      </c>
      <c r="C59" t="s">
        <v>138</v>
      </c>
      <c r="D59"/>
      <c r="E59" t="s">
        <v>88</v>
      </c>
      <c r="F59">
        <v>20</v>
      </c>
      <c r="G59">
        <v>1998</v>
      </c>
      <c r="H59">
        <v>24</v>
      </c>
      <c r="I59" t="s">
        <v>69</v>
      </c>
      <c r="J59">
        <v>2</v>
      </c>
      <c r="K59" t="s">
        <v>651</v>
      </c>
      <c r="L59" t="s">
        <v>653</v>
      </c>
      <c r="M59">
        <v>8</v>
      </c>
      <c r="N59">
        <v>54</v>
      </c>
      <c r="O59" t="s">
        <v>360</v>
      </c>
      <c r="P59" t="s">
        <v>542</v>
      </c>
      <c r="Q59" t="s">
        <v>721</v>
      </c>
      <c r="R59" t="s">
        <v>724</v>
      </c>
      <c r="S59" t="s">
        <v>291</v>
      </c>
      <c r="T59" t="s">
        <v>455</v>
      </c>
      <c r="U59" t="s">
        <v>365</v>
      </c>
      <c r="V59" t="s">
        <v>543</v>
      </c>
      <c r="W59" t="s">
        <v>65</v>
      </c>
      <c r="X59" t="s">
        <v>66</v>
      </c>
      <c r="Y59" t="s">
        <v>66</v>
      </c>
      <c r="Z59">
        <v>7</v>
      </c>
      <c r="AA59">
        <v>5</v>
      </c>
      <c r="AB59">
        <v>7</v>
      </c>
      <c r="AC59">
        <v>3</v>
      </c>
      <c r="AD59">
        <v>2</v>
      </c>
      <c r="AE59">
        <v>5</v>
      </c>
      <c r="AF59">
        <v>2</v>
      </c>
      <c r="AG59">
        <v>1</v>
      </c>
      <c r="AH59">
        <v>7</v>
      </c>
      <c r="AI59">
        <v>6</v>
      </c>
      <c r="AJ59">
        <v>2</v>
      </c>
      <c r="AK59">
        <v>5</v>
      </c>
      <c r="AL59">
        <v>4</v>
      </c>
      <c r="AM59">
        <v>1</v>
      </c>
      <c r="AN59">
        <v>125</v>
      </c>
      <c r="AO59">
        <v>6</v>
      </c>
      <c r="AP59">
        <v>2</v>
      </c>
      <c r="AQ59">
        <v>3</v>
      </c>
      <c r="AR59">
        <v>6</v>
      </c>
      <c r="AS59">
        <v>6</v>
      </c>
      <c r="AT59">
        <v>7</v>
      </c>
      <c r="AU59">
        <v>7</v>
      </c>
      <c r="AV59">
        <v>7</v>
      </c>
      <c r="AW59">
        <v>5</v>
      </c>
      <c r="AX59">
        <v>1</v>
      </c>
      <c r="AY59" cm="1">
        <f t="array" ref="AY59">_xlfn.IFS(AZ59="Positive",1, AZ59="Negative",1, AZ59="Neutral",0)</f>
        <v>1</v>
      </c>
      <c r="AZ59" t="str" cm="1">
        <f t="array" ref="AZ59">_xlfn.IFS(AX59=1,"Positive",AX59=2,"Neutral",AX59=3,"Negative")</f>
        <v>Positive</v>
      </c>
      <c r="BA59">
        <v>0</v>
      </c>
      <c r="BB59">
        <v>2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>
        <v>0</v>
      </c>
      <c r="BI59">
        <v>0</v>
      </c>
      <c r="BJ59">
        <v>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 t="s">
        <v>510</v>
      </c>
      <c r="BT59" t="s">
        <v>480</v>
      </c>
      <c r="BU59" t="s">
        <v>511</v>
      </c>
      <c r="BV59" t="s">
        <v>482</v>
      </c>
    </row>
    <row r="60" spans="1:74" s="1" customFormat="1" x14ac:dyDescent="0.2">
      <c r="A60">
        <v>62</v>
      </c>
      <c r="B60">
        <v>62</v>
      </c>
      <c r="C60" t="s">
        <v>139</v>
      </c>
      <c r="D60"/>
      <c r="E60" t="s">
        <v>80</v>
      </c>
      <c r="F60">
        <v>19</v>
      </c>
      <c r="G60">
        <v>1999</v>
      </c>
      <c r="H60">
        <v>23</v>
      </c>
      <c r="I60" t="s">
        <v>64</v>
      </c>
      <c r="J60">
        <v>1</v>
      </c>
      <c r="K60" t="s">
        <v>652</v>
      </c>
      <c r="L60" t="s">
        <v>677</v>
      </c>
      <c r="M60">
        <v>15</v>
      </c>
      <c r="N60">
        <v>56</v>
      </c>
      <c r="O60" t="s">
        <v>369</v>
      </c>
      <c r="P60" t="s">
        <v>456</v>
      </c>
      <c r="Q60" t="s">
        <v>753</v>
      </c>
      <c r="R60" t="s">
        <v>756</v>
      </c>
      <c r="S60" t="s">
        <v>363</v>
      </c>
      <c r="T60" t="s">
        <v>423</v>
      </c>
      <c r="U60" t="s">
        <v>544</v>
      </c>
      <c r="V60" t="s">
        <v>458</v>
      </c>
      <c r="W60" t="s">
        <v>65</v>
      </c>
      <c r="X60" t="s">
        <v>66</v>
      </c>
      <c r="Y60" t="s">
        <v>66</v>
      </c>
      <c r="Z60">
        <v>7</v>
      </c>
      <c r="AA60">
        <v>5</v>
      </c>
      <c r="AB60">
        <v>5</v>
      </c>
      <c r="AC60">
        <v>4</v>
      </c>
      <c r="AD60">
        <v>1</v>
      </c>
      <c r="AE60">
        <v>2</v>
      </c>
      <c r="AF60">
        <v>2</v>
      </c>
      <c r="AG60">
        <v>1</v>
      </c>
      <c r="AH60">
        <v>5</v>
      </c>
      <c r="AI60">
        <v>6</v>
      </c>
      <c r="AJ60">
        <v>3</v>
      </c>
      <c r="AK60">
        <v>5</v>
      </c>
      <c r="AL60">
        <v>4</v>
      </c>
      <c r="AM60">
        <v>5</v>
      </c>
      <c r="AN60">
        <v>215</v>
      </c>
      <c r="AO60">
        <v>1</v>
      </c>
      <c r="AP60">
        <v>1</v>
      </c>
      <c r="AQ60">
        <v>7</v>
      </c>
      <c r="AR60">
        <v>7</v>
      </c>
      <c r="AS60">
        <v>5</v>
      </c>
      <c r="AT60">
        <v>4</v>
      </c>
      <c r="AU60">
        <v>3</v>
      </c>
      <c r="AV60">
        <v>6</v>
      </c>
      <c r="AW60">
        <v>6</v>
      </c>
      <c r="AX60">
        <v>1</v>
      </c>
      <c r="AY60" cm="1">
        <f t="array" ref="AY60">_xlfn.IFS(AZ60="Positive",1, AZ60="Negative",1, AZ60="Neutral",0)</f>
        <v>1</v>
      </c>
      <c r="AZ60" t="str" cm="1">
        <f t="array" ref="AZ60">_xlfn.IFS(AX60=1,"Positive",AX60=2,"Neutral",AX60=3,"Negative")</f>
        <v>Positive</v>
      </c>
      <c r="BA60">
        <v>0</v>
      </c>
      <c r="BB60">
        <v>1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>
        <v>0</v>
      </c>
      <c r="BI60">
        <v>0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 t="s">
        <v>322</v>
      </c>
      <c r="BT60" t="s">
        <v>313</v>
      </c>
      <c r="BU60" t="s">
        <v>326</v>
      </c>
      <c r="BV60" t="s">
        <v>317</v>
      </c>
    </row>
    <row r="61" spans="1:74" s="1" customFormat="1" hidden="1" x14ac:dyDescent="0.2">
      <c r="A61">
        <v>63</v>
      </c>
      <c r="B61">
        <v>63</v>
      </c>
      <c r="C61" t="s">
        <v>140</v>
      </c>
      <c r="D61"/>
      <c r="E61" t="s">
        <v>97</v>
      </c>
      <c r="F61">
        <v>21</v>
      </c>
      <c r="G61">
        <v>1997</v>
      </c>
      <c r="H61">
        <v>25</v>
      </c>
      <c r="I61" t="s">
        <v>64</v>
      </c>
      <c r="J61">
        <v>1</v>
      </c>
      <c r="K61" t="s">
        <v>658</v>
      </c>
      <c r="L61" t="s">
        <v>634</v>
      </c>
      <c r="M61">
        <v>15</v>
      </c>
      <c r="N61">
        <v>60</v>
      </c>
      <c r="O61" t="s">
        <v>463</v>
      </c>
      <c r="P61" t="s">
        <v>545</v>
      </c>
      <c r="Q61" t="s">
        <v>729</v>
      </c>
      <c r="R61" t="s">
        <v>747</v>
      </c>
      <c r="S61" t="s">
        <v>363</v>
      </c>
      <c r="T61" t="s">
        <v>444</v>
      </c>
      <c r="U61" t="s">
        <v>546</v>
      </c>
      <c r="V61" t="s">
        <v>547</v>
      </c>
      <c r="W61" t="s">
        <v>65</v>
      </c>
      <c r="X61" t="s">
        <v>66</v>
      </c>
      <c r="Y61" t="s">
        <v>66</v>
      </c>
      <c r="Z61">
        <v>7</v>
      </c>
      <c r="AA61">
        <v>4</v>
      </c>
      <c r="AB61">
        <v>5</v>
      </c>
      <c r="AC61">
        <v>5</v>
      </c>
      <c r="AD61">
        <v>1</v>
      </c>
      <c r="AE61">
        <v>4</v>
      </c>
      <c r="AF61">
        <v>4</v>
      </c>
      <c r="AG61">
        <v>4</v>
      </c>
      <c r="AH61">
        <v>3</v>
      </c>
      <c r="AI61">
        <v>2</v>
      </c>
      <c r="AJ61">
        <v>5</v>
      </c>
      <c r="AK61">
        <v>4</v>
      </c>
      <c r="AL61">
        <v>5</v>
      </c>
      <c r="AM61">
        <v>6</v>
      </c>
      <c r="AN61">
        <v>84</v>
      </c>
      <c r="AO61">
        <v>6</v>
      </c>
      <c r="AP61">
        <v>6</v>
      </c>
      <c r="AQ61">
        <v>6</v>
      </c>
      <c r="AR61">
        <v>2</v>
      </c>
      <c r="AS61">
        <v>4</v>
      </c>
      <c r="AT61">
        <v>5</v>
      </c>
      <c r="AU61">
        <v>6</v>
      </c>
      <c r="AV61">
        <v>6</v>
      </c>
      <c r="AW61">
        <v>2</v>
      </c>
      <c r="AX61">
        <v>3</v>
      </c>
      <c r="AY61" cm="1">
        <f t="array" ref="AY61">_xlfn.IFS(AZ61="Positive",1, AZ61="Negative",1, AZ61="Neutral",0)</f>
        <v>1</v>
      </c>
      <c r="AZ61" t="str" cm="1">
        <f t="array" ref="AZ61">_xlfn.IFS(AX61=1,"Positive",AX61=2,"Neutral",AX61=3,"Negative")</f>
        <v>Negative</v>
      </c>
      <c r="BA61">
        <v>9</v>
      </c>
      <c r="BB61">
        <v>0</v>
      </c>
      <c r="BC61" s="3">
        <v>6</v>
      </c>
      <c r="BD61" s="3">
        <v>0</v>
      </c>
      <c r="BE61" s="3">
        <v>2</v>
      </c>
      <c r="BF61" s="3">
        <v>1</v>
      </c>
      <c r="BG61" s="3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 t="s">
        <v>322</v>
      </c>
      <c r="BT61" t="s">
        <v>399</v>
      </c>
      <c r="BU61" t="s">
        <v>326</v>
      </c>
      <c r="BV61" t="s">
        <v>447</v>
      </c>
    </row>
    <row r="62" spans="1:74" s="1" customFormat="1" hidden="1" x14ac:dyDescent="0.2">
      <c r="A62">
        <v>64</v>
      </c>
      <c r="B62">
        <v>64</v>
      </c>
      <c r="C62" t="s">
        <v>141</v>
      </c>
      <c r="D62"/>
      <c r="E62" t="s">
        <v>82</v>
      </c>
      <c r="F62">
        <v>5</v>
      </c>
      <c r="G62">
        <v>2000</v>
      </c>
      <c r="H62">
        <v>22</v>
      </c>
      <c r="I62" t="s">
        <v>64</v>
      </c>
      <c r="J62">
        <v>1</v>
      </c>
      <c r="K62" t="s">
        <v>678</v>
      </c>
      <c r="L62" t="s">
        <v>648</v>
      </c>
      <c r="M62">
        <v>14</v>
      </c>
      <c r="N62">
        <v>74</v>
      </c>
      <c r="O62" t="s">
        <v>542</v>
      </c>
      <c r="P62" t="s">
        <v>542</v>
      </c>
      <c r="Q62" t="s">
        <v>757</v>
      </c>
      <c r="R62" t="s">
        <v>718</v>
      </c>
      <c r="S62" t="s">
        <v>550</v>
      </c>
      <c r="T62" t="s">
        <v>551</v>
      </c>
      <c r="U62" t="s">
        <v>552</v>
      </c>
      <c r="V62" t="s">
        <v>543</v>
      </c>
      <c r="W62" t="s">
        <v>65</v>
      </c>
      <c r="X62" t="s">
        <v>66</v>
      </c>
      <c r="Y62" t="s">
        <v>66</v>
      </c>
      <c r="Z62">
        <v>7</v>
      </c>
      <c r="AA62">
        <v>6</v>
      </c>
      <c r="AB62">
        <v>7</v>
      </c>
      <c r="AC62">
        <v>6</v>
      </c>
      <c r="AD62">
        <v>2</v>
      </c>
      <c r="AE62">
        <v>4</v>
      </c>
      <c r="AF62">
        <v>3</v>
      </c>
      <c r="AG62">
        <v>1</v>
      </c>
      <c r="AH62">
        <v>7</v>
      </c>
      <c r="AI62">
        <v>7</v>
      </c>
      <c r="AJ62">
        <v>1</v>
      </c>
      <c r="AK62">
        <v>5</v>
      </c>
      <c r="AL62">
        <v>3</v>
      </c>
      <c r="AM62">
        <v>4</v>
      </c>
      <c r="AN62">
        <v>36</v>
      </c>
      <c r="AO62">
        <v>2</v>
      </c>
      <c r="AP62">
        <v>3</v>
      </c>
      <c r="AQ62">
        <v>3</v>
      </c>
      <c r="AR62">
        <v>7</v>
      </c>
      <c r="AS62">
        <v>6</v>
      </c>
      <c r="AT62">
        <v>6</v>
      </c>
      <c r="AU62">
        <v>6</v>
      </c>
      <c r="AV62">
        <v>5</v>
      </c>
      <c r="AW62">
        <v>7</v>
      </c>
      <c r="AX62">
        <v>2</v>
      </c>
      <c r="AY62" cm="1">
        <f t="array" ref="AY62">_xlfn.IFS(AZ62="Positive",1, AZ62="Negative",1, AZ62="Neutral",0)</f>
        <v>0</v>
      </c>
      <c r="AZ62" t="str" cm="1">
        <f t="array" ref="AZ62">_xlfn.IFS(AX62=1,"Positive",AX62=2,"Neutral",AX62=3,"Negative")</f>
        <v>Neutral</v>
      </c>
      <c r="BA62">
        <v>1</v>
      </c>
      <c r="BB62">
        <v>1</v>
      </c>
      <c r="BC62" s="3">
        <v>0</v>
      </c>
      <c r="BD62" s="3">
        <v>1</v>
      </c>
      <c r="BE62" s="3">
        <v>0</v>
      </c>
      <c r="BF62" s="3">
        <v>0</v>
      </c>
      <c r="BG62" s="3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 t="s">
        <v>425</v>
      </c>
      <c r="BT62" t="s">
        <v>548</v>
      </c>
      <c r="BU62" t="s">
        <v>428</v>
      </c>
      <c r="BV62" t="s">
        <v>549</v>
      </c>
    </row>
    <row r="63" spans="1:74" s="1" customFormat="1" hidden="1" x14ac:dyDescent="0.2">
      <c r="A63">
        <v>65</v>
      </c>
      <c r="B63">
        <v>65</v>
      </c>
      <c r="C63" t="s">
        <v>142</v>
      </c>
      <c r="D63"/>
      <c r="E63" t="s">
        <v>93</v>
      </c>
      <c r="F63">
        <v>3</v>
      </c>
      <c r="G63">
        <v>1998</v>
      </c>
      <c r="H63">
        <v>24</v>
      </c>
      <c r="I63" t="s">
        <v>64</v>
      </c>
      <c r="J63">
        <v>1</v>
      </c>
      <c r="K63" t="s">
        <v>657</v>
      </c>
      <c r="L63" t="s">
        <v>660</v>
      </c>
      <c r="M63">
        <v>9</v>
      </c>
      <c r="N63">
        <v>79</v>
      </c>
      <c r="O63">
        <v>6</v>
      </c>
      <c r="P63" t="s">
        <v>554</v>
      </c>
      <c r="Q63" t="s">
        <v>727</v>
      </c>
      <c r="R63" t="s">
        <v>733</v>
      </c>
      <c r="S63" t="s">
        <v>349</v>
      </c>
      <c r="T63" t="s">
        <v>557</v>
      </c>
      <c r="U63" t="s">
        <v>436</v>
      </c>
      <c r="V63" t="s">
        <v>558</v>
      </c>
      <c r="W63" t="s">
        <v>65</v>
      </c>
      <c r="X63" t="s">
        <v>66</v>
      </c>
      <c r="Y63" t="s">
        <v>66</v>
      </c>
      <c r="Z63">
        <v>7</v>
      </c>
      <c r="AA63">
        <v>1</v>
      </c>
      <c r="AB63">
        <v>6</v>
      </c>
      <c r="AC63">
        <v>1</v>
      </c>
      <c r="AD63">
        <v>1</v>
      </c>
      <c r="AE63">
        <v>1</v>
      </c>
      <c r="AF63">
        <v>5</v>
      </c>
      <c r="AG63">
        <v>3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216</v>
      </c>
      <c r="AO63">
        <v>7</v>
      </c>
      <c r="AP63">
        <v>4</v>
      </c>
      <c r="AQ63">
        <v>1</v>
      </c>
      <c r="AR63">
        <v>7</v>
      </c>
      <c r="AS63">
        <v>1</v>
      </c>
      <c r="AT63">
        <v>7</v>
      </c>
      <c r="AU63">
        <v>1</v>
      </c>
      <c r="AV63">
        <v>7</v>
      </c>
      <c r="AW63">
        <v>1</v>
      </c>
      <c r="AX63">
        <v>2</v>
      </c>
      <c r="AY63" cm="1">
        <f t="array" ref="AY63">_xlfn.IFS(AZ63="Positive",1, AZ63="Negative",1, AZ63="Neutral",0)</f>
        <v>0</v>
      </c>
      <c r="AZ63" t="str" cm="1">
        <f t="array" ref="AZ63">_xlfn.IFS(AX63=1,"Positive",AX63=2,"Neutral",AX63=3,"Negative")</f>
        <v>Neutral</v>
      </c>
      <c r="BA63">
        <v>18</v>
      </c>
      <c r="BB63">
        <v>1</v>
      </c>
      <c r="BC63" s="3">
        <v>11</v>
      </c>
      <c r="BD63" s="3">
        <v>1</v>
      </c>
      <c r="BE63" s="3">
        <v>1</v>
      </c>
      <c r="BF63" s="3">
        <v>5</v>
      </c>
      <c r="BG63" s="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 t="s">
        <v>553</v>
      </c>
      <c r="BT63" t="s">
        <v>536</v>
      </c>
      <c r="BU63" t="s">
        <v>555</v>
      </c>
      <c r="BV63" t="s">
        <v>556</v>
      </c>
    </row>
    <row r="64" spans="1:74" s="1" customFormat="1" x14ac:dyDescent="0.2">
      <c r="A64">
        <v>66</v>
      </c>
      <c r="B64">
        <v>66</v>
      </c>
      <c r="C64" t="s">
        <v>143</v>
      </c>
      <c r="D64"/>
      <c r="E64" t="s">
        <v>80</v>
      </c>
      <c r="F64">
        <v>13</v>
      </c>
      <c r="G64">
        <v>2002</v>
      </c>
      <c r="H64">
        <v>20</v>
      </c>
      <c r="I64" t="s">
        <v>69</v>
      </c>
      <c r="J64">
        <v>2</v>
      </c>
      <c r="K64" t="s">
        <v>644</v>
      </c>
      <c r="L64" t="s">
        <v>685</v>
      </c>
      <c r="M64">
        <v>14</v>
      </c>
      <c r="N64">
        <v>71</v>
      </c>
      <c r="O64" t="s">
        <v>389</v>
      </c>
      <c r="P64" t="s">
        <v>460</v>
      </c>
      <c r="Q64" t="s">
        <v>714</v>
      </c>
      <c r="R64" t="s">
        <v>765</v>
      </c>
      <c r="S64" t="s">
        <v>550</v>
      </c>
      <c r="T64" t="s">
        <v>329</v>
      </c>
      <c r="U64" t="s">
        <v>391</v>
      </c>
      <c r="V64" t="s">
        <v>462</v>
      </c>
      <c r="W64" t="s">
        <v>65</v>
      </c>
      <c r="X64" t="s">
        <v>66</v>
      </c>
      <c r="Y64" t="s">
        <v>66</v>
      </c>
      <c r="Z64">
        <v>7</v>
      </c>
      <c r="AA64">
        <v>1</v>
      </c>
      <c r="AB64">
        <v>4</v>
      </c>
      <c r="AC64">
        <v>4</v>
      </c>
      <c r="AD64">
        <v>1</v>
      </c>
      <c r="AE64">
        <v>1</v>
      </c>
      <c r="AF64">
        <v>3</v>
      </c>
      <c r="AG64">
        <v>4</v>
      </c>
      <c r="AH64">
        <v>4</v>
      </c>
      <c r="AI64">
        <v>3</v>
      </c>
      <c r="AJ64">
        <v>4</v>
      </c>
      <c r="AK64">
        <v>3</v>
      </c>
      <c r="AL64">
        <v>1</v>
      </c>
      <c r="AM64">
        <v>1</v>
      </c>
      <c r="AN64">
        <v>240</v>
      </c>
      <c r="AO64">
        <v>3</v>
      </c>
      <c r="AP64">
        <v>2</v>
      </c>
      <c r="AQ64">
        <v>2</v>
      </c>
      <c r="AR64">
        <v>4</v>
      </c>
      <c r="AS64">
        <v>4</v>
      </c>
      <c r="AT64">
        <v>6</v>
      </c>
      <c r="AU64">
        <v>2</v>
      </c>
      <c r="AV64">
        <v>5</v>
      </c>
      <c r="AW64">
        <v>4</v>
      </c>
      <c r="AX64">
        <v>1</v>
      </c>
      <c r="AY64" cm="1">
        <f t="array" ref="AY64">_xlfn.IFS(AZ64="Positive",1, AZ64="Negative",1, AZ64="Neutral",0)</f>
        <v>1</v>
      </c>
      <c r="AZ64" t="str" cm="1">
        <f t="array" ref="AZ64">_xlfn.IFS(AX64=1,"Positive",AX64=2,"Neutral",AX64=3,"Negative")</f>
        <v>Positive</v>
      </c>
      <c r="BA64">
        <v>0</v>
      </c>
      <c r="BB64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 t="s">
        <v>463</v>
      </c>
      <c r="BT64" t="s">
        <v>352</v>
      </c>
      <c r="BU64" t="s">
        <v>465</v>
      </c>
      <c r="BV64" t="s">
        <v>526</v>
      </c>
    </row>
    <row r="65" spans="1:74" s="1" customFormat="1" hidden="1" x14ac:dyDescent="0.2">
      <c r="A65">
        <v>67</v>
      </c>
      <c r="B65">
        <v>67</v>
      </c>
      <c r="C65" t="s">
        <v>144</v>
      </c>
      <c r="D65"/>
      <c r="E65" t="s">
        <v>82</v>
      </c>
      <c r="F65">
        <v>19</v>
      </c>
      <c r="G65">
        <v>2001</v>
      </c>
      <c r="H65">
        <v>21</v>
      </c>
      <c r="I65" t="s">
        <v>64</v>
      </c>
      <c r="J65">
        <v>1</v>
      </c>
      <c r="K65" t="s">
        <v>661</v>
      </c>
      <c r="L65" t="s">
        <v>647</v>
      </c>
      <c r="M65">
        <v>5</v>
      </c>
      <c r="N65">
        <v>58</v>
      </c>
      <c r="O65" t="s">
        <v>287</v>
      </c>
      <c r="P65" t="s">
        <v>315</v>
      </c>
      <c r="Q65" t="s">
        <v>734</v>
      </c>
      <c r="R65" t="s">
        <v>717</v>
      </c>
      <c r="S65" t="s">
        <v>318</v>
      </c>
      <c r="T65" t="s">
        <v>364</v>
      </c>
      <c r="U65" t="s">
        <v>293</v>
      </c>
      <c r="V65" t="s">
        <v>321</v>
      </c>
      <c r="W65" t="s">
        <v>65</v>
      </c>
      <c r="X65" t="s">
        <v>66</v>
      </c>
      <c r="Y65" t="s">
        <v>66</v>
      </c>
      <c r="Z65">
        <v>7</v>
      </c>
      <c r="AA65">
        <v>3</v>
      </c>
      <c r="AB65">
        <v>5</v>
      </c>
      <c r="AC65">
        <v>5</v>
      </c>
      <c r="AD65">
        <v>1</v>
      </c>
      <c r="AE65">
        <v>2</v>
      </c>
      <c r="AF65">
        <v>1</v>
      </c>
      <c r="AG65">
        <v>1</v>
      </c>
      <c r="AH65">
        <v>1</v>
      </c>
      <c r="AI65">
        <v>2</v>
      </c>
      <c r="AJ65">
        <v>4</v>
      </c>
      <c r="AK65">
        <v>2</v>
      </c>
      <c r="AL65">
        <v>1</v>
      </c>
      <c r="AM65">
        <v>7</v>
      </c>
      <c r="AN65">
        <v>168</v>
      </c>
      <c r="AO65">
        <v>2</v>
      </c>
      <c r="AP65">
        <v>5</v>
      </c>
      <c r="AQ65">
        <v>4</v>
      </c>
      <c r="AR65">
        <v>2</v>
      </c>
      <c r="AS65">
        <v>5</v>
      </c>
      <c r="AT65">
        <v>3</v>
      </c>
      <c r="AU65">
        <v>5</v>
      </c>
      <c r="AV65">
        <v>5</v>
      </c>
      <c r="AW65">
        <v>6</v>
      </c>
      <c r="AX65">
        <v>2</v>
      </c>
      <c r="AY65" cm="1">
        <f t="array" ref="AY65">_xlfn.IFS(AZ65="Positive",1, AZ65="Negative",1, AZ65="Neutral",0)</f>
        <v>0</v>
      </c>
      <c r="AZ65" t="str" cm="1">
        <f t="array" ref="AZ65">_xlfn.IFS(AX65=1,"Positive",AX65=2,"Neutral",AX65=3,"Negative")</f>
        <v>Neutral</v>
      </c>
      <c r="BA65">
        <v>6</v>
      </c>
      <c r="BB65">
        <v>2</v>
      </c>
      <c r="BC65" s="3">
        <v>3</v>
      </c>
      <c r="BD65" s="3">
        <v>1</v>
      </c>
      <c r="BE65" s="3">
        <v>1</v>
      </c>
      <c r="BF65" s="3">
        <v>1</v>
      </c>
      <c r="BG65" s="3">
        <v>0</v>
      </c>
      <c r="BH65">
        <v>0</v>
      </c>
      <c r="BI65">
        <v>0</v>
      </c>
      <c r="BJ65">
        <v>1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4</v>
      </c>
      <c r="BT65" t="s">
        <v>275</v>
      </c>
      <c r="BU65" t="s">
        <v>370</v>
      </c>
      <c r="BV65" t="s">
        <v>334</v>
      </c>
    </row>
    <row r="66" spans="1:74" s="1" customFormat="1" hidden="1" x14ac:dyDescent="0.2">
      <c r="A66">
        <v>68</v>
      </c>
      <c r="B66">
        <v>68</v>
      </c>
      <c r="C66" t="s">
        <v>145</v>
      </c>
      <c r="D66"/>
      <c r="E66" t="s">
        <v>68</v>
      </c>
      <c r="F66">
        <v>26</v>
      </c>
      <c r="G66">
        <v>1998</v>
      </c>
      <c r="H66">
        <v>24</v>
      </c>
      <c r="I66" t="s">
        <v>64</v>
      </c>
      <c r="J66">
        <v>1</v>
      </c>
      <c r="K66" t="s">
        <v>676</v>
      </c>
      <c r="L66" t="s">
        <v>686</v>
      </c>
      <c r="M66">
        <v>7</v>
      </c>
      <c r="N66">
        <v>67</v>
      </c>
      <c r="O66" t="s">
        <v>438</v>
      </c>
      <c r="P66" t="s">
        <v>353</v>
      </c>
      <c r="Q66" t="s">
        <v>755</v>
      </c>
      <c r="R66" t="s">
        <v>766</v>
      </c>
      <c r="S66" t="s">
        <v>430</v>
      </c>
      <c r="T66" t="s">
        <v>431</v>
      </c>
      <c r="U66" t="s">
        <v>561</v>
      </c>
      <c r="V66" t="s">
        <v>437</v>
      </c>
      <c r="W66" t="s">
        <v>65</v>
      </c>
      <c r="X66" t="s">
        <v>66</v>
      </c>
      <c r="Y66" t="s">
        <v>66</v>
      </c>
      <c r="Z66">
        <v>7</v>
      </c>
      <c r="AA66">
        <v>4</v>
      </c>
      <c r="AB66">
        <v>7</v>
      </c>
      <c r="AC66">
        <v>6</v>
      </c>
      <c r="AD66">
        <v>1</v>
      </c>
      <c r="AE66">
        <v>3</v>
      </c>
      <c r="AF66">
        <v>3</v>
      </c>
      <c r="AG66">
        <v>1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5</v>
      </c>
      <c r="AN66">
        <v>0</v>
      </c>
      <c r="AO66">
        <v>4</v>
      </c>
      <c r="AP66">
        <v>6</v>
      </c>
      <c r="AQ66">
        <v>5</v>
      </c>
      <c r="AR66">
        <v>7</v>
      </c>
      <c r="AS66">
        <v>4</v>
      </c>
      <c r="AT66">
        <v>7</v>
      </c>
      <c r="AU66">
        <v>6</v>
      </c>
      <c r="AV66">
        <v>7</v>
      </c>
      <c r="AW66">
        <v>7</v>
      </c>
      <c r="AX66">
        <v>3</v>
      </c>
      <c r="AY66" cm="1">
        <f t="array" ref="AY66">_xlfn.IFS(AZ66="Positive",1, AZ66="Negative",1, AZ66="Neutral",0)</f>
        <v>1</v>
      </c>
      <c r="AZ66" t="str" cm="1">
        <f t="array" ref="AZ66">_xlfn.IFS(AX66=1,"Positive",AX66=2,"Neutral",AX66=3,"Negative")</f>
        <v>Negative</v>
      </c>
      <c r="BA66">
        <v>6</v>
      </c>
      <c r="BB66">
        <v>0</v>
      </c>
      <c r="BC66" s="3">
        <v>5</v>
      </c>
      <c r="BD66" s="3">
        <v>0</v>
      </c>
      <c r="BE66" s="3">
        <v>1</v>
      </c>
      <c r="BF66" s="3">
        <v>0</v>
      </c>
      <c r="BG66" s="3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 t="s">
        <v>305</v>
      </c>
      <c r="BT66" t="s">
        <v>559</v>
      </c>
      <c r="BU66" t="s">
        <v>308</v>
      </c>
      <c r="BV66" t="s">
        <v>560</v>
      </c>
    </row>
    <row r="67" spans="1:74" s="1" customFormat="1" x14ac:dyDescent="0.2">
      <c r="A67">
        <v>69</v>
      </c>
      <c r="B67">
        <v>69</v>
      </c>
      <c r="C67" t="s">
        <v>146</v>
      </c>
      <c r="D67"/>
      <c r="E67" t="s">
        <v>97</v>
      </c>
      <c r="F67">
        <v>16</v>
      </c>
      <c r="G67">
        <v>2000</v>
      </c>
      <c r="H67">
        <v>22</v>
      </c>
      <c r="I67" t="s">
        <v>69</v>
      </c>
      <c r="J67">
        <v>2</v>
      </c>
      <c r="K67" t="s">
        <v>687</v>
      </c>
      <c r="L67" t="s">
        <v>688</v>
      </c>
      <c r="M67">
        <v>13</v>
      </c>
      <c r="N67">
        <v>66</v>
      </c>
      <c r="O67">
        <v>5</v>
      </c>
      <c r="P67" t="s">
        <v>562</v>
      </c>
      <c r="Q67" t="s">
        <v>767</v>
      </c>
      <c r="R67" t="s">
        <v>768</v>
      </c>
      <c r="S67" t="s">
        <v>328</v>
      </c>
      <c r="T67" t="s">
        <v>282</v>
      </c>
      <c r="U67" t="s">
        <v>563</v>
      </c>
      <c r="V67" t="s">
        <v>564</v>
      </c>
      <c r="W67" t="s">
        <v>65</v>
      </c>
      <c r="X67" t="s">
        <v>66</v>
      </c>
      <c r="Y67" t="s">
        <v>66</v>
      </c>
      <c r="Z67">
        <v>7</v>
      </c>
      <c r="AA67">
        <v>6</v>
      </c>
      <c r="AB67">
        <v>6</v>
      </c>
      <c r="AC67">
        <v>3</v>
      </c>
      <c r="AD67">
        <v>1</v>
      </c>
      <c r="AE67">
        <v>3</v>
      </c>
      <c r="AF67">
        <v>1</v>
      </c>
      <c r="AG67">
        <v>2</v>
      </c>
      <c r="AH67">
        <v>5</v>
      </c>
      <c r="AI67">
        <v>7</v>
      </c>
      <c r="AJ67">
        <v>1</v>
      </c>
      <c r="AK67">
        <v>5</v>
      </c>
      <c r="AL67">
        <v>4</v>
      </c>
      <c r="AM67">
        <v>1</v>
      </c>
      <c r="AN67">
        <v>195</v>
      </c>
      <c r="AO67">
        <v>2</v>
      </c>
      <c r="AP67">
        <v>1</v>
      </c>
      <c r="AQ67">
        <v>2</v>
      </c>
      <c r="AR67">
        <v>5</v>
      </c>
      <c r="AS67">
        <v>5</v>
      </c>
      <c r="AT67">
        <v>2</v>
      </c>
      <c r="AU67">
        <v>6</v>
      </c>
      <c r="AV67">
        <v>6</v>
      </c>
      <c r="AW67">
        <v>6</v>
      </c>
      <c r="AX67">
        <v>1</v>
      </c>
      <c r="AY67" cm="1">
        <f t="array" ref="AY67">_xlfn.IFS(AZ67="Positive",1, AZ67="Negative",1, AZ67="Neutral",0)</f>
        <v>1</v>
      </c>
      <c r="AZ67" t="str" cm="1">
        <f t="array" ref="AZ67">_xlfn.IFS(AX67=1,"Positive",AX67=2,"Neutral",AX67=3,"Negative")</f>
        <v>Positive</v>
      </c>
      <c r="BA67">
        <v>0</v>
      </c>
      <c r="BB67">
        <v>3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>
        <v>0</v>
      </c>
      <c r="BI67">
        <v>0</v>
      </c>
      <c r="BJ67">
        <v>3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 t="s">
        <v>313</v>
      </c>
      <c r="BT67" t="s">
        <v>295</v>
      </c>
      <c r="BU67" t="s">
        <v>316</v>
      </c>
      <c r="BV67" t="s">
        <v>473</v>
      </c>
    </row>
    <row r="68" spans="1:74" s="1" customFormat="1" hidden="1" x14ac:dyDescent="0.2">
      <c r="A68">
        <v>70</v>
      </c>
      <c r="B68">
        <v>70</v>
      </c>
      <c r="C68" t="s">
        <v>147</v>
      </c>
      <c r="D68"/>
      <c r="E68" t="s">
        <v>85</v>
      </c>
      <c r="F68">
        <v>28</v>
      </c>
      <c r="G68">
        <v>1997</v>
      </c>
      <c r="H68">
        <v>25</v>
      </c>
      <c r="I68" t="s">
        <v>64</v>
      </c>
      <c r="J68">
        <v>1</v>
      </c>
      <c r="K68" t="s">
        <v>661</v>
      </c>
      <c r="L68" t="s">
        <v>632</v>
      </c>
      <c r="M68">
        <v>5</v>
      </c>
      <c r="N68">
        <v>64</v>
      </c>
      <c r="O68" t="s">
        <v>442</v>
      </c>
      <c r="P68" t="s">
        <v>539</v>
      </c>
      <c r="Q68" t="s">
        <v>734</v>
      </c>
      <c r="R68" t="s">
        <v>732</v>
      </c>
      <c r="S68" t="s">
        <v>318</v>
      </c>
      <c r="T68" t="s">
        <v>540</v>
      </c>
      <c r="U68" t="s">
        <v>445</v>
      </c>
      <c r="V68" t="s">
        <v>541</v>
      </c>
      <c r="W68" t="s">
        <v>65</v>
      </c>
      <c r="X68" t="s">
        <v>66</v>
      </c>
      <c r="Y68" t="s">
        <v>66</v>
      </c>
      <c r="Z68">
        <v>7</v>
      </c>
      <c r="AA68">
        <v>7</v>
      </c>
      <c r="AB68">
        <v>7</v>
      </c>
      <c r="AC68">
        <v>7</v>
      </c>
      <c r="AD68">
        <v>3</v>
      </c>
      <c r="AE68">
        <v>3</v>
      </c>
      <c r="AF68">
        <v>6</v>
      </c>
      <c r="AG68">
        <v>4</v>
      </c>
      <c r="AH68">
        <v>6</v>
      </c>
      <c r="AI68">
        <v>6</v>
      </c>
      <c r="AJ68">
        <v>2</v>
      </c>
      <c r="AK68">
        <v>5</v>
      </c>
      <c r="AL68">
        <v>6</v>
      </c>
      <c r="AM68">
        <v>6</v>
      </c>
      <c r="AN68">
        <v>133</v>
      </c>
      <c r="AO68">
        <v>4</v>
      </c>
      <c r="AP68">
        <v>1</v>
      </c>
      <c r="AQ68">
        <v>4</v>
      </c>
      <c r="AR68">
        <v>4</v>
      </c>
      <c r="AS68">
        <v>5</v>
      </c>
      <c r="AT68">
        <v>5</v>
      </c>
      <c r="AU68">
        <v>5</v>
      </c>
      <c r="AV68">
        <v>5</v>
      </c>
      <c r="AW68">
        <v>5</v>
      </c>
      <c r="AX68">
        <v>1</v>
      </c>
      <c r="AY68" cm="1">
        <f t="array" ref="AY68">_xlfn.IFS(AZ68="Positive",1, AZ68="Negative",1, AZ68="Neutral",0)</f>
        <v>1</v>
      </c>
      <c r="AZ68" t="str" cm="1">
        <f t="array" ref="AZ68">_xlfn.IFS(AX68=1,"Positive",AX68=2,"Neutral",AX68=3,"Negative")</f>
        <v>Positive</v>
      </c>
      <c r="BA68">
        <v>10</v>
      </c>
      <c r="BB68">
        <v>1</v>
      </c>
      <c r="BC68" s="3">
        <v>4</v>
      </c>
      <c r="BD68" s="3">
        <v>0</v>
      </c>
      <c r="BE68" s="3">
        <v>3</v>
      </c>
      <c r="BF68" s="3">
        <v>3</v>
      </c>
      <c r="BG68" s="3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4</v>
      </c>
      <c r="BT68" t="s">
        <v>453</v>
      </c>
      <c r="BU68" t="s">
        <v>370</v>
      </c>
      <c r="BV68" t="s">
        <v>454</v>
      </c>
    </row>
    <row r="69" spans="1:74" s="1" customFormat="1" hidden="1" x14ac:dyDescent="0.2">
      <c r="A69">
        <v>71</v>
      </c>
      <c r="B69">
        <v>71</v>
      </c>
      <c r="C69" t="s">
        <v>148</v>
      </c>
      <c r="D69"/>
      <c r="E69" t="s">
        <v>85</v>
      </c>
      <c r="F69">
        <v>20</v>
      </c>
      <c r="G69">
        <v>2002</v>
      </c>
      <c r="H69">
        <v>20</v>
      </c>
      <c r="I69" t="s">
        <v>64</v>
      </c>
      <c r="J69">
        <v>1</v>
      </c>
      <c r="K69" t="s">
        <v>637</v>
      </c>
      <c r="L69" t="s">
        <v>677</v>
      </c>
      <c r="M69">
        <v>5</v>
      </c>
      <c r="N69">
        <v>67</v>
      </c>
      <c r="O69" t="s">
        <v>513</v>
      </c>
      <c r="P69" t="s">
        <v>325</v>
      </c>
      <c r="Q69" t="s">
        <v>706</v>
      </c>
      <c r="R69" t="s">
        <v>756</v>
      </c>
      <c r="S69" t="s">
        <v>318</v>
      </c>
      <c r="T69" t="s">
        <v>431</v>
      </c>
      <c r="U69" t="s">
        <v>515</v>
      </c>
      <c r="V69" t="s">
        <v>331</v>
      </c>
      <c r="W69" t="s">
        <v>65</v>
      </c>
      <c r="X69" t="s">
        <v>66</v>
      </c>
      <c r="Y69" t="s">
        <v>66</v>
      </c>
      <c r="Z69">
        <v>7</v>
      </c>
      <c r="AA69">
        <v>6</v>
      </c>
      <c r="AB69">
        <v>7</v>
      </c>
      <c r="AC69">
        <v>5</v>
      </c>
      <c r="AD69">
        <v>1</v>
      </c>
      <c r="AE69">
        <v>6</v>
      </c>
      <c r="AF69">
        <v>6</v>
      </c>
      <c r="AG69">
        <v>2</v>
      </c>
      <c r="AH69">
        <v>6</v>
      </c>
      <c r="AI69">
        <v>1</v>
      </c>
      <c r="AJ69">
        <v>6</v>
      </c>
      <c r="AK69">
        <v>6</v>
      </c>
      <c r="AL69">
        <v>5</v>
      </c>
      <c r="AM69">
        <v>5</v>
      </c>
      <c r="AN69">
        <v>57</v>
      </c>
      <c r="AO69">
        <v>6</v>
      </c>
      <c r="AP69">
        <v>7</v>
      </c>
      <c r="AQ69">
        <v>5</v>
      </c>
      <c r="AR69">
        <v>3</v>
      </c>
      <c r="AS69">
        <v>5</v>
      </c>
      <c r="AT69">
        <v>5</v>
      </c>
      <c r="AU69">
        <v>7</v>
      </c>
      <c r="AV69">
        <v>5</v>
      </c>
      <c r="AW69">
        <v>5</v>
      </c>
      <c r="AX69">
        <v>3</v>
      </c>
      <c r="AY69" cm="1">
        <f t="array" ref="AY69">_xlfn.IFS(AZ69="Positive",1, AZ69="Negative",1, AZ69="Neutral",0)</f>
        <v>1</v>
      </c>
      <c r="AZ69" t="str" cm="1">
        <f t="array" ref="AZ69">_xlfn.IFS(AX69=1,"Positive",AX69=2,"Neutral",AX69=3,"Negative")</f>
        <v>Negative</v>
      </c>
      <c r="BA69">
        <v>17</v>
      </c>
      <c r="BB69">
        <v>0</v>
      </c>
      <c r="BC69" s="3">
        <v>8</v>
      </c>
      <c r="BD69" s="3">
        <v>1</v>
      </c>
      <c r="BE69" s="3">
        <v>2</v>
      </c>
      <c r="BF69" s="3">
        <v>4</v>
      </c>
      <c r="BG69" s="3">
        <v>2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 t="s">
        <v>322</v>
      </c>
      <c r="BT69" t="s">
        <v>453</v>
      </c>
      <c r="BU69" t="s">
        <v>326</v>
      </c>
      <c r="BV69" t="s">
        <v>454</v>
      </c>
    </row>
    <row r="70" spans="1:74" s="1" customFormat="1" hidden="1" x14ac:dyDescent="0.2">
      <c r="A70">
        <v>72</v>
      </c>
      <c r="B70">
        <v>72</v>
      </c>
      <c r="C70" t="s">
        <v>149</v>
      </c>
      <c r="D70"/>
      <c r="E70" t="s">
        <v>71</v>
      </c>
      <c r="F70">
        <v>26</v>
      </c>
      <c r="G70">
        <v>1999</v>
      </c>
      <c r="H70">
        <v>23</v>
      </c>
      <c r="I70" t="s">
        <v>64</v>
      </c>
      <c r="J70">
        <v>1</v>
      </c>
      <c r="K70" t="s">
        <v>416</v>
      </c>
      <c r="L70" t="s">
        <v>660</v>
      </c>
      <c r="M70">
        <v>6</v>
      </c>
      <c r="N70">
        <v>63</v>
      </c>
      <c r="O70" t="s">
        <v>565</v>
      </c>
      <c r="P70">
        <v>6</v>
      </c>
      <c r="Q70" t="s">
        <v>723</v>
      </c>
      <c r="R70" t="s">
        <v>733</v>
      </c>
      <c r="S70" t="s">
        <v>403</v>
      </c>
      <c r="T70" t="s">
        <v>477</v>
      </c>
      <c r="U70" t="s">
        <v>566</v>
      </c>
      <c r="V70" t="s">
        <v>471</v>
      </c>
      <c r="W70" t="s">
        <v>65</v>
      </c>
      <c r="X70" t="s">
        <v>66</v>
      </c>
      <c r="Y70" t="s">
        <v>66</v>
      </c>
      <c r="Z70">
        <v>7</v>
      </c>
      <c r="AA70">
        <v>5</v>
      </c>
      <c r="AB70">
        <v>5</v>
      </c>
      <c r="AC70">
        <v>4</v>
      </c>
      <c r="AD70">
        <v>1</v>
      </c>
      <c r="AE70">
        <v>1</v>
      </c>
      <c r="AF70">
        <v>2</v>
      </c>
      <c r="AG70">
        <v>3</v>
      </c>
      <c r="AH70">
        <v>3</v>
      </c>
      <c r="AI70">
        <v>4</v>
      </c>
      <c r="AJ70">
        <v>4</v>
      </c>
      <c r="AK70">
        <v>4</v>
      </c>
      <c r="AL70">
        <v>2</v>
      </c>
      <c r="AM70">
        <v>1</v>
      </c>
      <c r="AN70">
        <v>60</v>
      </c>
      <c r="AO70">
        <v>4</v>
      </c>
      <c r="AP70">
        <v>4</v>
      </c>
      <c r="AQ70">
        <v>4</v>
      </c>
      <c r="AR70">
        <v>2</v>
      </c>
      <c r="AS70">
        <v>4</v>
      </c>
      <c r="AT70">
        <v>2</v>
      </c>
      <c r="AU70">
        <v>7</v>
      </c>
      <c r="AV70">
        <v>5</v>
      </c>
      <c r="AW70">
        <v>5</v>
      </c>
      <c r="AX70">
        <v>2</v>
      </c>
      <c r="AY70" cm="1">
        <f t="array" ref="AY70">_xlfn.IFS(AZ70="Positive",1, AZ70="Negative",1, AZ70="Neutral",0)</f>
        <v>0</v>
      </c>
      <c r="AZ70" t="str" cm="1">
        <f t="array" ref="AZ70">_xlfn.IFS(AX70=1,"Positive",AX70=2,"Neutral",AX70=3,"Negative")</f>
        <v>Neutral</v>
      </c>
      <c r="BA70">
        <v>3</v>
      </c>
      <c r="BB70">
        <v>3</v>
      </c>
      <c r="BC70" s="3">
        <v>0</v>
      </c>
      <c r="BD70" s="3">
        <v>0</v>
      </c>
      <c r="BE70" s="3">
        <v>0</v>
      </c>
      <c r="BF70" s="3">
        <v>3</v>
      </c>
      <c r="BG70" s="3">
        <v>0</v>
      </c>
      <c r="BH70">
        <v>0</v>
      </c>
      <c r="BI70">
        <v>0</v>
      </c>
      <c r="BJ70">
        <v>2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 t="s">
        <v>296</v>
      </c>
      <c r="BT70" t="s">
        <v>367</v>
      </c>
      <c r="BU70" t="s">
        <v>362</v>
      </c>
      <c r="BV70" t="s">
        <v>371</v>
      </c>
    </row>
    <row r="71" spans="1:74" s="1" customFormat="1" x14ac:dyDescent="0.2">
      <c r="A71">
        <v>73</v>
      </c>
      <c r="B71">
        <v>73</v>
      </c>
      <c r="C71" t="s">
        <v>150</v>
      </c>
      <c r="D71"/>
      <c r="E71" t="s">
        <v>71</v>
      </c>
      <c r="F71">
        <v>30</v>
      </c>
      <c r="G71">
        <v>2000</v>
      </c>
      <c r="H71">
        <v>22</v>
      </c>
      <c r="I71" t="s">
        <v>69</v>
      </c>
      <c r="J71">
        <v>2</v>
      </c>
      <c r="K71" t="s">
        <v>416</v>
      </c>
      <c r="L71" t="s">
        <v>679</v>
      </c>
      <c r="M71">
        <v>7</v>
      </c>
      <c r="N71">
        <v>47</v>
      </c>
      <c r="O71" t="s">
        <v>568</v>
      </c>
      <c r="P71">
        <v>6</v>
      </c>
      <c r="Q71" t="s">
        <v>723</v>
      </c>
      <c r="R71" t="s">
        <v>758</v>
      </c>
      <c r="S71" t="s">
        <v>430</v>
      </c>
      <c r="T71" t="s">
        <v>401</v>
      </c>
      <c r="U71" t="s">
        <v>570</v>
      </c>
      <c r="V71" t="s">
        <v>471</v>
      </c>
      <c r="W71" t="s">
        <v>65</v>
      </c>
      <c r="X71" t="s">
        <v>66</v>
      </c>
      <c r="Y71" t="s">
        <v>66</v>
      </c>
      <c r="Z71">
        <v>7</v>
      </c>
      <c r="AA71">
        <v>5</v>
      </c>
      <c r="AB71">
        <v>7</v>
      </c>
      <c r="AC71">
        <v>1</v>
      </c>
      <c r="AD71">
        <v>3</v>
      </c>
      <c r="AE71">
        <v>7</v>
      </c>
      <c r="AF71">
        <v>1</v>
      </c>
      <c r="AG71">
        <v>1</v>
      </c>
      <c r="AH71">
        <v>6</v>
      </c>
      <c r="AI71">
        <v>5</v>
      </c>
      <c r="AJ71">
        <v>5</v>
      </c>
      <c r="AK71">
        <v>4</v>
      </c>
      <c r="AL71">
        <v>4</v>
      </c>
      <c r="AM71">
        <v>5</v>
      </c>
      <c r="AN71">
        <v>240</v>
      </c>
      <c r="AO71">
        <v>1</v>
      </c>
      <c r="AP71">
        <v>4</v>
      </c>
      <c r="AQ71">
        <v>6</v>
      </c>
      <c r="AR71">
        <v>7</v>
      </c>
      <c r="AS71">
        <v>7</v>
      </c>
      <c r="AT71">
        <v>7</v>
      </c>
      <c r="AU71">
        <v>7</v>
      </c>
      <c r="AV71">
        <v>7</v>
      </c>
      <c r="AW71">
        <v>7</v>
      </c>
      <c r="AX71">
        <v>2</v>
      </c>
      <c r="AY71" cm="1">
        <f t="array" ref="AY71">_xlfn.IFS(AZ71="Positive",1, AZ71="Negative",1, AZ71="Neutral",0)</f>
        <v>0</v>
      </c>
      <c r="AZ71" t="str" cm="1">
        <f t="array" ref="AZ71">_xlfn.IFS(AX71=1,"Positive",AX71=2,"Neutral",AX71=3,"Negative")</f>
        <v>Neutral</v>
      </c>
      <c r="BA71">
        <v>0</v>
      </c>
      <c r="BB71">
        <v>5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>
        <v>0</v>
      </c>
      <c r="BI71">
        <v>0</v>
      </c>
      <c r="BJ71">
        <v>4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 t="s">
        <v>567</v>
      </c>
      <c r="BT71" t="s">
        <v>484</v>
      </c>
      <c r="BU71" t="s">
        <v>569</v>
      </c>
      <c r="BV71" t="s">
        <v>486</v>
      </c>
    </row>
    <row r="72" spans="1:74" s="1" customFormat="1" hidden="1" x14ac:dyDescent="0.2">
      <c r="A72">
        <v>74</v>
      </c>
      <c r="B72">
        <v>74</v>
      </c>
      <c r="C72" t="s">
        <v>151</v>
      </c>
      <c r="D72"/>
      <c r="E72" t="s">
        <v>73</v>
      </c>
      <c r="F72">
        <v>27</v>
      </c>
      <c r="G72">
        <v>2000</v>
      </c>
      <c r="H72">
        <v>22</v>
      </c>
      <c r="I72" t="s">
        <v>69</v>
      </c>
      <c r="J72">
        <v>2</v>
      </c>
      <c r="K72" t="s">
        <v>644</v>
      </c>
      <c r="L72" t="s">
        <v>647</v>
      </c>
      <c r="M72">
        <v>4</v>
      </c>
      <c r="N72">
        <v>61</v>
      </c>
      <c r="O72" t="s">
        <v>384</v>
      </c>
      <c r="P72" t="s">
        <v>361</v>
      </c>
      <c r="Q72" t="s">
        <v>714</v>
      </c>
      <c r="R72" t="s">
        <v>717</v>
      </c>
      <c r="S72" t="s">
        <v>396</v>
      </c>
      <c r="T72" t="s">
        <v>292</v>
      </c>
      <c r="U72" t="s">
        <v>387</v>
      </c>
      <c r="V72" t="s">
        <v>366</v>
      </c>
      <c r="W72" t="s">
        <v>65</v>
      </c>
      <c r="X72" t="s">
        <v>66</v>
      </c>
      <c r="Y72" t="s">
        <v>66</v>
      </c>
      <c r="Z72">
        <v>7</v>
      </c>
      <c r="AA72">
        <v>2</v>
      </c>
      <c r="AB72">
        <v>6</v>
      </c>
      <c r="AC72">
        <v>7</v>
      </c>
      <c r="AD72">
        <v>1</v>
      </c>
      <c r="AE72">
        <v>7</v>
      </c>
      <c r="AF72">
        <v>2</v>
      </c>
      <c r="AG72">
        <v>1</v>
      </c>
      <c r="AH72">
        <v>5</v>
      </c>
      <c r="AI72">
        <v>1</v>
      </c>
      <c r="AJ72">
        <v>7</v>
      </c>
      <c r="AK72">
        <v>2</v>
      </c>
      <c r="AL72">
        <v>1</v>
      </c>
      <c r="AM72">
        <v>3</v>
      </c>
      <c r="AN72">
        <v>156</v>
      </c>
      <c r="AO72">
        <v>4</v>
      </c>
      <c r="AP72">
        <v>7</v>
      </c>
      <c r="AQ72">
        <v>6</v>
      </c>
      <c r="AR72">
        <v>6</v>
      </c>
      <c r="AS72">
        <v>7</v>
      </c>
      <c r="AT72">
        <v>7</v>
      </c>
      <c r="AU72">
        <v>7</v>
      </c>
      <c r="AV72">
        <v>5</v>
      </c>
      <c r="AW72">
        <v>7</v>
      </c>
      <c r="AX72">
        <v>3</v>
      </c>
      <c r="AY72" cm="1">
        <f t="array" ref="AY72">_xlfn.IFS(AZ72="Positive",1, AZ72="Negative",1, AZ72="Neutral",0)</f>
        <v>1</v>
      </c>
      <c r="AZ72" t="str" cm="1">
        <f t="array" ref="AZ72">_xlfn.IFS(AX72=1,"Positive",AX72=2,"Neutral",AX72=3,"Negative")</f>
        <v>Negative</v>
      </c>
      <c r="BA72">
        <v>23</v>
      </c>
      <c r="BB72">
        <v>10</v>
      </c>
      <c r="BC72" s="3">
        <v>19</v>
      </c>
      <c r="BD72" s="3">
        <v>0</v>
      </c>
      <c r="BE72" s="3">
        <v>3</v>
      </c>
      <c r="BF72" s="3">
        <v>0</v>
      </c>
      <c r="BG72" s="3">
        <v>1</v>
      </c>
      <c r="BH72">
        <v>0</v>
      </c>
      <c r="BI72">
        <v>0</v>
      </c>
      <c r="BJ72">
        <v>1</v>
      </c>
      <c r="BK72">
        <v>3</v>
      </c>
      <c r="BL72">
        <v>4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1</v>
      </c>
      <c r="BS72" t="s">
        <v>414</v>
      </c>
      <c r="BT72" t="s">
        <v>475</v>
      </c>
      <c r="BU72" t="s">
        <v>417</v>
      </c>
      <c r="BV72" t="s">
        <v>476</v>
      </c>
    </row>
    <row r="73" spans="1:74" s="1" customFormat="1" hidden="1" x14ac:dyDescent="0.2">
      <c r="A73">
        <v>75</v>
      </c>
      <c r="B73">
        <v>75</v>
      </c>
      <c r="C73" t="s">
        <v>152</v>
      </c>
      <c r="D73"/>
      <c r="E73" t="s">
        <v>88</v>
      </c>
      <c r="F73">
        <v>27</v>
      </c>
      <c r="G73">
        <v>2000</v>
      </c>
      <c r="H73">
        <v>22</v>
      </c>
      <c r="I73" t="s">
        <v>69</v>
      </c>
      <c r="J73">
        <v>2</v>
      </c>
      <c r="K73" t="s">
        <v>652</v>
      </c>
      <c r="L73" t="s">
        <v>689</v>
      </c>
      <c r="M73">
        <v>11</v>
      </c>
      <c r="N73">
        <v>43</v>
      </c>
      <c r="O73" t="s">
        <v>571</v>
      </c>
      <c r="P73" t="s">
        <v>572</v>
      </c>
      <c r="Q73" t="s">
        <v>753</v>
      </c>
      <c r="R73" t="s">
        <v>769</v>
      </c>
      <c r="S73" t="s">
        <v>514</v>
      </c>
      <c r="T73" t="s">
        <v>336</v>
      </c>
      <c r="U73" t="s">
        <v>573</v>
      </c>
      <c r="V73" t="s">
        <v>574</v>
      </c>
      <c r="W73" t="s">
        <v>65</v>
      </c>
      <c r="X73" t="s">
        <v>66</v>
      </c>
      <c r="Y73" t="s">
        <v>66</v>
      </c>
      <c r="Z73">
        <v>7</v>
      </c>
      <c r="AA73">
        <v>1</v>
      </c>
      <c r="AB73">
        <v>3</v>
      </c>
      <c r="AC73">
        <v>1</v>
      </c>
      <c r="AD73">
        <v>1</v>
      </c>
      <c r="AE73">
        <v>1</v>
      </c>
      <c r="AF73">
        <v>1</v>
      </c>
      <c r="AG73">
        <v>6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120</v>
      </c>
      <c r="AO73">
        <v>7</v>
      </c>
      <c r="AP73">
        <v>3</v>
      </c>
      <c r="AQ73">
        <v>2</v>
      </c>
      <c r="AR73">
        <v>1</v>
      </c>
      <c r="AS73">
        <v>3</v>
      </c>
      <c r="AT73">
        <v>1</v>
      </c>
      <c r="AU73">
        <v>5</v>
      </c>
      <c r="AV73">
        <v>3</v>
      </c>
      <c r="AW73">
        <v>2</v>
      </c>
      <c r="AX73">
        <v>2</v>
      </c>
      <c r="AY73" cm="1">
        <f t="array" ref="AY73">_xlfn.IFS(AZ73="Positive",1, AZ73="Negative",1, AZ73="Neutral",0)</f>
        <v>0</v>
      </c>
      <c r="AZ73" t="str" cm="1">
        <f t="array" ref="AZ73">_xlfn.IFS(AX73=1,"Positive",AX73=2,"Neutral",AX73=3,"Negative")</f>
        <v>Neutral</v>
      </c>
      <c r="BA73">
        <v>9</v>
      </c>
      <c r="BB73">
        <v>3</v>
      </c>
      <c r="BC73" s="3">
        <v>6</v>
      </c>
      <c r="BD73" s="3">
        <v>0</v>
      </c>
      <c r="BE73" s="3">
        <v>3</v>
      </c>
      <c r="BF73" s="3">
        <v>0</v>
      </c>
      <c r="BG73" s="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1</v>
      </c>
      <c r="BS73" t="s">
        <v>399</v>
      </c>
      <c r="BT73">
        <v>3</v>
      </c>
      <c r="BU73" t="s">
        <v>400</v>
      </c>
      <c r="BV73" t="s">
        <v>309</v>
      </c>
    </row>
    <row r="74" spans="1:74" s="1" customFormat="1" x14ac:dyDescent="0.2">
      <c r="A74">
        <v>76</v>
      </c>
      <c r="B74">
        <v>76</v>
      </c>
      <c r="C74" t="s">
        <v>153</v>
      </c>
      <c r="D74"/>
      <c r="E74" t="s">
        <v>82</v>
      </c>
      <c r="F74">
        <v>15</v>
      </c>
      <c r="G74">
        <v>1999</v>
      </c>
      <c r="H74">
        <v>23</v>
      </c>
      <c r="I74" t="s">
        <v>64</v>
      </c>
      <c r="J74">
        <v>1</v>
      </c>
      <c r="K74" t="s">
        <v>658</v>
      </c>
      <c r="L74" t="s">
        <v>669</v>
      </c>
      <c r="M74">
        <v>11</v>
      </c>
      <c r="N74">
        <v>57</v>
      </c>
      <c r="O74" t="s">
        <v>346</v>
      </c>
      <c r="P74" t="s">
        <v>369</v>
      </c>
      <c r="Q74" t="s">
        <v>729</v>
      </c>
      <c r="R74" t="s">
        <v>745</v>
      </c>
      <c r="S74" t="s">
        <v>514</v>
      </c>
      <c r="T74" t="s">
        <v>575</v>
      </c>
      <c r="U74" t="s">
        <v>350</v>
      </c>
      <c r="V74" t="s">
        <v>374</v>
      </c>
      <c r="W74" t="s">
        <v>65</v>
      </c>
      <c r="X74" t="s">
        <v>66</v>
      </c>
      <c r="Y74" t="s">
        <v>66</v>
      </c>
      <c r="Z74">
        <v>7</v>
      </c>
      <c r="AA74">
        <v>6</v>
      </c>
      <c r="AB74">
        <v>6</v>
      </c>
      <c r="AC74">
        <v>4</v>
      </c>
      <c r="AD74">
        <v>2</v>
      </c>
      <c r="AE74">
        <v>6</v>
      </c>
      <c r="AF74">
        <v>2</v>
      </c>
      <c r="AG74">
        <v>4</v>
      </c>
      <c r="AH74">
        <v>6</v>
      </c>
      <c r="AI74">
        <v>6</v>
      </c>
      <c r="AJ74">
        <v>4</v>
      </c>
      <c r="AK74">
        <v>4</v>
      </c>
      <c r="AL74">
        <v>4</v>
      </c>
      <c r="AM74">
        <v>1</v>
      </c>
      <c r="AN74">
        <v>60</v>
      </c>
      <c r="AO74">
        <v>6</v>
      </c>
      <c r="AP74">
        <v>2</v>
      </c>
      <c r="AQ74">
        <v>3</v>
      </c>
      <c r="AR74">
        <v>3</v>
      </c>
      <c r="AS74">
        <v>5</v>
      </c>
      <c r="AT74">
        <v>5</v>
      </c>
      <c r="AU74">
        <v>6</v>
      </c>
      <c r="AV74">
        <v>5</v>
      </c>
      <c r="AW74">
        <v>6</v>
      </c>
      <c r="AX74">
        <v>1</v>
      </c>
      <c r="AY74" cm="1">
        <f t="array" ref="AY74">_xlfn.IFS(AZ74="Positive",1, AZ74="Negative",1, AZ74="Neutral",0)</f>
        <v>1</v>
      </c>
      <c r="AZ74" t="str" cm="1">
        <f t="array" ref="AZ74">_xlfn.IFS(AX74=1,"Positive",AX74=2,"Neutral",AX74=3,"Negative")</f>
        <v>Positive</v>
      </c>
      <c r="BA74">
        <v>0</v>
      </c>
      <c r="BB74">
        <v>5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>
        <v>0</v>
      </c>
      <c r="BI74">
        <v>0</v>
      </c>
      <c r="BJ74">
        <v>2</v>
      </c>
      <c r="BK74">
        <v>0</v>
      </c>
      <c r="BL74">
        <v>3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 t="s">
        <v>467</v>
      </c>
      <c r="BT74" t="s">
        <v>484</v>
      </c>
      <c r="BU74" t="s">
        <v>469</v>
      </c>
      <c r="BV74" t="s">
        <v>486</v>
      </c>
    </row>
    <row r="75" spans="1:74" s="1" customFormat="1" hidden="1" x14ac:dyDescent="0.2">
      <c r="A75">
        <v>77</v>
      </c>
      <c r="B75">
        <v>77</v>
      </c>
      <c r="C75" t="s">
        <v>154</v>
      </c>
      <c r="D75"/>
      <c r="E75" t="s">
        <v>73</v>
      </c>
      <c r="F75">
        <v>8</v>
      </c>
      <c r="G75">
        <v>2000</v>
      </c>
      <c r="H75">
        <v>22</v>
      </c>
      <c r="I75" t="s">
        <v>64</v>
      </c>
      <c r="J75">
        <v>1</v>
      </c>
      <c r="K75" t="s">
        <v>690</v>
      </c>
      <c r="L75" t="s">
        <v>650</v>
      </c>
      <c r="M75">
        <v>11</v>
      </c>
      <c r="N75">
        <v>56</v>
      </c>
      <c r="O75" t="s">
        <v>278</v>
      </c>
      <c r="P75" t="s">
        <v>307</v>
      </c>
      <c r="Q75" t="s">
        <v>770</v>
      </c>
      <c r="R75" t="s">
        <v>720</v>
      </c>
      <c r="S75" t="s">
        <v>514</v>
      </c>
      <c r="T75" t="s">
        <v>423</v>
      </c>
      <c r="U75" t="s">
        <v>380</v>
      </c>
      <c r="V75" t="s">
        <v>312</v>
      </c>
      <c r="W75" t="s">
        <v>65</v>
      </c>
      <c r="X75" t="s">
        <v>66</v>
      </c>
      <c r="Y75" t="s">
        <v>66</v>
      </c>
      <c r="Z75">
        <v>7</v>
      </c>
      <c r="AA75">
        <v>7</v>
      </c>
      <c r="AB75">
        <v>7</v>
      </c>
      <c r="AC75">
        <v>7</v>
      </c>
      <c r="AD75">
        <v>1</v>
      </c>
      <c r="AE75">
        <v>1</v>
      </c>
      <c r="AF75">
        <v>2</v>
      </c>
      <c r="AG75">
        <v>1</v>
      </c>
      <c r="AH75">
        <v>6</v>
      </c>
      <c r="AI75">
        <v>1</v>
      </c>
      <c r="AJ75">
        <v>6</v>
      </c>
      <c r="AK75">
        <v>6</v>
      </c>
      <c r="AL75">
        <v>5</v>
      </c>
      <c r="AM75">
        <v>1</v>
      </c>
      <c r="AN75">
        <v>1</v>
      </c>
      <c r="AO75">
        <v>1</v>
      </c>
      <c r="AP75">
        <v>6</v>
      </c>
      <c r="AQ75">
        <v>5</v>
      </c>
      <c r="AR75">
        <v>4</v>
      </c>
      <c r="AS75">
        <v>6</v>
      </c>
      <c r="AT75">
        <v>6</v>
      </c>
      <c r="AU75">
        <v>6</v>
      </c>
      <c r="AV75">
        <v>6</v>
      </c>
      <c r="AW75">
        <v>6</v>
      </c>
      <c r="AX75">
        <v>3</v>
      </c>
      <c r="AY75" cm="1">
        <f t="array" ref="AY75">_xlfn.IFS(AZ75="Positive",1, AZ75="Negative",1, AZ75="Neutral",0)</f>
        <v>1</v>
      </c>
      <c r="AZ75" t="str" cm="1">
        <f t="array" ref="AZ75">_xlfn.IFS(AX75=1,"Positive",AX75=2,"Neutral",AX75=3,"Negative")</f>
        <v>Negative</v>
      </c>
      <c r="BA75">
        <v>19</v>
      </c>
      <c r="BB75">
        <v>1</v>
      </c>
      <c r="BC75" s="3">
        <v>9</v>
      </c>
      <c r="BD75" s="3">
        <v>1</v>
      </c>
      <c r="BE75" s="3">
        <v>3</v>
      </c>
      <c r="BF75" s="3">
        <v>5</v>
      </c>
      <c r="BG75" s="3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 t="s">
        <v>313</v>
      </c>
      <c r="BT75" t="s">
        <v>576</v>
      </c>
      <c r="BU75" t="s">
        <v>316</v>
      </c>
      <c r="BV75" t="s">
        <v>577</v>
      </c>
    </row>
    <row r="76" spans="1:74" s="1" customFormat="1" hidden="1" x14ac:dyDescent="0.2">
      <c r="A76">
        <v>78</v>
      </c>
      <c r="B76">
        <v>78</v>
      </c>
      <c r="C76" t="s">
        <v>155</v>
      </c>
      <c r="D76"/>
      <c r="E76" t="s">
        <v>93</v>
      </c>
      <c r="F76">
        <v>7</v>
      </c>
      <c r="G76">
        <v>1999</v>
      </c>
      <c r="H76">
        <v>23</v>
      </c>
      <c r="I76" t="s">
        <v>64</v>
      </c>
      <c r="J76">
        <v>1</v>
      </c>
      <c r="K76" t="s">
        <v>664</v>
      </c>
      <c r="L76" t="s">
        <v>691</v>
      </c>
      <c r="M76">
        <v>4</v>
      </c>
      <c r="N76">
        <v>76</v>
      </c>
      <c r="O76" t="s">
        <v>562</v>
      </c>
      <c r="P76" t="s">
        <v>278</v>
      </c>
      <c r="Q76" t="s">
        <v>738</v>
      </c>
      <c r="R76" t="s">
        <v>771</v>
      </c>
      <c r="S76" t="s">
        <v>396</v>
      </c>
      <c r="T76" t="s">
        <v>580</v>
      </c>
      <c r="U76" t="s">
        <v>581</v>
      </c>
      <c r="V76" t="s">
        <v>284</v>
      </c>
      <c r="W76" t="s">
        <v>65</v>
      </c>
      <c r="X76" t="s">
        <v>66</v>
      </c>
      <c r="Y76" t="s">
        <v>66</v>
      </c>
      <c r="Z76">
        <v>7</v>
      </c>
      <c r="AA76">
        <v>6</v>
      </c>
      <c r="AB76">
        <v>7</v>
      </c>
      <c r="AC76">
        <v>1</v>
      </c>
      <c r="AD76">
        <v>1</v>
      </c>
      <c r="AE76">
        <v>1</v>
      </c>
      <c r="AF76">
        <v>1</v>
      </c>
      <c r="AG76">
        <v>3</v>
      </c>
      <c r="AH76">
        <v>3</v>
      </c>
      <c r="AI76">
        <v>5</v>
      </c>
      <c r="AJ76">
        <v>1</v>
      </c>
      <c r="AK76">
        <v>2</v>
      </c>
      <c r="AL76">
        <v>1</v>
      </c>
      <c r="AM76">
        <v>1</v>
      </c>
      <c r="AN76">
        <v>120</v>
      </c>
      <c r="AO76">
        <v>5</v>
      </c>
      <c r="AP76">
        <v>4</v>
      </c>
      <c r="AQ76">
        <v>3</v>
      </c>
      <c r="AR76">
        <v>4</v>
      </c>
      <c r="AS76">
        <v>6</v>
      </c>
      <c r="AT76">
        <v>4</v>
      </c>
      <c r="AU76">
        <v>6</v>
      </c>
      <c r="AV76">
        <v>6</v>
      </c>
      <c r="AW76">
        <v>7</v>
      </c>
      <c r="AX76">
        <v>2</v>
      </c>
      <c r="AY76" cm="1">
        <f t="array" ref="AY76">_xlfn.IFS(AZ76="Positive",1, AZ76="Negative",1, AZ76="Neutral",0)</f>
        <v>0</v>
      </c>
      <c r="AZ76" t="str" cm="1">
        <f t="array" ref="AZ76">_xlfn.IFS(AX76=1,"Positive",AX76=2,"Neutral",AX76=3,"Negative")</f>
        <v>Neutral</v>
      </c>
      <c r="BA76">
        <v>2</v>
      </c>
      <c r="BB76">
        <v>0</v>
      </c>
      <c r="BC76" s="3">
        <v>0</v>
      </c>
      <c r="BD76" s="3">
        <v>0</v>
      </c>
      <c r="BE76" s="3">
        <v>0</v>
      </c>
      <c r="BF76" s="3">
        <v>2</v>
      </c>
      <c r="BG76" s="3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 t="s">
        <v>305</v>
      </c>
      <c r="BT76" t="s">
        <v>578</v>
      </c>
      <c r="BU76" t="s">
        <v>308</v>
      </c>
      <c r="BV76" t="s">
        <v>579</v>
      </c>
    </row>
    <row r="77" spans="1:74" s="1" customFormat="1" hidden="1" x14ac:dyDescent="0.2">
      <c r="A77">
        <v>79</v>
      </c>
      <c r="B77">
        <v>79</v>
      </c>
      <c r="C77" t="s">
        <v>156</v>
      </c>
      <c r="D77"/>
      <c r="E77" t="s">
        <v>93</v>
      </c>
      <c r="F77">
        <v>7</v>
      </c>
      <c r="G77">
        <v>1999</v>
      </c>
      <c r="H77">
        <v>23</v>
      </c>
      <c r="I77" t="s">
        <v>69</v>
      </c>
      <c r="J77">
        <v>2</v>
      </c>
      <c r="K77" t="s">
        <v>637</v>
      </c>
      <c r="L77" t="s">
        <v>679</v>
      </c>
      <c r="M77">
        <v>10</v>
      </c>
      <c r="N77">
        <v>62</v>
      </c>
      <c r="O77" t="s">
        <v>460</v>
      </c>
      <c r="P77" t="s">
        <v>288</v>
      </c>
      <c r="Q77" t="s">
        <v>706</v>
      </c>
      <c r="R77" t="s">
        <v>758</v>
      </c>
      <c r="S77" t="s">
        <v>378</v>
      </c>
      <c r="T77" t="s">
        <v>319</v>
      </c>
      <c r="U77" t="s">
        <v>582</v>
      </c>
      <c r="V77" t="s">
        <v>294</v>
      </c>
      <c r="W77" t="s">
        <v>65</v>
      </c>
      <c r="X77" t="s">
        <v>66</v>
      </c>
      <c r="Y77" t="s">
        <v>66</v>
      </c>
      <c r="Z77">
        <v>7</v>
      </c>
      <c r="AA77">
        <v>6</v>
      </c>
      <c r="AB77">
        <v>7</v>
      </c>
      <c r="AC77">
        <v>5</v>
      </c>
      <c r="AD77">
        <v>5</v>
      </c>
      <c r="AE77">
        <v>3</v>
      </c>
      <c r="AF77">
        <v>2</v>
      </c>
      <c r="AG77">
        <v>1</v>
      </c>
      <c r="AH77">
        <v>5</v>
      </c>
      <c r="AI77">
        <v>1</v>
      </c>
      <c r="AJ77">
        <v>7</v>
      </c>
      <c r="AK77">
        <v>7</v>
      </c>
      <c r="AL77">
        <v>7</v>
      </c>
      <c r="AM77">
        <v>5</v>
      </c>
      <c r="AN77">
        <v>14</v>
      </c>
      <c r="AO77">
        <v>6</v>
      </c>
      <c r="AP77">
        <v>7</v>
      </c>
      <c r="AQ77">
        <v>6</v>
      </c>
      <c r="AR77">
        <v>3</v>
      </c>
      <c r="AS77">
        <v>3</v>
      </c>
      <c r="AT77">
        <v>6</v>
      </c>
      <c r="AU77">
        <v>5</v>
      </c>
      <c r="AV77">
        <v>5</v>
      </c>
      <c r="AW77">
        <v>7</v>
      </c>
      <c r="AX77">
        <v>3</v>
      </c>
      <c r="AY77" cm="1">
        <f t="array" ref="AY77">_xlfn.IFS(AZ77="Positive",1, AZ77="Negative",1, AZ77="Neutral",0)</f>
        <v>1</v>
      </c>
      <c r="AZ77" t="str" cm="1">
        <f t="array" ref="AZ77">_xlfn.IFS(AX77=1,"Positive",AX77=2,"Neutral",AX77=3,"Negative")</f>
        <v>Negative</v>
      </c>
      <c r="BA77">
        <v>18</v>
      </c>
      <c r="BB77">
        <v>0</v>
      </c>
      <c r="BC77" s="3">
        <v>13</v>
      </c>
      <c r="BD77" s="3">
        <v>0</v>
      </c>
      <c r="BE77" s="3">
        <v>2</v>
      </c>
      <c r="BF77" s="3">
        <v>3</v>
      </c>
      <c r="BG77" s="3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 t="s">
        <v>567</v>
      </c>
      <c r="BT77">
        <v>2</v>
      </c>
      <c r="BU77" t="s">
        <v>569</v>
      </c>
      <c r="BV77" t="s">
        <v>340</v>
      </c>
    </row>
    <row r="78" spans="1:74" s="1" customFormat="1" x14ac:dyDescent="0.2">
      <c r="A78">
        <v>80</v>
      </c>
      <c r="B78">
        <v>80</v>
      </c>
      <c r="C78" t="s">
        <v>157</v>
      </c>
      <c r="D78"/>
      <c r="E78" t="s">
        <v>73</v>
      </c>
      <c r="F78">
        <v>10</v>
      </c>
      <c r="G78">
        <v>1999</v>
      </c>
      <c r="H78">
        <v>23</v>
      </c>
      <c r="I78" t="s">
        <v>64</v>
      </c>
      <c r="J78">
        <v>1</v>
      </c>
      <c r="K78" t="s">
        <v>651</v>
      </c>
      <c r="L78" t="s">
        <v>692</v>
      </c>
      <c r="M78">
        <v>11</v>
      </c>
      <c r="N78">
        <v>72</v>
      </c>
      <c r="O78" t="s">
        <v>408</v>
      </c>
      <c r="P78" t="s">
        <v>583</v>
      </c>
      <c r="Q78" t="s">
        <v>721</v>
      </c>
      <c r="R78" t="s">
        <v>772</v>
      </c>
      <c r="S78" t="s">
        <v>514</v>
      </c>
      <c r="T78" t="s">
        <v>379</v>
      </c>
      <c r="U78" t="s">
        <v>412</v>
      </c>
      <c r="V78" t="s">
        <v>584</v>
      </c>
      <c r="W78" t="s">
        <v>65</v>
      </c>
      <c r="X78" t="s">
        <v>66</v>
      </c>
      <c r="Y78" t="s">
        <v>66</v>
      </c>
      <c r="Z78">
        <v>7</v>
      </c>
      <c r="AA78">
        <v>5</v>
      </c>
      <c r="AB78">
        <v>4</v>
      </c>
      <c r="AC78">
        <v>5</v>
      </c>
      <c r="AD78">
        <v>1</v>
      </c>
      <c r="AE78">
        <v>3</v>
      </c>
      <c r="AF78">
        <v>3</v>
      </c>
      <c r="AG78">
        <v>1</v>
      </c>
      <c r="AH78">
        <v>5</v>
      </c>
      <c r="AI78">
        <v>7</v>
      </c>
      <c r="AJ78">
        <v>1</v>
      </c>
      <c r="AK78">
        <v>5</v>
      </c>
      <c r="AL78">
        <v>5</v>
      </c>
      <c r="AM78">
        <v>7</v>
      </c>
      <c r="AN78">
        <v>168</v>
      </c>
      <c r="AO78">
        <v>6</v>
      </c>
      <c r="AP78">
        <v>2</v>
      </c>
      <c r="AQ78">
        <v>3</v>
      </c>
      <c r="AR78">
        <v>5</v>
      </c>
      <c r="AS78">
        <v>5</v>
      </c>
      <c r="AT78">
        <v>5</v>
      </c>
      <c r="AU78">
        <v>5</v>
      </c>
      <c r="AV78">
        <v>5</v>
      </c>
      <c r="AW78">
        <v>5</v>
      </c>
      <c r="AX78">
        <v>1</v>
      </c>
      <c r="AY78" cm="1">
        <f t="array" ref="AY78">_xlfn.IFS(AZ78="Positive",1, AZ78="Negative",1, AZ78="Neutral",0)</f>
        <v>1</v>
      </c>
      <c r="AZ78" t="str" cm="1">
        <f t="array" ref="AZ78">_xlfn.IFS(AX78=1,"Positive",AX78=2,"Neutral",AX78=3,"Negative")</f>
        <v>Positive</v>
      </c>
      <c r="BA78">
        <v>0</v>
      </c>
      <c r="BB78">
        <v>2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>
        <v>0</v>
      </c>
      <c r="BI78">
        <v>0</v>
      </c>
      <c r="BJ78">
        <v>1</v>
      </c>
      <c r="BK78">
        <v>0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4</v>
      </c>
      <c r="BT78" t="s">
        <v>492</v>
      </c>
      <c r="BU78" t="s">
        <v>370</v>
      </c>
      <c r="BV78" t="s">
        <v>494</v>
      </c>
    </row>
    <row r="79" spans="1:74" s="1" customFormat="1" hidden="1" x14ac:dyDescent="0.2">
      <c r="A79">
        <v>81</v>
      </c>
      <c r="B79">
        <v>81</v>
      </c>
      <c r="C79" t="s">
        <v>158</v>
      </c>
      <c r="D79"/>
      <c r="E79" t="s">
        <v>97</v>
      </c>
      <c r="F79">
        <v>10</v>
      </c>
      <c r="G79">
        <v>2000</v>
      </c>
      <c r="H79">
        <v>22</v>
      </c>
      <c r="I79" t="s">
        <v>69</v>
      </c>
      <c r="J79">
        <v>2</v>
      </c>
      <c r="K79" t="s">
        <v>517</v>
      </c>
      <c r="L79" t="s">
        <v>693</v>
      </c>
      <c r="M79">
        <v>2</v>
      </c>
      <c r="N79">
        <v>49</v>
      </c>
      <c r="O79" t="s">
        <v>585</v>
      </c>
      <c r="P79" t="s">
        <v>277</v>
      </c>
      <c r="Q79" t="s">
        <v>744</v>
      </c>
      <c r="R79" t="s">
        <v>773</v>
      </c>
      <c r="S79" t="s">
        <v>281</v>
      </c>
      <c r="T79" t="s">
        <v>491</v>
      </c>
      <c r="U79" t="s">
        <v>587</v>
      </c>
      <c r="V79" t="s">
        <v>535</v>
      </c>
      <c r="W79" t="s">
        <v>65</v>
      </c>
      <c r="X79" t="s">
        <v>66</v>
      </c>
      <c r="Y79" t="s">
        <v>66</v>
      </c>
      <c r="Z79">
        <v>7</v>
      </c>
      <c r="AA79">
        <v>5</v>
      </c>
      <c r="AB79">
        <v>7</v>
      </c>
      <c r="AC79">
        <v>5</v>
      </c>
      <c r="AD79">
        <v>4</v>
      </c>
      <c r="AE79">
        <v>5</v>
      </c>
      <c r="AF79">
        <v>6</v>
      </c>
      <c r="AG79">
        <v>1</v>
      </c>
      <c r="AH79">
        <v>6</v>
      </c>
      <c r="AI79">
        <v>3</v>
      </c>
      <c r="AJ79">
        <v>3</v>
      </c>
      <c r="AK79">
        <v>3</v>
      </c>
      <c r="AL79">
        <v>1</v>
      </c>
      <c r="AM79">
        <v>7</v>
      </c>
      <c r="AN79">
        <v>120</v>
      </c>
      <c r="AO79">
        <v>3</v>
      </c>
      <c r="AP79">
        <v>4</v>
      </c>
      <c r="AQ79">
        <v>1</v>
      </c>
      <c r="AR79">
        <v>3</v>
      </c>
      <c r="AS79">
        <v>4</v>
      </c>
      <c r="AT79">
        <v>7</v>
      </c>
      <c r="AU79">
        <v>7</v>
      </c>
      <c r="AV79">
        <v>7</v>
      </c>
      <c r="AW79">
        <v>7</v>
      </c>
      <c r="AX79">
        <v>2</v>
      </c>
      <c r="AY79" cm="1">
        <f t="array" ref="AY79">_xlfn.IFS(AZ79="Positive",1, AZ79="Negative",1, AZ79="Neutral",0)</f>
        <v>0</v>
      </c>
      <c r="AZ79" t="str" cm="1">
        <f t="array" ref="AZ79">_xlfn.IFS(AX79=1,"Positive",AX79=2,"Neutral",AX79=3,"Negative")</f>
        <v>Neutral</v>
      </c>
      <c r="BA79">
        <v>11</v>
      </c>
      <c r="BB79">
        <v>1</v>
      </c>
      <c r="BC79" s="3">
        <v>6</v>
      </c>
      <c r="BD79" s="3">
        <v>1</v>
      </c>
      <c r="BE79" s="3">
        <v>2</v>
      </c>
      <c r="BF79" s="3">
        <v>2</v>
      </c>
      <c r="BG79" s="3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</v>
      </c>
      <c r="BS79" t="s">
        <v>492</v>
      </c>
      <c r="BT79" t="s">
        <v>345</v>
      </c>
      <c r="BU79" t="s">
        <v>586</v>
      </c>
      <c r="BV79" t="s">
        <v>348</v>
      </c>
    </row>
    <row r="80" spans="1:74" s="1" customFormat="1" x14ac:dyDescent="0.2">
      <c r="A80">
        <v>82</v>
      </c>
      <c r="B80">
        <v>82</v>
      </c>
      <c r="C80" t="s">
        <v>159</v>
      </c>
      <c r="D80"/>
      <c r="E80" t="s">
        <v>78</v>
      </c>
      <c r="F80">
        <v>11</v>
      </c>
      <c r="G80">
        <v>2000</v>
      </c>
      <c r="H80">
        <v>22</v>
      </c>
      <c r="I80" t="s">
        <v>69</v>
      </c>
      <c r="J80">
        <v>2</v>
      </c>
      <c r="K80" t="s">
        <v>694</v>
      </c>
      <c r="L80" t="s">
        <v>660</v>
      </c>
      <c r="M80">
        <v>16</v>
      </c>
      <c r="N80">
        <v>55</v>
      </c>
      <c r="O80" t="s">
        <v>572</v>
      </c>
      <c r="P80" t="s">
        <v>338</v>
      </c>
      <c r="Q80" t="s">
        <v>774</v>
      </c>
      <c r="R80" t="s">
        <v>733</v>
      </c>
      <c r="S80" t="s">
        <v>588</v>
      </c>
      <c r="T80" t="s">
        <v>404</v>
      </c>
      <c r="U80" t="s">
        <v>589</v>
      </c>
      <c r="V80" t="s">
        <v>504</v>
      </c>
      <c r="W80" t="s">
        <v>65</v>
      </c>
      <c r="X80" t="s">
        <v>66</v>
      </c>
      <c r="Y80" t="s">
        <v>66</v>
      </c>
      <c r="Z80">
        <v>7</v>
      </c>
      <c r="AA80">
        <v>4</v>
      </c>
      <c r="AB80">
        <v>6</v>
      </c>
      <c r="AC80">
        <v>4</v>
      </c>
      <c r="AD80">
        <v>2</v>
      </c>
      <c r="AE80">
        <v>3</v>
      </c>
      <c r="AF80">
        <v>2</v>
      </c>
      <c r="AG80">
        <v>2</v>
      </c>
      <c r="AH80">
        <v>4</v>
      </c>
      <c r="AI80">
        <v>5</v>
      </c>
      <c r="AJ80">
        <v>1</v>
      </c>
      <c r="AK80">
        <v>4</v>
      </c>
      <c r="AL80">
        <v>4</v>
      </c>
      <c r="AM80">
        <v>5</v>
      </c>
      <c r="AN80">
        <v>48</v>
      </c>
      <c r="AO80">
        <v>5</v>
      </c>
      <c r="AP80">
        <v>2</v>
      </c>
      <c r="AQ80">
        <v>3</v>
      </c>
      <c r="AR80">
        <v>5</v>
      </c>
      <c r="AS80">
        <v>5</v>
      </c>
      <c r="AT80">
        <v>5</v>
      </c>
      <c r="AU80">
        <v>5</v>
      </c>
      <c r="AV80">
        <v>5</v>
      </c>
      <c r="AW80">
        <v>3</v>
      </c>
      <c r="AX80">
        <v>1</v>
      </c>
      <c r="AY80" cm="1">
        <f t="array" ref="AY80">_xlfn.IFS(AZ80="Positive",1, AZ80="Negative",1, AZ80="Neutral",0)</f>
        <v>1</v>
      </c>
      <c r="AZ80" t="str" cm="1">
        <f t="array" ref="AZ80">_xlfn.IFS(AX80=1,"Positive",AX80=2,"Neutral",AX80=3,"Negative")</f>
        <v>Positive</v>
      </c>
      <c r="BA80">
        <v>0</v>
      </c>
      <c r="BB80">
        <v>1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 t="s">
        <v>295</v>
      </c>
      <c r="BT80" t="s">
        <v>367</v>
      </c>
      <c r="BU80" t="s">
        <v>299</v>
      </c>
      <c r="BV80" t="s">
        <v>371</v>
      </c>
    </row>
    <row r="81" spans="1:74" s="1" customFormat="1" x14ac:dyDescent="0.2">
      <c r="A81">
        <v>83</v>
      </c>
      <c r="B81">
        <v>83</v>
      </c>
      <c r="C81" t="s">
        <v>160</v>
      </c>
      <c r="D81"/>
      <c r="E81" t="s">
        <v>68</v>
      </c>
      <c r="F81">
        <v>23</v>
      </c>
      <c r="G81">
        <v>1998</v>
      </c>
      <c r="H81">
        <v>24</v>
      </c>
      <c r="I81" t="s">
        <v>69</v>
      </c>
      <c r="J81">
        <v>2</v>
      </c>
      <c r="K81" t="s">
        <v>694</v>
      </c>
      <c r="L81" t="s">
        <v>662</v>
      </c>
      <c r="M81">
        <v>10</v>
      </c>
      <c r="N81">
        <v>68</v>
      </c>
      <c r="O81" t="s">
        <v>565</v>
      </c>
      <c r="P81" t="s">
        <v>314</v>
      </c>
      <c r="Q81" t="s">
        <v>774</v>
      </c>
      <c r="R81" t="s">
        <v>735</v>
      </c>
      <c r="S81" t="s">
        <v>378</v>
      </c>
      <c r="T81" t="s">
        <v>487</v>
      </c>
      <c r="U81" t="s">
        <v>566</v>
      </c>
      <c r="V81" t="s">
        <v>351</v>
      </c>
      <c r="W81" t="s">
        <v>65</v>
      </c>
      <c r="X81" t="s">
        <v>66</v>
      </c>
      <c r="Y81" t="s">
        <v>66</v>
      </c>
      <c r="Z81">
        <v>7</v>
      </c>
      <c r="AA81">
        <v>1</v>
      </c>
      <c r="AB81">
        <v>3</v>
      </c>
      <c r="AC81">
        <v>4</v>
      </c>
      <c r="AD81">
        <v>3</v>
      </c>
      <c r="AE81">
        <v>4</v>
      </c>
      <c r="AF81">
        <v>1</v>
      </c>
      <c r="AG81">
        <v>3</v>
      </c>
      <c r="AH81">
        <v>2</v>
      </c>
      <c r="AI81">
        <v>4</v>
      </c>
      <c r="AJ81">
        <v>1</v>
      </c>
      <c r="AK81">
        <v>2</v>
      </c>
      <c r="AL81">
        <v>1</v>
      </c>
      <c r="AM81">
        <v>1</v>
      </c>
      <c r="AN81">
        <v>170</v>
      </c>
      <c r="AO81">
        <v>1</v>
      </c>
      <c r="AP81">
        <v>2</v>
      </c>
      <c r="AQ81">
        <v>1</v>
      </c>
      <c r="AR81">
        <v>2</v>
      </c>
      <c r="AS81">
        <v>3</v>
      </c>
      <c r="AT81">
        <v>2</v>
      </c>
      <c r="AU81">
        <v>3</v>
      </c>
      <c r="AV81">
        <v>3</v>
      </c>
      <c r="AW81">
        <v>2</v>
      </c>
      <c r="AX81">
        <v>1</v>
      </c>
      <c r="AY81" cm="1">
        <f t="array" ref="AY81">_xlfn.IFS(AZ81="Positive",1, AZ81="Negative",1, AZ81="Neutral",0)</f>
        <v>1</v>
      </c>
      <c r="AZ81" t="str" cm="1">
        <f t="array" ref="AZ81">_xlfn.IFS(AX81=1,"Positive",AX81=2,"Neutral",AX81=3,"Negative")</f>
        <v>Positive</v>
      </c>
      <c r="BA81">
        <v>0</v>
      </c>
      <c r="BB81">
        <v>3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>
        <v>0</v>
      </c>
      <c r="BI81">
        <v>0</v>
      </c>
      <c r="BJ81">
        <v>0</v>
      </c>
      <c r="BK81">
        <v>0</v>
      </c>
      <c r="BL81">
        <v>3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 t="s">
        <v>295</v>
      </c>
      <c r="BT81">
        <v>4</v>
      </c>
      <c r="BU81" t="s">
        <v>299</v>
      </c>
      <c r="BV81" t="s">
        <v>590</v>
      </c>
    </row>
    <row r="82" spans="1:74" s="1" customFormat="1" hidden="1" x14ac:dyDescent="0.2">
      <c r="A82">
        <v>84</v>
      </c>
      <c r="B82">
        <v>84</v>
      </c>
      <c r="C82" t="s">
        <v>161</v>
      </c>
      <c r="D82"/>
      <c r="E82" t="s">
        <v>71</v>
      </c>
      <c r="F82">
        <v>7</v>
      </c>
      <c r="G82">
        <v>2001</v>
      </c>
      <c r="H82">
        <v>21</v>
      </c>
      <c r="I82" t="s">
        <v>69</v>
      </c>
      <c r="J82">
        <v>2</v>
      </c>
      <c r="K82" t="s">
        <v>667</v>
      </c>
      <c r="L82" t="s">
        <v>689</v>
      </c>
      <c r="M82">
        <v>12</v>
      </c>
      <c r="N82">
        <v>46</v>
      </c>
      <c r="O82" t="s">
        <v>481</v>
      </c>
      <c r="P82" t="s">
        <v>369</v>
      </c>
      <c r="Q82" t="s">
        <v>741</v>
      </c>
      <c r="R82" t="s">
        <v>769</v>
      </c>
      <c r="S82" t="s">
        <v>499</v>
      </c>
      <c r="T82" t="s">
        <v>457</v>
      </c>
      <c r="U82" t="s">
        <v>593</v>
      </c>
      <c r="V82" t="s">
        <v>374</v>
      </c>
      <c r="W82" t="s">
        <v>65</v>
      </c>
      <c r="X82" t="s">
        <v>66</v>
      </c>
      <c r="Y82" t="s">
        <v>66</v>
      </c>
      <c r="Z82">
        <v>7</v>
      </c>
      <c r="AA82">
        <v>5</v>
      </c>
      <c r="AB82">
        <v>5</v>
      </c>
      <c r="AC82">
        <v>3</v>
      </c>
      <c r="AD82">
        <v>1</v>
      </c>
      <c r="AE82">
        <v>6</v>
      </c>
      <c r="AF82">
        <v>2</v>
      </c>
      <c r="AG82">
        <v>5</v>
      </c>
      <c r="AH82">
        <v>4</v>
      </c>
      <c r="AI82">
        <v>3</v>
      </c>
      <c r="AJ82">
        <v>5</v>
      </c>
      <c r="AK82">
        <v>4</v>
      </c>
      <c r="AL82">
        <v>3</v>
      </c>
      <c r="AM82">
        <v>5</v>
      </c>
      <c r="AN82">
        <v>144</v>
      </c>
      <c r="AO82">
        <v>1</v>
      </c>
      <c r="AP82">
        <v>6</v>
      </c>
      <c r="AQ82">
        <v>5</v>
      </c>
      <c r="AR82">
        <v>3</v>
      </c>
      <c r="AS82">
        <v>5</v>
      </c>
      <c r="AT82">
        <v>4</v>
      </c>
      <c r="AU82">
        <v>6</v>
      </c>
      <c r="AV82">
        <v>3</v>
      </c>
      <c r="AW82">
        <v>7</v>
      </c>
      <c r="AX82">
        <v>3</v>
      </c>
      <c r="AY82" cm="1">
        <f t="array" ref="AY82">_xlfn.IFS(AZ82="Positive",1, AZ82="Negative",1, AZ82="Neutral",0)</f>
        <v>1</v>
      </c>
      <c r="AZ82" t="str" cm="1">
        <f t="array" ref="AZ82">_xlfn.IFS(AX82=1,"Positive",AX82=2,"Neutral",AX82=3,"Negative")</f>
        <v>Negative</v>
      </c>
      <c r="BA82">
        <v>14</v>
      </c>
      <c r="BB82">
        <v>0</v>
      </c>
      <c r="BC82" s="3">
        <v>9</v>
      </c>
      <c r="BD82" s="3">
        <v>1</v>
      </c>
      <c r="BE82" s="3">
        <v>3</v>
      </c>
      <c r="BF82" s="3">
        <v>1</v>
      </c>
      <c r="BG82" s="3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 t="s">
        <v>464</v>
      </c>
      <c r="BT82" t="s">
        <v>516</v>
      </c>
      <c r="BU82" t="s">
        <v>591</v>
      </c>
      <c r="BV82" t="s">
        <v>592</v>
      </c>
    </row>
    <row r="83" spans="1:74" s="1" customFormat="1" hidden="1" x14ac:dyDescent="0.2">
      <c r="A83">
        <v>85</v>
      </c>
      <c r="B83">
        <v>85</v>
      </c>
      <c r="C83" t="s">
        <v>162</v>
      </c>
      <c r="D83"/>
      <c r="E83" t="s">
        <v>97</v>
      </c>
      <c r="F83">
        <v>9</v>
      </c>
      <c r="G83">
        <v>1999</v>
      </c>
      <c r="H83">
        <v>23</v>
      </c>
      <c r="I83" t="s">
        <v>64</v>
      </c>
      <c r="J83">
        <v>1</v>
      </c>
      <c r="K83" t="s">
        <v>661</v>
      </c>
      <c r="L83" t="s">
        <v>647</v>
      </c>
      <c r="M83">
        <v>7</v>
      </c>
      <c r="N83">
        <v>75</v>
      </c>
      <c r="O83" t="s">
        <v>542</v>
      </c>
      <c r="P83" t="s">
        <v>542</v>
      </c>
      <c r="Q83" t="s">
        <v>734</v>
      </c>
      <c r="R83" t="s">
        <v>717</v>
      </c>
      <c r="S83" t="s">
        <v>430</v>
      </c>
      <c r="T83" t="s">
        <v>507</v>
      </c>
      <c r="U83" t="s">
        <v>552</v>
      </c>
      <c r="V83" t="s">
        <v>543</v>
      </c>
      <c r="W83" t="s">
        <v>65</v>
      </c>
      <c r="X83" t="s">
        <v>66</v>
      </c>
      <c r="Y83" t="s">
        <v>66</v>
      </c>
      <c r="Z83">
        <v>7</v>
      </c>
      <c r="AA83">
        <v>3</v>
      </c>
      <c r="AB83">
        <v>6</v>
      </c>
      <c r="AC83">
        <v>5</v>
      </c>
      <c r="AD83">
        <v>5</v>
      </c>
      <c r="AE83">
        <v>2</v>
      </c>
      <c r="AF83">
        <v>6</v>
      </c>
      <c r="AG83">
        <v>7</v>
      </c>
      <c r="AH83">
        <v>5</v>
      </c>
      <c r="AI83">
        <v>3</v>
      </c>
      <c r="AJ83">
        <v>6</v>
      </c>
      <c r="AK83">
        <v>6</v>
      </c>
      <c r="AL83">
        <v>5</v>
      </c>
      <c r="AM83">
        <v>5</v>
      </c>
      <c r="AN83">
        <v>2</v>
      </c>
      <c r="AO83">
        <v>2</v>
      </c>
      <c r="AP83">
        <v>5</v>
      </c>
      <c r="AQ83">
        <v>5</v>
      </c>
      <c r="AR83">
        <v>3</v>
      </c>
      <c r="AS83">
        <v>5</v>
      </c>
      <c r="AT83">
        <v>6</v>
      </c>
      <c r="AU83">
        <v>5</v>
      </c>
      <c r="AV83">
        <v>2</v>
      </c>
      <c r="AW83">
        <v>6</v>
      </c>
      <c r="AX83">
        <v>2</v>
      </c>
      <c r="AY83" cm="1">
        <f t="array" ref="AY83">_xlfn.IFS(AZ83="Positive",1, AZ83="Negative",1, AZ83="Neutral",0)</f>
        <v>0</v>
      </c>
      <c r="AZ83" t="str" cm="1">
        <f t="array" ref="AZ83">_xlfn.IFS(AX83=1,"Positive",AX83=2,"Neutral",AX83=3,"Negative")</f>
        <v>Neutral</v>
      </c>
      <c r="BA83">
        <v>6</v>
      </c>
      <c r="BB83">
        <v>0</v>
      </c>
      <c r="BC83" s="3">
        <v>5</v>
      </c>
      <c r="BD83" s="3">
        <v>0</v>
      </c>
      <c r="BE83" s="3">
        <v>1</v>
      </c>
      <c r="BF83" s="3">
        <v>0</v>
      </c>
      <c r="BG83" s="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 t="s">
        <v>567</v>
      </c>
      <c r="BT83" t="s">
        <v>475</v>
      </c>
      <c r="BU83" t="s">
        <v>569</v>
      </c>
      <c r="BV83" t="s">
        <v>476</v>
      </c>
    </row>
    <row r="84" spans="1:74" s="1" customFormat="1" hidden="1" x14ac:dyDescent="0.2">
      <c r="A84">
        <v>86</v>
      </c>
      <c r="B84">
        <v>86</v>
      </c>
      <c r="C84" t="s">
        <v>163</v>
      </c>
      <c r="D84"/>
      <c r="E84" t="s">
        <v>71</v>
      </c>
      <c r="F84">
        <v>10</v>
      </c>
      <c r="G84">
        <v>2000</v>
      </c>
      <c r="H84">
        <v>22</v>
      </c>
      <c r="I84" t="s">
        <v>164</v>
      </c>
      <c r="J84">
        <v>3</v>
      </c>
      <c r="K84" t="s">
        <v>694</v>
      </c>
      <c r="L84" t="s">
        <v>688</v>
      </c>
      <c r="M84">
        <v>5</v>
      </c>
      <c r="N84">
        <v>63</v>
      </c>
      <c r="O84" t="s">
        <v>353</v>
      </c>
      <c r="P84" t="s">
        <v>307</v>
      </c>
      <c r="Q84" t="s">
        <v>774</v>
      </c>
      <c r="R84" t="s">
        <v>768</v>
      </c>
      <c r="S84" t="s">
        <v>318</v>
      </c>
      <c r="T84" t="s">
        <v>477</v>
      </c>
      <c r="U84" t="s">
        <v>358</v>
      </c>
      <c r="V84" t="s">
        <v>312</v>
      </c>
      <c r="W84" t="s">
        <v>65</v>
      </c>
      <c r="X84" t="s">
        <v>66</v>
      </c>
      <c r="Y84" t="s">
        <v>66</v>
      </c>
      <c r="Z84">
        <v>7</v>
      </c>
      <c r="AA84">
        <v>7</v>
      </c>
      <c r="AB84">
        <v>7</v>
      </c>
      <c r="AC84">
        <v>7</v>
      </c>
      <c r="AD84">
        <v>6</v>
      </c>
      <c r="AE84">
        <v>7</v>
      </c>
      <c r="AF84">
        <v>1</v>
      </c>
      <c r="AG84">
        <v>1</v>
      </c>
      <c r="AH84">
        <v>7</v>
      </c>
      <c r="AI84">
        <v>7</v>
      </c>
      <c r="AJ84">
        <v>1</v>
      </c>
      <c r="AK84">
        <v>7</v>
      </c>
      <c r="AL84">
        <v>4</v>
      </c>
      <c r="AM84">
        <v>6</v>
      </c>
      <c r="AN84">
        <v>144</v>
      </c>
      <c r="AO84">
        <v>6</v>
      </c>
      <c r="AP84">
        <v>1</v>
      </c>
      <c r="AQ84">
        <v>4</v>
      </c>
      <c r="AR84">
        <v>7</v>
      </c>
      <c r="AS84">
        <v>6</v>
      </c>
      <c r="AT84">
        <v>7</v>
      </c>
      <c r="AU84">
        <v>7</v>
      </c>
      <c r="AV84">
        <v>7</v>
      </c>
      <c r="AW84">
        <v>7</v>
      </c>
      <c r="AX84">
        <v>1</v>
      </c>
      <c r="AY84" cm="1">
        <f t="array" ref="AY84">_xlfn.IFS(AZ84="Positive",1, AZ84="Negative",1, AZ84="Neutral",0)</f>
        <v>1</v>
      </c>
      <c r="AZ84" t="str" cm="1">
        <f t="array" ref="AZ84">_xlfn.IFS(AX84=1,"Positive",AX84=2,"Neutral",AX84=3,"Negative")</f>
        <v>Positive</v>
      </c>
      <c r="BA84">
        <v>15</v>
      </c>
      <c r="BB84">
        <v>1</v>
      </c>
      <c r="BC84" s="3">
        <v>11</v>
      </c>
      <c r="BD84" s="3">
        <v>0</v>
      </c>
      <c r="BE84" s="3">
        <v>1</v>
      </c>
      <c r="BF84" s="3">
        <v>3</v>
      </c>
      <c r="BG84" s="3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 t="s">
        <v>295</v>
      </c>
      <c r="BT84" t="s">
        <v>480</v>
      </c>
      <c r="BU84" t="s">
        <v>299</v>
      </c>
      <c r="BV84" t="s">
        <v>482</v>
      </c>
    </row>
    <row r="85" spans="1:74" s="1" customFormat="1" hidden="1" x14ac:dyDescent="0.2">
      <c r="A85">
        <v>87</v>
      </c>
      <c r="B85">
        <v>87</v>
      </c>
      <c r="C85" t="s">
        <v>165</v>
      </c>
      <c r="D85"/>
      <c r="E85" t="s">
        <v>68</v>
      </c>
      <c r="F85">
        <v>8</v>
      </c>
      <c r="G85">
        <v>1999</v>
      </c>
      <c r="H85">
        <v>23</v>
      </c>
      <c r="I85" t="s">
        <v>64</v>
      </c>
      <c r="J85">
        <v>1</v>
      </c>
      <c r="K85" t="s">
        <v>678</v>
      </c>
      <c r="L85" t="s">
        <v>654</v>
      </c>
      <c r="M85">
        <v>14</v>
      </c>
      <c r="N85">
        <v>57</v>
      </c>
      <c r="O85">
        <v>7</v>
      </c>
      <c r="P85">
        <v>7</v>
      </c>
      <c r="Q85" t="s">
        <v>757</v>
      </c>
      <c r="R85" t="s">
        <v>728</v>
      </c>
      <c r="S85" t="s">
        <v>550</v>
      </c>
      <c r="T85" t="s">
        <v>575</v>
      </c>
      <c r="U85" t="s">
        <v>508</v>
      </c>
      <c r="V85" t="s">
        <v>594</v>
      </c>
      <c r="W85" t="s">
        <v>65</v>
      </c>
      <c r="X85" t="s">
        <v>66</v>
      </c>
      <c r="Y85" t="s">
        <v>66</v>
      </c>
      <c r="Z85">
        <v>7</v>
      </c>
      <c r="AA85">
        <v>7</v>
      </c>
      <c r="AB85">
        <v>7</v>
      </c>
      <c r="AC85">
        <v>6</v>
      </c>
      <c r="AD85">
        <v>2</v>
      </c>
      <c r="AE85">
        <v>6</v>
      </c>
      <c r="AF85">
        <v>1</v>
      </c>
      <c r="AG85">
        <v>1</v>
      </c>
      <c r="AH85">
        <v>7</v>
      </c>
      <c r="AI85">
        <v>4</v>
      </c>
      <c r="AJ85">
        <v>2</v>
      </c>
      <c r="AK85">
        <v>6</v>
      </c>
      <c r="AL85">
        <v>4</v>
      </c>
      <c r="AM85">
        <v>2</v>
      </c>
      <c r="AN85">
        <v>0</v>
      </c>
      <c r="AO85">
        <v>7</v>
      </c>
      <c r="AP85">
        <v>5</v>
      </c>
      <c r="AQ85">
        <v>6</v>
      </c>
      <c r="AR85">
        <v>7</v>
      </c>
      <c r="AS85">
        <v>7</v>
      </c>
      <c r="AT85">
        <v>7</v>
      </c>
      <c r="AU85">
        <v>7</v>
      </c>
      <c r="AV85">
        <v>7</v>
      </c>
      <c r="AW85">
        <v>7</v>
      </c>
      <c r="AX85">
        <v>2</v>
      </c>
      <c r="AY85" cm="1">
        <f t="array" ref="AY85">_xlfn.IFS(AZ85="Positive",1, AZ85="Negative",1, AZ85="Neutral",0)</f>
        <v>0</v>
      </c>
      <c r="AZ85" t="str" cm="1">
        <f t="array" ref="AZ85">_xlfn.IFS(AX85=1,"Positive",AX85=2,"Neutral",AX85=3,"Negative")</f>
        <v>Neutral</v>
      </c>
      <c r="BA85">
        <v>15</v>
      </c>
      <c r="BB85">
        <v>0</v>
      </c>
      <c r="BC85" s="3">
        <v>9</v>
      </c>
      <c r="BD85" s="3">
        <v>0</v>
      </c>
      <c r="BE85" s="3">
        <v>1</v>
      </c>
      <c r="BF85" s="3">
        <v>3</v>
      </c>
      <c r="BG85" s="3">
        <v>2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 t="s">
        <v>405</v>
      </c>
      <c r="BT85" t="s">
        <v>276</v>
      </c>
      <c r="BU85" t="s">
        <v>406</v>
      </c>
      <c r="BV85" t="s">
        <v>280</v>
      </c>
    </row>
    <row r="86" spans="1:74" s="1" customFormat="1" hidden="1" x14ac:dyDescent="0.2">
      <c r="A86">
        <v>88</v>
      </c>
      <c r="B86">
        <v>88</v>
      </c>
      <c r="C86" t="s">
        <v>166</v>
      </c>
      <c r="D86"/>
      <c r="E86" t="s">
        <v>82</v>
      </c>
      <c r="F86">
        <v>1</v>
      </c>
      <c r="G86">
        <v>2000</v>
      </c>
      <c r="H86">
        <v>22</v>
      </c>
      <c r="I86" t="s">
        <v>64</v>
      </c>
      <c r="J86">
        <v>1</v>
      </c>
      <c r="K86" t="s">
        <v>644</v>
      </c>
      <c r="L86" t="s">
        <v>679</v>
      </c>
      <c r="M86">
        <v>11</v>
      </c>
      <c r="N86">
        <v>59</v>
      </c>
      <c r="O86" t="s">
        <v>394</v>
      </c>
      <c r="P86" t="s">
        <v>481</v>
      </c>
      <c r="Q86" t="s">
        <v>714</v>
      </c>
      <c r="R86" t="s">
        <v>758</v>
      </c>
      <c r="S86" t="s">
        <v>514</v>
      </c>
      <c r="T86" t="s">
        <v>341</v>
      </c>
      <c r="U86" t="s">
        <v>478</v>
      </c>
      <c r="V86" t="s">
        <v>483</v>
      </c>
      <c r="W86" t="s">
        <v>65</v>
      </c>
      <c r="X86" t="s">
        <v>66</v>
      </c>
      <c r="Y86" t="s">
        <v>66</v>
      </c>
      <c r="Z86">
        <v>7</v>
      </c>
      <c r="AA86">
        <v>7</v>
      </c>
      <c r="AB86">
        <v>7</v>
      </c>
      <c r="AC86">
        <v>6</v>
      </c>
      <c r="AD86">
        <v>4</v>
      </c>
      <c r="AE86">
        <v>6</v>
      </c>
      <c r="AF86">
        <v>2</v>
      </c>
      <c r="AG86">
        <v>1</v>
      </c>
      <c r="AH86">
        <v>5</v>
      </c>
      <c r="AI86">
        <v>1</v>
      </c>
      <c r="AJ86">
        <v>7</v>
      </c>
      <c r="AK86">
        <v>4</v>
      </c>
      <c r="AL86">
        <v>3</v>
      </c>
      <c r="AM86">
        <v>5</v>
      </c>
      <c r="AN86">
        <v>61</v>
      </c>
      <c r="AO86">
        <v>3</v>
      </c>
      <c r="AP86">
        <v>5</v>
      </c>
      <c r="AQ86">
        <v>4</v>
      </c>
      <c r="AR86">
        <v>7</v>
      </c>
      <c r="AS86">
        <v>7</v>
      </c>
      <c r="AT86">
        <v>7</v>
      </c>
      <c r="AU86">
        <v>7</v>
      </c>
      <c r="AV86">
        <v>7</v>
      </c>
      <c r="AW86">
        <v>7</v>
      </c>
      <c r="AX86">
        <v>2</v>
      </c>
      <c r="AY86" cm="1">
        <f t="array" ref="AY86">_xlfn.IFS(AZ86="Positive",1, AZ86="Negative",1, AZ86="Neutral",0)</f>
        <v>0</v>
      </c>
      <c r="AZ86" t="str" cm="1">
        <f t="array" ref="AZ86">_xlfn.IFS(AX86=1,"Positive",AX86=2,"Neutral",AX86=3,"Negative")</f>
        <v>Neutral</v>
      </c>
      <c r="BA86">
        <v>13</v>
      </c>
      <c r="BB86">
        <v>3</v>
      </c>
      <c r="BC86" s="3">
        <v>6</v>
      </c>
      <c r="BD86" s="3">
        <v>0</v>
      </c>
      <c r="BE86" s="3">
        <v>2</v>
      </c>
      <c r="BF86" s="3">
        <v>5</v>
      </c>
      <c r="BG86" s="3">
        <v>0</v>
      </c>
      <c r="BH86">
        <v>0</v>
      </c>
      <c r="BI86">
        <v>0</v>
      </c>
      <c r="BJ86">
        <v>1</v>
      </c>
      <c r="BK86">
        <v>0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</v>
      </c>
      <c r="BS86" t="s">
        <v>296</v>
      </c>
      <c r="BT86" t="s">
        <v>595</v>
      </c>
      <c r="BU86" t="s">
        <v>362</v>
      </c>
      <c r="BV86" t="s">
        <v>596</v>
      </c>
    </row>
    <row r="87" spans="1:74" s="1" customFormat="1" x14ac:dyDescent="0.2">
      <c r="A87">
        <v>89</v>
      </c>
      <c r="B87">
        <v>89</v>
      </c>
      <c r="C87" t="s">
        <v>167</v>
      </c>
      <c r="D87"/>
      <c r="E87" t="s">
        <v>88</v>
      </c>
      <c r="F87">
        <v>1</v>
      </c>
      <c r="G87">
        <v>2000</v>
      </c>
      <c r="H87">
        <v>22</v>
      </c>
      <c r="I87" t="s">
        <v>64</v>
      </c>
      <c r="J87">
        <v>1</v>
      </c>
      <c r="K87" t="s">
        <v>655</v>
      </c>
      <c r="L87" t="s">
        <v>647</v>
      </c>
      <c r="M87">
        <v>4</v>
      </c>
      <c r="N87">
        <v>69</v>
      </c>
      <c r="O87" t="s">
        <v>325</v>
      </c>
      <c r="P87" t="s">
        <v>307</v>
      </c>
      <c r="Q87" t="s">
        <v>725</v>
      </c>
      <c r="R87" t="s">
        <v>717</v>
      </c>
      <c r="S87" t="s">
        <v>396</v>
      </c>
      <c r="T87" t="s">
        <v>357</v>
      </c>
      <c r="U87" t="s">
        <v>597</v>
      </c>
      <c r="V87" t="s">
        <v>312</v>
      </c>
      <c r="W87" t="s">
        <v>65</v>
      </c>
      <c r="X87" t="s">
        <v>66</v>
      </c>
      <c r="Y87" t="s">
        <v>66</v>
      </c>
      <c r="Z87">
        <v>7</v>
      </c>
      <c r="AA87">
        <v>7</v>
      </c>
      <c r="AB87">
        <v>7</v>
      </c>
      <c r="AC87">
        <v>5</v>
      </c>
      <c r="AD87">
        <v>3</v>
      </c>
      <c r="AE87">
        <v>1</v>
      </c>
      <c r="AF87">
        <v>5</v>
      </c>
      <c r="AG87">
        <v>1</v>
      </c>
      <c r="AH87">
        <v>7</v>
      </c>
      <c r="AI87">
        <v>7</v>
      </c>
      <c r="AJ87">
        <v>1</v>
      </c>
      <c r="AK87">
        <v>5</v>
      </c>
      <c r="AL87">
        <v>4</v>
      </c>
      <c r="AM87">
        <v>7</v>
      </c>
      <c r="AN87">
        <v>96</v>
      </c>
      <c r="AO87">
        <v>1</v>
      </c>
      <c r="AP87">
        <v>1</v>
      </c>
      <c r="AQ87">
        <v>4</v>
      </c>
      <c r="AR87">
        <v>3</v>
      </c>
      <c r="AS87">
        <v>5</v>
      </c>
      <c r="AT87">
        <v>2</v>
      </c>
      <c r="AU87">
        <v>7</v>
      </c>
      <c r="AV87">
        <v>4</v>
      </c>
      <c r="AW87">
        <v>7</v>
      </c>
      <c r="AX87">
        <v>1</v>
      </c>
      <c r="AY87" cm="1">
        <f t="array" ref="AY87">_xlfn.IFS(AZ87="Positive",1, AZ87="Negative",1, AZ87="Neutral",0)</f>
        <v>1</v>
      </c>
      <c r="AZ87" t="str" cm="1">
        <f t="array" ref="AZ87">_xlfn.IFS(AX87=1,"Positive",AX87=2,"Neutral",AX87=3,"Negative")</f>
        <v>Positive</v>
      </c>
      <c r="BA87">
        <v>0</v>
      </c>
      <c r="BB87">
        <v>1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 t="s">
        <v>567</v>
      </c>
      <c r="BT87" t="s">
        <v>475</v>
      </c>
      <c r="BU87" t="s">
        <v>569</v>
      </c>
      <c r="BV87" t="s">
        <v>476</v>
      </c>
    </row>
    <row r="88" spans="1:74" s="1" customFormat="1" hidden="1" x14ac:dyDescent="0.2">
      <c r="A88">
        <v>90</v>
      </c>
      <c r="B88">
        <v>90</v>
      </c>
      <c r="C88" t="s">
        <v>168</v>
      </c>
      <c r="D88"/>
      <c r="E88" t="s">
        <v>88</v>
      </c>
      <c r="F88">
        <v>18</v>
      </c>
      <c r="G88">
        <v>1999</v>
      </c>
      <c r="H88">
        <v>23</v>
      </c>
      <c r="I88" t="s">
        <v>64</v>
      </c>
      <c r="J88">
        <v>1</v>
      </c>
      <c r="K88" t="s">
        <v>637</v>
      </c>
      <c r="L88" t="s">
        <v>647</v>
      </c>
      <c r="M88">
        <v>16</v>
      </c>
      <c r="N88">
        <v>53</v>
      </c>
      <c r="O88" t="s">
        <v>598</v>
      </c>
      <c r="P88" t="s">
        <v>481</v>
      </c>
      <c r="Q88" t="s">
        <v>706</v>
      </c>
      <c r="R88" t="s">
        <v>717</v>
      </c>
      <c r="S88" t="s">
        <v>588</v>
      </c>
      <c r="T88" t="s">
        <v>522</v>
      </c>
      <c r="U88" t="s">
        <v>599</v>
      </c>
      <c r="V88" t="s">
        <v>483</v>
      </c>
      <c r="W88" t="s">
        <v>65</v>
      </c>
      <c r="X88" t="s">
        <v>66</v>
      </c>
      <c r="Y88" t="s">
        <v>66</v>
      </c>
      <c r="Z88">
        <v>7</v>
      </c>
      <c r="AA88">
        <v>2</v>
      </c>
      <c r="AB88">
        <v>4</v>
      </c>
      <c r="AC88">
        <v>5</v>
      </c>
      <c r="AD88">
        <v>1</v>
      </c>
      <c r="AE88">
        <v>2</v>
      </c>
      <c r="AF88">
        <v>2</v>
      </c>
      <c r="AG88">
        <v>6</v>
      </c>
      <c r="AH88">
        <v>1</v>
      </c>
      <c r="AI88">
        <v>1</v>
      </c>
      <c r="AJ88">
        <v>6</v>
      </c>
      <c r="AK88">
        <v>4</v>
      </c>
      <c r="AL88">
        <v>5</v>
      </c>
      <c r="AM88">
        <v>3</v>
      </c>
      <c r="AN88">
        <v>47</v>
      </c>
      <c r="AO88">
        <v>1</v>
      </c>
      <c r="AP88">
        <v>6</v>
      </c>
      <c r="AQ88">
        <v>4</v>
      </c>
      <c r="AR88">
        <v>2</v>
      </c>
      <c r="AS88">
        <v>4</v>
      </c>
      <c r="AT88">
        <v>5</v>
      </c>
      <c r="AU88">
        <v>4</v>
      </c>
      <c r="AV88">
        <v>4</v>
      </c>
      <c r="AW88">
        <v>4</v>
      </c>
      <c r="AX88">
        <v>3</v>
      </c>
      <c r="AY88" cm="1">
        <f t="array" ref="AY88">_xlfn.IFS(AZ88="Positive",1, AZ88="Negative",1, AZ88="Neutral",0)</f>
        <v>1</v>
      </c>
      <c r="AZ88" t="str" cm="1">
        <f t="array" ref="AZ88">_xlfn.IFS(AX88=1,"Positive",AX88=2,"Neutral",AX88=3,"Negative")</f>
        <v>Negative</v>
      </c>
      <c r="BA88">
        <v>9</v>
      </c>
      <c r="BB88">
        <v>0</v>
      </c>
      <c r="BC88" s="3">
        <v>3</v>
      </c>
      <c r="BD88" s="3">
        <v>0</v>
      </c>
      <c r="BE88" s="3">
        <v>1</v>
      </c>
      <c r="BF88" s="3">
        <v>3</v>
      </c>
      <c r="BG88" s="3">
        <v>2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 t="s">
        <v>285</v>
      </c>
      <c r="BT88" t="s">
        <v>548</v>
      </c>
      <c r="BU88" t="s">
        <v>289</v>
      </c>
      <c r="BV88" t="s">
        <v>549</v>
      </c>
    </row>
    <row r="89" spans="1:74" s="1" customFormat="1" x14ac:dyDescent="0.2">
      <c r="A89">
        <v>91</v>
      </c>
      <c r="B89">
        <v>91</v>
      </c>
      <c r="C89" t="s">
        <v>169</v>
      </c>
      <c r="D89"/>
      <c r="E89" t="s">
        <v>88</v>
      </c>
      <c r="F89">
        <v>15</v>
      </c>
      <c r="G89">
        <v>1999</v>
      </c>
      <c r="H89">
        <v>23</v>
      </c>
      <c r="I89" t="s">
        <v>69</v>
      </c>
      <c r="J89">
        <v>2</v>
      </c>
      <c r="K89" t="s">
        <v>642</v>
      </c>
      <c r="L89" t="s">
        <v>634</v>
      </c>
      <c r="M89">
        <v>19</v>
      </c>
      <c r="N89">
        <v>66</v>
      </c>
      <c r="O89" t="s">
        <v>600</v>
      </c>
      <c r="P89">
        <v>5</v>
      </c>
      <c r="Q89" t="s">
        <v>712</v>
      </c>
      <c r="R89" t="s">
        <v>747</v>
      </c>
      <c r="S89" t="s">
        <v>356</v>
      </c>
      <c r="T89" t="s">
        <v>282</v>
      </c>
      <c r="U89" t="s">
        <v>601</v>
      </c>
      <c r="V89" t="s">
        <v>524</v>
      </c>
      <c r="W89" t="s">
        <v>65</v>
      </c>
      <c r="X89" t="s">
        <v>66</v>
      </c>
      <c r="Y89" t="s">
        <v>66</v>
      </c>
      <c r="Z89">
        <v>7</v>
      </c>
      <c r="AA89">
        <v>5</v>
      </c>
      <c r="AB89">
        <v>6</v>
      </c>
      <c r="AC89">
        <v>5</v>
      </c>
      <c r="AD89">
        <v>1</v>
      </c>
      <c r="AE89">
        <v>5</v>
      </c>
      <c r="AF89">
        <v>1</v>
      </c>
      <c r="AG89">
        <v>2</v>
      </c>
      <c r="AH89">
        <v>6</v>
      </c>
      <c r="AI89">
        <v>6</v>
      </c>
      <c r="AJ89">
        <v>2</v>
      </c>
      <c r="AK89">
        <v>5</v>
      </c>
      <c r="AL89">
        <v>5</v>
      </c>
      <c r="AM89">
        <v>2</v>
      </c>
      <c r="AN89">
        <v>120</v>
      </c>
      <c r="AO89">
        <v>5</v>
      </c>
      <c r="AP89">
        <v>2</v>
      </c>
      <c r="AQ89">
        <v>2</v>
      </c>
      <c r="AR89">
        <v>1</v>
      </c>
      <c r="AS89">
        <v>5</v>
      </c>
      <c r="AT89">
        <v>5</v>
      </c>
      <c r="AU89">
        <v>5</v>
      </c>
      <c r="AV89">
        <v>5</v>
      </c>
      <c r="AW89">
        <v>5</v>
      </c>
      <c r="AX89">
        <v>1</v>
      </c>
      <c r="AY89" cm="1">
        <f t="array" ref="AY89">_xlfn.IFS(AZ89="Positive",1, AZ89="Negative",1, AZ89="Neutral",0)</f>
        <v>1</v>
      </c>
      <c r="AZ89" t="str" cm="1">
        <f t="array" ref="AZ89">_xlfn.IFS(AX89=1,"Positive",AX89=2,"Neutral",AX89=3,"Negative")</f>
        <v>Positive</v>
      </c>
      <c r="BA89">
        <v>0</v>
      </c>
      <c r="BB89">
        <v>2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>
        <v>0</v>
      </c>
      <c r="BI89">
        <v>0</v>
      </c>
      <c r="BJ89">
        <v>1</v>
      </c>
      <c r="BK89">
        <v>0</v>
      </c>
      <c r="BL89">
        <v>1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 t="s">
        <v>492</v>
      </c>
      <c r="BT89" t="s">
        <v>489</v>
      </c>
      <c r="BU89" t="s">
        <v>586</v>
      </c>
      <c r="BV89" t="s">
        <v>512</v>
      </c>
    </row>
    <row r="90" spans="1:74" s="1" customFormat="1" hidden="1" x14ac:dyDescent="0.2">
      <c r="A90">
        <v>92</v>
      </c>
      <c r="B90">
        <v>92</v>
      </c>
      <c r="C90" t="s">
        <v>170</v>
      </c>
      <c r="D90"/>
      <c r="E90" t="s">
        <v>68</v>
      </c>
      <c r="F90">
        <v>24</v>
      </c>
      <c r="G90">
        <v>1999</v>
      </c>
      <c r="H90">
        <v>23</v>
      </c>
      <c r="I90" t="s">
        <v>69</v>
      </c>
      <c r="J90">
        <v>2</v>
      </c>
      <c r="K90" t="s">
        <v>687</v>
      </c>
      <c r="L90" t="s">
        <v>669</v>
      </c>
      <c r="M90">
        <v>6</v>
      </c>
      <c r="N90">
        <v>50</v>
      </c>
      <c r="O90" t="s">
        <v>360</v>
      </c>
      <c r="P90" t="s">
        <v>442</v>
      </c>
      <c r="Q90" t="s">
        <v>767</v>
      </c>
      <c r="R90" t="s">
        <v>745</v>
      </c>
      <c r="S90" t="s">
        <v>403</v>
      </c>
      <c r="T90" t="s">
        <v>538</v>
      </c>
      <c r="U90" t="s">
        <v>365</v>
      </c>
      <c r="V90" t="s">
        <v>602</v>
      </c>
      <c r="W90" t="s">
        <v>65</v>
      </c>
      <c r="X90" t="s">
        <v>66</v>
      </c>
      <c r="Y90" t="s">
        <v>66</v>
      </c>
      <c r="Z90">
        <v>7</v>
      </c>
      <c r="AA90">
        <v>3</v>
      </c>
      <c r="AB90">
        <v>6</v>
      </c>
      <c r="AC90">
        <v>3</v>
      </c>
      <c r="AD90">
        <v>1</v>
      </c>
      <c r="AE90">
        <v>3</v>
      </c>
      <c r="AF90">
        <v>5</v>
      </c>
      <c r="AG90">
        <v>1</v>
      </c>
      <c r="AH90">
        <v>4</v>
      </c>
      <c r="AI90">
        <v>7</v>
      </c>
      <c r="AJ90">
        <v>2</v>
      </c>
      <c r="AK90">
        <v>5</v>
      </c>
      <c r="AL90">
        <v>4</v>
      </c>
      <c r="AM90">
        <v>5</v>
      </c>
      <c r="AN90">
        <v>48</v>
      </c>
      <c r="AO90">
        <v>1</v>
      </c>
      <c r="AP90">
        <v>1</v>
      </c>
      <c r="AQ90">
        <v>3</v>
      </c>
      <c r="AR90">
        <v>1</v>
      </c>
      <c r="AS90">
        <v>5</v>
      </c>
      <c r="AT90">
        <v>4</v>
      </c>
      <c r="AU90">
        <v>4</v>
      </c>
      <c r="AV90">
        <v>7</v>
      </c>
      <c r="AW90">
        <v>6</v>
      </c>
      <c r="AX90">
        <v>1</v>
      </c>
      <c r="AY90" cm="1">
        <f t="array" ref="AY90">_xlfn.IFS(AZ90="Positive",1, AZ90="Negative",1, AZ90="Neutral",0)</f>
        <v>1</v>
      </c>
      <c r="AZ90" t="str" cm="1">
        <f t="array" ref="AZ90">_xlfn.IFS(AX90=1,"Positive",AX90=2,"Neutral",AX90=3,"Negative")</f>
        <v>Positive</v>
      </c>
      <c r="BA90">
        <v>8</v>
      </c>
      <c r="BB90">
        <v>1</v>
      </c>
      <c r="BC90" s="3">
        <v>4</v>
      </c>
      <c r="BD90" s="3">
        <v>2</v>
      </c>
      <c r="BE90" s="3">
        <v>2</v>
      </c>
      <c r="BF90" s="3">
        <v>0</v>
      </c>
      <c r="BG90" s="3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 t="s">
        <v>467</v>
      </c>
      <c r="BT90" t="s">
        <v>475</v>
      </c>
      <c r="BU90" t="s">
        <v>469</v>
      </c>
      <c r="BV90" t="s">
        <v>476</v>
      </c>
    </row>
    <row r="91" spans="1:74" s="1" customFormat="1" hidden="1" x14ac:dyDescent="0.2">
      <c r="A91">
        <v>94</v>
      </c>
      <c r="B91">
        <v>94</v>
      </c>
      <c r="C91" t="s">
        <v>172</v>
      </c>
      <c r="D91"/>
      <c r="E91" t="s">
        <v>80</v>
      </c>
      <c r="F91">
        <v>15</v>
      </c>
      <c r="G91">
        <v>1999</v>
      </c>
      <c r="H91">
        <v>23</v>
      </c>
      <c r="I91" t="s">
        <v>64</v>
      </c>
      <c r="J91">
        <v>1</v>
      </c>
      <c r="K91" t="s">
        <v>655</v>
      </c>
      <c r="L91" t="s">
        <v>665</v>
      </c>
      <c r="M91">
        <v>10</v>
      </c>
      <c r="N91">
        <v>56</v>
      </c>
      <c r="O91" t="s">
        <v>306</v>
      </c>
      <c r="P91" t="s">
        <v>603</v>
      </c>
      <c r="Q91" t="s">
        <v>725</v>
      </c>
      <c r="R91" t="s">
        <v>739</v>
      </c>
      <c r="S91" t="s">
        <v>378</v>
      </c>
      <c r="T91" t="s">
        <v>423</v>
      </c>
      <c r="U91" t="s">
        <v>311</v>
      </c>
      <c r="V91" t="s">
        <v>604</v>
      </c>
      <c r="W91" t="s">
        <v>65</v>
      </c>
      <c r="X91" t="s">
        <v>66</v>
      </c>
      <c r="Y91" t="s">
        <v>66</v>
      </c>
      <c r="Z91">
        <v>7</v>
      </c>
      <c r="AA91">
        <v>6</v>
      </c>
      <c r="AB91">
        <v>7</v>
      </c>
      <c r="AC91">
        <v>7</v>
      </c>
      <c r="AD91">
        <v>1</v>
      </c>
      <c r="AE91">
        <v>1</v>
      </c>
      <c r="AF91">
        <v>1</v>
      </c>
      <c r="AG91">
        <v>1</v>
      </c>
      <c r="AH91">
        <v>5</v>
      </c>
      <c r="AI91">
        <v>6</v>
      </c>
      <c r="AJ91">
        <v>1</v>
      </c>
      <c r="AK91">
        <v>6</v>
      </c>
      <c r="AL91">
        <v>6</v>
      </c>
      <c r="AM91">
        <v>5</v>
      </c>
      <c r="AN91">
        <v>84</v>
      </c>
      <c r="AO91">
        <v>3</v>
      </c>
      <c r="AP91">
        <v>1</v>
      </c>
      <c r="AQ91">
        <v>3</v>
      </c>
      <c r="AR91">
        <v>5</v>
      </c>
      <c r="AS91">
        <v>5</v>
      </c>
      <c r="AT91">
        <v>5</v>
      </c>
      <c r="AU91">
        <v>5</v>
      </c>
      <c r="AV91">
        <v>5</v>
      </c>
      <c r="AW91">
        <v>7</v>
      </c>
      <c r="AX91">
        <v>1</v>
      </c>
      <c r="AY91" cm="1">
        <f t="array" ref="AY91">_xlfn.IFS(AZ91="Positive",1, AZ91="Negative",1, AZ91="Neutral",0)</f>
        <v>1</v>
      </c>
      <c r="AZ91" t="str" cm="1">
        <f t="array" ref="AZ91">_xlfn.IFS(AX91=1,"Positive",AX91=2,"Neutral",AX91=3,"Negative")</f>
        <v>Positive</v>
      </c>
      <c r="BA91">
        <v>6</v>
      </c>
      <c r="BB91">
        <v>0</v>
      </c>
      <c r="BC91" s="3">
        <v>1</v>
      </c>
      <c r="BD91" s="3">
        <v>0</v>
      </c>
      <c r="BE91" s="3">
        <v>3</v>
      </c>
      <c r="BF91" s="3">
        <v>2</v>
      </c>
      <c r="BG91" s="3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4</v>
      </c>
      <c r="BT91" t="s">
        <v>322</v>
      </c>
      <c r="BU91" t="s">
        <v>370</v>
      </c>
      <c r="BV91" t="s">
        <v>422</v>
      </c>
    </row>
    <row r="92" spans="1:74" s="1" customFormat="1" hidden="1" x14ac:dyDescent="0.2">
      <c r="A92">
        <v>95</v>
      </c>
      <c r="B92">
        <v>95</v>
      </c>
      <c r="C92" t="s">
        <v>173</v>
      </c>
      <c r="D92"/>
      <c r="E92" t="s">
        <v>71</v>
      </c>
      <c r="F92">
        <v>29</v>
      </c>
      <c r="G92">
        <v>1999</v>
      </c>
      <c r="H92">
        <v>23</v>
      </c>
      <c r="I92" t="s">
        <v>64</v>
      </c>
      <c r="J92">
        <v>1</v>
      </c>
      <c r="K92" t="s">
        <v>696</v>
      </c>
      <c r="L92" t="s">
        <v>697</v>
      </c>
      <c r="M92">
        <v>8</v>
      </c>
      <c r="N92">
        <v>54</v>
      </c>
      <c r="O92" t="s">
        <v>485</v>
      </c>
      <c r="P92" t="s">
        <v>338</v>
      </c>
      <c r="Q92" t="s">
        <v>775</v>
      </c>
      <c r="R92" t="s">
        <v>776</v>
      </c>
      <c r="S92" t="s">
        <v>291</v>
      </c>
      <c r="T92" t="s">
        <v>455</v>
      </c>
      <c r="U92" t="s">
        <v>488</v>
      </c>
      <c r="V92" t="s">
        <v>504</v>
      </c>
      <c r="W92" t="s">
        <v>65</v>
      </c>
      <c r="X92" t="s">
        <v>66</v>
      </c>
      <c r="Y92" t="s">
        <v>66</v>
      </c>
      <c r="Z92">
        <v>7</v>
      </c>
      <c r="AA92">
        <v>4</v>
      </c>
      <c r="AB92">
        <v>6</v>
      </c>
      <c r="AC92">
        <v>4</v>
      </c>
      <c r="AD92">
        <v>2</v>
      </c>
      <c r="AE92">
        <v>5</v>
      </c>
      <c r="AF92">
        <v>2</v>
      </c>
      <c r="AG92">
        <v>3</v>
      </c>
      <c r="AH92">
        <v>5</v>
      </c>
      <c r="AI92">
        <v>5</v>
      </c>
      <c r="AJ92">
        <v>2</v>
      </c>
      <c r="AK92">
        <v>4</v>
      </c>
      <c r="AL92">
        <v>4</v>
      </c>
      <c r="AM92">
        <v>2</v>
      </c>
      <c r="AN92">
        <v>75</v>
      </c>
      <c r="AO92">
        <v>3</v>
      </c>
      <c r="AP92">
        <v>2</v>
      </c>
      <c r="AQ92">
        <v>2</v>
      </c>
      <c r="AR92">
        <v>4</v>
      </c>
      <c r="AS92">
        <v>5</v>
      </c>
      <c r="AT92">
        <v>4</v>
      </c>
      <c r="AU92">
        <v>3</v>
      </c>
      <c r="AV92">
        <v>5</v>
      </c>
      <c r="AW92">
        <v>5</v>
      </c>
      <c r="AX92">
        <v>1</v>
      </c>
      <c r="AY92" cm="1">
        <f t="array" ref="AY92">_xlfn.IFS(AZ92="Positive",1, AZ92="Negative",1, AZ92="Neutral",0)</f>
        <v>1</v>
      </c>
      <c r="AZ92" t="str" cm="1">
        <f t="array" ref="AZ92">_xlfn.IFS(AX92=1,"Positive",AX92=2,"Neutral",AX92=3,"Negative")</f>
        <v>Positive</v>
      </c>
      <c r="BA92">
        <v>9</v>
      </c>
      <c r="BB92">
        <v>0</v>
      </c>
      <c r="BC92" s="3">
        <v>6</v>
      </c>
      <c r="BD92" s="3">
        <v>1</v>
      </c>
      <c r="BE92" s="3">
        <v>1</v>
      </c>
      <c r="BF92" s="3">
        <v>1</v>
      </c>
      <c r="BG92" s="3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2</v>
      </c>
      <c r="BT92" t="s">
        <v>605</v>
      </c>
      <c r="BU92" t="s">
        <v>333</v>
      </c>
      <c r="BV92" t="s">
        <v>606</v>
      </c>
    </row>
    <row r="93" spans="1:74" s="1" customFormat="1" hidden="1" x14ac:dyDescent="0.2">
      <c r="A93">
        <v>96</v>
      </c>
      <c r="B93">
        <v>96</v>
      </c>
      <c r="C93" t="s">
        <v>174</v>
      </c>
      <c r="D93"/>
      <c r="E93" t="s">
        <v>71</v>
      </c>
      <c r="F93">
        <v>22</v>
      </c>
      <c r="G93">
        <v>1999</v>
      </c>
      <c r="H93">
        <v>23</v>
      </c>
      <c r="I93" t="s">
        <v>64</v>
      </c>
      <c r="J93">
        <v>1</v>
      </c>
      <c r="K93" t="s">
        <v>658</v>
      </c>
      <c r="L93" t="s">
        <v>698</v>
      </c>
      <c r="M93">
        <v>2</v>
      </c>
      <c r="N93">
        <v>61</v>
      </c>
      <c r="O93" t="s">
        <v>607</v>
      </c>
      <c r="P93" t="s">
        <v>608</v>
      </c>
      <c r="Q93" t="s">
        <v>729</v>
      </c>
      <c r="R93" t="s">
        <v>777</v>
      </c>
      <c r="S93" t="s">
        <v>281</v>
      </c>
      <c r="T93" t="s">
        <v>292</v>
      </c>
      <c r="U93" t="s">
        <v>609</v>
      </c>
      <c r="V93" t="s">
        <v>610</v>
      </c>
      <c r="W93" t="s">
        <v>65</v>
      </c>
      <c r="X93" t="s">
        <v>66</v>
      </c>
      <c r="Y93" t="s">
        <v>66</v>
      </c>
      <c r="Z93">
        <v>7</v>
      </c>
      <c r="AA93">
        <v>4</v>
      </c>
      <c r="AB93">
        <v>5</v>
      </c>
      <c r="AC93">
        <v>5</v>
      </c>
      <c r="AD93">
        <v>1</v>
      </c>
      <c r="AE93">
        <v>1</v>
      </c>
      <c r="AF93">
        <v>5</v>
      </c>
      <c r="AG93">
        <v>1</v>
      </c>
      <c r="AH93">
        <v>4</v>
      </c>
      <c r="AI93">
        <v>2</v>
      </c>
      <c r="AJ93">
        <v>1</v>
      </c>
      <c r="AK93">
        <v>1</v>
      </c>
      <c r="AL93">
        <v>1</v>
      </c>
      <c r="AM93">
        <v>1</v>
      </c>
      <c r="AN93">
        <v>120</v>
      </c>
      <c r="AO93">
        <v>1</v>
      </c>
      <c r="AP93">
        <v>3</v>
      </c>
      <c r="AQ93">
        <v>3</v>
      </c>
      <c r="AR93">
        <v>2</v>
      </c>
      <c r="AS93">
        <v>5</v>
      </c>
      <c r="AT93">
        <v>3</v>
      </c>
      <c r="AU93">
        <v>4</v>
      </c>
      <c r="AV93">
        <v>3</v>
      </c>
      <c r="AW93">
        <v>4</v>
      </c>
      <c r="AX93">
        <v>2</v>
      </c>
      <c r="AY93" cm="1">
        <f t="array" ref="AY93">_xlfn.IFS(AZ93="Positive",1, AZ93="Negative",1, AZ93="Neutral",0)</f>
        <v>0</v>
      </c>
      <c r="AZ93" t="str" cm="1">
        <f t="array" ref="AZ93">_xlfn.IFS(AX93=1,"Positive",AX93=2,"Neutral",AX93=3,"Negative")</f>
        <v>Neutral</v>
      </c>
      <c r="BA93">
        <v>6</v>
      </c>
      <c r="BB93">
        <v>0</v>
      </c>
      <c r="BC93" s="3">
        <v>5</v>
      </c>
      <c r="BD93" s="3">
        <v>0</v>
      </c>
      <c r="BE93" s="3">
        <v>0</v>
      </c>
      <c r="BF93" s="3">
        <v>0</v>
      </c>
      <c r="BG93" s="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 t="s">
        <v>399</v>
      </c>
      <c r="BT93" t="s">
        <v>559</v>
      </c>
      <c r="BU93" t="s">
        <v>400</v>
      </c>
      <c r="BV93" t="s">
        <v>560</v>
      </c>
    </row>
    <row r="94" spans="1:74" s="1" customFormat="1" hidden="1" x14ac:dyDescent="0.2">
      <c r="A94">
        <v>97</v>
      </c>
      <c r="B94">
        <v>97</v>
      </c>
      <c r="C94" t="s">
        <v>175</v>
      </c>
      <c r="D94"/>
      <c r="E94" t="s">
        <v>93</v>
      </c>
      <c r="F94">
        <v>4</v>
      </c>
      <c r="G94">
        <v>1998</v>
      </c>
      <c r="H94">
        <v>24</v>
      </c>
      <c r="I94" t="s">
        <v>64</v>
      </c>
      <c r="J94">
        <v>1</v>
      </c>
      <c r="K94" t="s">
        <v>699</v>
      </c>
      <c r="L94" t="s">
        <v>680</v>
      </c>
      <c r="M94">
        <v>6</v>
      </c>
      <c r="N94">
        <v>67</v>
      </c>
      <c r="O94">
        <v>6</v>
      </c>
      <c r="P94" t="s">
        <v>611</v>
      </c>
      <c r="Q94" t="s">
        <v>778</v>
      </c>
      <c r="R94" t="s">
        <v>759</v>
      </c>
      <c r="S94" t="s">
        <v>403</v>
      </c>
      <c r="T94" t="s">
        <v>431</v>
      </c>
      <c r="U94" t="s">
        <v>436</v>
      </c>
      <c r="V94" t="s">
        <v>612</v>
      </c>
      <c r="W94" t="s">
        <v>65</v>
      </c>
      <c r="X94" t="s">
        <v>66</v>
      </c>
      <c r="Y94" t="s">
        <v>66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7</v>
      </c>
      <c r="AF94">
        <v>1</v>
      </c>
      <c r="AG94">
        <v>1</v>
      </c>
      <c r="AH94">
        <v>7</v>
      </c>
      <c r="AI94">
        <v>4</v>
      </c>
      <c r="AJ94">
        <v>1</v>
      </c>
      <c r="AK94">
        <v>7</v>
      </c>
      <c r="AL94">
        <v>1</v>
      </c>
      <c r="AM94">
        <v>1</v>
      </c>
      <c r="AN94">
        <v>6</v>
      </c>
      <c r="AO94">
        <v>1</v>
      </c>
      <c r="AP94">
        <v>4</v>
      </c>
      <c r="AQ94">
        <v>1</v>
      </c>
      <c r="AR94">
        <v>7</v>
      </c>
      <c r="AS94">
        <v>7</v>
      </c>
      <c r="AT94">
        <v>7</v>
      </c>
      <c r="AU94">
        <v>7</v>
      </c>
      <c r="AV94">
        <v>7</v>
      </c>
      <c r="AW94">
        <v>7</v>
      </c>
      <c r="AX94">
        <v>2</v>
      </c>
      <c r="AY94" cm="1">
        <f t="array" ref="AY94">_xlfn.IFS(AZ94="Positive",1, AZ94="Negative",1, AZ94="Neutral",0)</f>
        <v>0</v>
      </c>
      <c r="AZ94" t="str" cm="1">
        <f t="array" ref="AZ94">_xlfn.IFS(AX94=1,"Positive",AX94=2,"Neutral",AX94=3,"Negative")</f>
        <v>Neutral</v>
      </c>
      <c r="BA94">
        <v>9</v>
      </c>
      <c r="BB94">
        <v>1</v>
      </c>
      <c r="BC94" s="3">
        <v>5</v>
      </c>
      <c r="BD94" s="3">
        <v>0</v>
      </c>
      <c r="BE94" s="3">
        <v>1</v>
      </c>
      <c r="BF94" s="3">
        <v>3</v>
      </c>
      <c r="BG94" s="3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 t="s">
        <v>296</v>
      </c>
      <c r="BT94">
        <v>1</v>
      </c>
      <c r="BU94" t="s">
        <v>362</v>
      </c>
      <c r="BV94" t="s">
        <v>521</v>
      </c>
    </row>
    <row r="95" spans="1:74" s="1" customFormat="1" hidden="1" x14ac:dyDescent="0.2">
      <c r="A95">
        <v>98</v>
      </c>
      <c r="B95">
        <v>98</v>
      </c>
      <c r="C95" t="s">
        <v>176</v>
      </c>
      <c r="D95"/>
      <c r="E95" t="s">
        <v>76</v>
      </c>
      <c r="F95">
        <v>23</v>
      </c>
      <c r="G95">
        <v>2001</v>
      </c>
      <c r="H95">
        <v>21</v>
      </c>
      <c r="I95" t="s">
        <v>64</v>
      </c>
      <c r="J95">
        <v>1</v>
      </c>
      <c r="K95" t="s">
        <v>456</v>
      </c>
      <c r="L95" t="s">
        <v>645</v>
      </c>
      <c r="M95">
        <v>12</v>
      </c>
      <c r="N95">
        <v>71</v>
      </c>
      <c r="O95" t="s">
        <v>405</v>
      </c>
      <c r="P95" t="s">
        <v>314</v>
      </c>
      <c r="Q95" t="s">
        <v>736</v>
      </c>
      <c r="R95" t="s">
        <v>715</v>
      </c>
      <c r="S95" t="s">
        <v>499</v>
      </c>
      <c r="T95" t="s">
        <v>329</v>
      </c>
      <c r="U95" t="s">
        <v>615</v>
      </c>
      <c r="V95" t="s">
        <v>351</v>
      </c>
      <c r="W95" t="s">
        <v>65</v>
      </c>
      <c r="X95" t="s">
        <v>66</v>
      </c>
      <c r="Y95" t="s">
        <v>66</v>
      </c>
      <c r="Z95">
        <v>7</v>
      </c>
      <c r="AA95">
        <v>7</v>
      </c>
      <c r="AB95">
        <v>7</v>
      </c>
      <c r="AC95">
        <v>3</v>
      </c>
      <c r="AD95">
        <v>1</v>
      </c>
      <c r="AE95">
        <v>1</v>
      </c>
      <c r="AF95">
        <v>1</v>
      </c>
      <c r="AG95">
        <v>1</v>
      </c>
      <c r="AH95">
        <v>7</v>
      </c>
      <c r="AI95">
        <v>7</v>
      </c>
      <c r="AJ95">
        <v>1</v>
      </c>
      <c r="AK95">
        <v>6</v>
      </c>
      <c r="AL95">
        <v>6</v>
      </c>
      <c r="AM95">
        <v>7</v>
      </c>
      <c r="AN95">
        <v>0</v>
      </c>
      <c r="AO95">
        <v>1</v>
      </c>
      <c r="AP95">
        <v>1</v>
      </c>
      <c r="AQ95">
        <v>1</v>
      </c>
      <c r="AR95">
        <v>4</v>
      </c>
      <c r="AS95">
        <v>7</v>
      </c>
      <c r="AT95">
        <v>7</v>
      </c>
      <c r="AU95">
        <v>7</v>
      </c>
      <c r="AV95">
        <v>7</v>
      </c>
      <c r="AW95">
        <v>7</v>
      </c>
      <c r="AX95">
        <v>1</v>
      </c>
      <c r="AY95" cm="1">
        <f t="array" ref="AY95">_xlfn.IFS(AZ95="Positive",1, AZ95="Negative",1, AZ95="Neutral",0)</f>
        <v>1</v>
      </c>
      <c r="AZ95" t="str" cm="1">
        <f t="array" ref="AZ95">_xlfn.IFS(AX95=1,"Positive",AX95=2,"Neutral",AX95=3,"Negative")</f>
        <v>Positive</v>
      </c>
      <c r="BA95">
        <v>8</v>
      </c>
      <c r="BB95">
        <v>3</v>
      </c>
      <c r="BC95" s="3">
        <v>4</v>
      </c>
      <c r="BD95" s="3">
        <v>0</v>
      </c>
      <c r="BE95" s="3">
        <v>2</v>
      </c>
      <c r="BF95" s="3">
        <v>2</v>
      </c>
      <c r="BG95" s="3">
        <v>0</v>
      </c>
      <c r="BH95">
        <v>1</v>
      </c>
      <c r="BI95">
        <v>0</v>
      </c>
      <c r="BJ95">
        <v>2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 t="s">
        <v>613</v>
      </c>
      <c r="BT95" t="s">
        <v>576</v>
      </c>
      <c r="BU95" t="s">
        <v>614</v>
      </c>
      <c r="BV95" t="s">
        <v>577</v>
      </c>
    </row>
    <row r="96" spans="1:74" s="1" customFormat="1" x14ac:dyDescent="0.2">
      <c r="A96">
        <v>99</v>
      </c>
      <c r="B96">
        <v>99</v>
      </c>
      <c r="C96" t="s">
        <v>177</v>
      </c>
      <c r="D96"/>
      <c r="E96" t="s">
        <v>97</v>
      </c>
      <c r="F96">
        <v>14</v>
      </c>
      <c r="G96">
        <v>2001</v>
      </c>
      <c r="H96">
        <v>21</v>
      </c>
      <c r="I96" t="s">
        <v>64</v>
      </c>
      <c r="J96">
        <v>1</v>
      </c>
      <c r="K96" t="s">
        <v>655</v>
      </c>
      <c r="L96" t="s">
        <v>670</v>
      </c>
      <c r="M96">
        <v>8</v>
      </c>
      <c r="N96">
        <v>49</v>
      </c>
      <c r="O96" t="s">
        <v>600</v>
      </c>
      <c r="P96" t="s">
        <v>277</v>
      </c>
      <c r="Q96" t="s">
        <v>725</v>
      </c>
      <c r="R96" t="s">
        <v>746</v>
      </c>
      <c r="S96" t="s">
        <v>291</v>
      </c>
      <c r="T96" t="s">
        <v>491</v>
      </c>
      <c r="U96" t="s">
        <v>601</v>
      </c>
      <c r="V96" t="s">
        <v>535</v>
      </c>
      <c r="W96" t="s">
        <v>65</v>
      </c>
      <c r="X96" t="s">
        <v>66</v>
      </c>
      <c r="Y96" t="s">
        <v>66</v>
      </c>
      <c r="Z96">
        <v>7</v>
      </c>
      <c r="AA96">
        <v>3</v>
      </c>
      <c r="AB96">
        <v>6</v>
      </c>
      <c r="AC96">
        <v>2</v>
      </c>
      <c r="AD96">
        <v>1</v>
      </c>
      <c r="AE96">
        <v>2</v>
      </c>
      <c r="AF96">
        <v>1</v>
      </c>
      <c r="AG96">
        <v>3</v>
      </c>
      <c r="AH96">
        <v>4</v>
      </c>
      <c r="AI96">
        <v>4</v>
      </c>
      <c r="AJ96">
        <v>4</v>
      </c>
      <c r="AK96">
        <v>4</v>
      </c>
      <c r="AL96">
        <v>2</v>
      </c>
      <c r="AM96">
        <v>1</v>
      </c>
      <c r="AN96">
        <v>226</v>
      </c>
      <c r="AO96">
        <v>4</v>
      </c>
      <c r="AP96">
        <v>4</v>
      </c>
      <c r="AQ96">
        <v>1</v>
      </c>
      <c r="AR96">
        <v>2</v>
      </c>
      <c r="AS96">
        <v>5</v>
      </c>
      <c r="AT96">
        <v>4</v>
      </c>
      <c r="AU96">
        <v>6</v>
      </c>
      <c r="AV96">
        <v>6</v>
      </c>
      <c r="AW96">
        <v>3</v>
      </c>
      <c r="AX96">
        <v>2</v>
      </c>
      <c r="AY96" cm="1">
        <f t="array" ref="AY96">_xlfn.IFS(AZ96="Positive",1, AZ96="Negative",1, AZ96="Neutral",0)</f>
        <v>0</v>
      </c>
      <c r="AZ96" t="str" cm="1">
        <f t="array" ref="AZ96">_xlfn.IFS(AX96=1,"Positive",AX96=2,"Neutral",AX96=3,"Negative")</f>
        <v>Neutral</v>
      </c>
      <c r="BA96">
        <v>0</v>
      </c>
      <c r="BB96">
        <v>3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>
        <v>0</v>
      </c>
      <c r="BI96">
        <v>0</v>
      </c>
      <c r="BJ96">
        <v>1</v>
      </c>
      <c r="BK96">
        <v>0</v>
      </c>
      <c r="BL96">
        <v>2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4</v>
      </c>
      <c r="BT96" t="s">
        <v>295</v>
      </c>
      <c r="BU96" t="s">
        <v>370</v>
      </c>
      <c r="BV96" t="s">
        <v>473</v>
      </c>
    </row>
    <row r="97" spans="1:74" s="1" customFormat="1" x14ac:dyDescent="0.2">
      <c r="A97">
        <v>100</v>
      </c>
      <c r="B97">
        <v>100</v>
      </c>
      <c r="C97" t="s">
        <v>178</v>
      </c>
      <c r="D97"/>
      <c r="E97" t="s">
        <v>88</v>
      </c>
      <c r="F97">
        <v>28</v>
      </c>
      <c r="G97">
        <v>1998</v>
      </c>
      <c r="H97">
        <v>24</v>
      </c>
      <c r="I97" t="s">
        <v>64</v>
      </c>
      <c r="J97">
        <v>1</v>
      </c>
      <c r="K97" t="s">
        <v>700</v>
      </c>
      <c r="L97" t="s">
        <v>645</v>
      </c>
      <c r="M97">
        <v>6</v>
      </c>
      <c r="N97">
        <v>47</v>
      </c>
      <c r="O97" t="s">
        <v>354</v>
      </c>
      <c r="P97" t="s">
        <v>361</v>
      </c>
      <c r="Q97" t="s">
        <v>779</v>
      </c>
      <c r="R97" t="s">
        <v>715</v>
      </c>
      <c r="S97" t="s">
        <v>403</v>
      </c>
      <c r="T97" t="s">
        <v>401</v>
      </c>
      <c r="U97" t="s">
        <v>616</v>
      </c>
      <c r="V97" t="s">
        <v>366</v>
      </c>
      <c r="W97" t="s">
        <v>65</v>
      </c>
      <c r="X97" t="s">
        <v>66</v>
      </c>
      <c r="Y97" t="s">
        <v>66</v>
      </c>
      <c r="Z97">
        <v>7</v>
      </c>
      <c r="AA97">
        <v>1</v>
      </c>
      <c r="AB97">
        <v>2</v>
      </c>
      <c r="AC97">
        <v>1</v>
      </c>
      <c r="AD97">
        <v>1</v>
      </c>
      <c r="AE97">
        <v>1</v>
      </c>
      <c r="AF97">
        <v>4</v>
      </c>
      <c r="AG97">
        <v>7</v>
      </c>
      <c r="AH97">
        <v>2</v>
      </c>
      <c r="AI97">
        <v>4</v>
      </c>
      <c r="AJ97">
        <v>2</v>
      </c>
      <c r="AK97">
        <v>2</v>
      </c>
      <c r="AL97">
        <v>2</v>
      </c>
      <c r="AM97">
        <v>4</v>
      </c>
      <c r="AN97">
        <v>73</v>
      </c>
      <c r="AO97">
        <v>5</v>
      </c>
      <c r="AP97">
        <v>4</v>
      </c>
      <c r="AQ97">
        <v>3</v>
      </c>
      <c r="AR97">
        <v>1</v>
      </c>
      <c r="AS97">
        <v>6</v>
      </c>
      <c r="AT97">
        <v>4</v>
      </c>
      <c r="AU97">
        <v>6</v>
      </c>
      <c r="AV97">
        <v>6</v>
      </c>
      <c r="AW97">
        <v>4</v>
      </c>
      <c r="AX97">
        <v>2</v>
      </c>
      <c r="AY97" cm="1">
        <f t="array" ref="AY97">_xlfn.IFS(AZ97="Positive",1, AZ97="Negative",1, AZ97="Neutral",0)</f>
        <v>0</v>
      </c>
      <c r="AZ97" t="str" cm="1">
        <f t="array" ref="AZ97">_xlfn.IFS(AX97=1,"Positive",AX97=2,"Neutral",AX97=3,"Negative")</f>
        <v>Neutral</v>
      </c>
      <c r="BA97">
        <v>0</v>
      </c>
      <c r="BB97">
        <v>3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>
        <v>0</v>
      </c>
      <c r="BI97">
        <v>0</v>
      </c>
      <c r="BJ97">
        <v>2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 t="s">
        <v>453</v>
      </c>
      <c r="BT97" t="s">
        <v>426</v>
      </c>
      <c r="BU97" t="s">
        <v>472</v>
      </c>
      <c r="BV97" t="s">
        <v>429</v>
      </c>
    </row>
    <row r="98" spans="1:74" s="1" customFormat="1" hidden="1" x14ac:dyDescent="0.2">
      <c r="A98">
        <v>101</v>
      </c>
      <c r="B98">
        <v>101</v>
      </c>
      <c r="C98" t="s">
        <v>179</v>
      </c>
      <c r="D98"/>
      <c r="E98" t="s">
        <v>71</v>
      </c>
      <c r="F98">
        <v>11</v>
      </c>
      <c r="G98">
        <v>1999</v>
      </c>
      <c r="H98">
        <v>23</v>
      </c>
      <c r="I98" t="s">
        <v>69</v>
      </c>
      <c r="J98">
        <v>2</v>
      </c>
      <c r="K98" t="s">
        <v>652</v>
      </c>
      <c r="L98" t="s">
        <v>670</v>
      </c>
      <c r="M98">
        <v>4</v>
      </c>
      <c r="N98">
        <v>63</v>
      </c>
      <c r="O98">
        <v>5</v>
      </c>
      <c r="P98" t="s">
        <v>481</v>
      </c>
      <c r="Q98" t="s">
        <v>753</v>
      </c>
      <c r="R98" t="s">
        <v>746</v>
      </c>
      <c r="S98" t="s">
        <v>396</v>
      </c>
      <c r="T98" t="s">
        <v>477</v>
      </c>
      <c r="U98" t="s">
        <v>563</v>
      </c>
      <c r="V98" t="s">
        <v>483</v>
      </c>
      <c r="W98" t="s">
        <v>65</v>
      </c>
      <c r="X98" t="s">
        <v>66</v>
      </c>
      <c r="Y98" t="s">
        <v>66</v>
      </c>
      <c r="Z98">
        <v>7</v>
      </c>
      <c r="AA98">
        <v>7</v>
      </c>
      <c r="AB98">
        <v>7</v>
      </c>
      <c r="AC98">
        <v>4</v>
      </c>
      <c r="AD98">
        <v>1</v>
      </c>
      <c r="AE98">
        <v>1</v>
      </c>
      <c r="AF98">
        <v>3</v>
      </c>
      <c r="AG98">
        <v>1</v>
      </c>
      <c r="AH98">
        <v>7</v>
      </c>
      <c r="AI98">
        <v>7</v>
      </c>
      <c r="AJ98">
        <v>1</v>
      </c>
      <c r="AK98">
        <v>2</v>
      </c>
      <c r="AL98">
        <v>2</v>
      </c>
      <c r="AM98">
        <v>4</v>
      </c>
      <c r="AN98">
        <v>68</v>
      </c>
      <c r="AO98">
        <v>6</v>
      </c>
      <c r="AP98">
        <v>1</v>
      </c>
      <c r="AQ98">
        <v>1</v>
      </c>
      <c r="AR98">
        <v>7</v>
      </c>
      <c r="AS98">
        <v>7</v>
      </c>
      <c r="AT98">
        <v>7</v>
      </c>
      <c r="AU98">
        <v>7</v>
      </c>
      <c r="AV98">
        <v>7</v>
      </c>
      <c r="AW98">
        <v>7</v>
      </c>
      <c r="AX98">
        <v>1</v>
      </c>
      <c r="AY98" cm="1">
        <f t="array" ref="AY98">_xlfn.IFS(AZ98="Positive",1, AZ98="Negative",1, AZ98="Neutral",0)</f>
        <v>1</v>
      </c>
      <c r="AZ98" t="str" cm="1">
        <f t="array" ref="AZ98">_xlfn.IFS(AX98=1,"Positive",AX98=2,"Neutral",AX98=3,"Negative")</f>
        <v>Positive</v>
      </c>
      <c r="BA98">
        <v>13</v>
      </c>
      <c r="BB98">
        <v>1</v>
      </c>
      <c r="BC98" s="3">
        <v>9</v>
      </c>
      <c r="BD98" s="3">
        <v>0</v>
      </c>
      <c r="BE98" s="3">
        <v>3</v>
      </c>
      <c r="BF98" s="3">
        <v>1</v>
      </c>
      <c r="BG98" s="3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 t="s">
        <v>399</v>
      </c>
      <c r="BT98" t="s">
        <v>367</v>
      </c>
      <c r="BU98" t="s">
        <v>400</v>
      </c>
      <c r="BV98" t="s">
        <v>371</v>
      </c>
    </row>
    <row r="99" spans="1:74" s="1" customFormat="1" hidden="1" x14ac:dyDescent="0.2">
      <c r="A99">
        <v>102</v>
      </c>
      <c r="B99">
        <v>102</v>
      </c>
      <c r="C99" t="s">
        <v>180</v>
      </c>
      <c r="D99"/>
      <c r="E99" t="s">
        <v>71</v>
      </c>
      <c r="F99">
        <v>12</v>
      </c>
      <c r="G99">
        <v>1999</v>
      </c>
      <c r="H99">
        <v>23</v>
      </c>
      <c r="I99" t="s">
        <v>64</v>
      </c>
      <c r="J99">
        <v>1</v>
      </c>
      <c r="K99" t="s">
        <v>637</v>
      </c>
      <c r="L99" t="s">
        <v>669</v>
      </c>
      <c r="M99">
        <v>6</v>
      </c>
      <c r="N99">
        <v>54</v>
      </c>
      <c r="O99" t="s">
        <v>314</v>
      </c>
      <c r="P99">
        <v>5</v>
      </c>
      <c r="Q99" t="s">
        <v>706</v>
      </c>
      <c r="R99" t="s">
        <v>745</v>
      </c>
      <c r="S99" t="s">
        <v>403</v>
      </c>
      <c r="T99" t="s">
        <v>455</v>
      </c>
      <c r="U99" t="s">
        <v>320</v>
      </c>
      <c r="V99" t="s">
        <v>524</v>
      </c>
      <c r="W99" t="s">
        <v>65</v>
      </c>
      <c r="X99" t="s">
        <v>66</v>
      </c>
      <c r="Y99" t="s">
        <v>66</v>
      </c>
      <c r="Z99">
        <v>7</v>
      </c>
      <c r="AA99">
        <v>1</v>
      </c>
      <c r="AB99">
        <v>4</v>
      </c>
      <c r="AC99">
        <v>5</v>
      </c>
      <c r="AD99">
        <v>1</v>
      </c>
      <c r="AE99">
        <v>4</v>
      </c>
      <c r="AF99">
        <v>1</v>
      </c>
      <c r="AG99">
        <v>3</v>
      </c>
      <c r="AH99">
        <v>5</v>
      </c>
      <c r="AI99">
        <v>4</v>
      </c>
      <c r="AJ99">
        <v>4</v>
      </c>
      <c r="AK99">
        <v>4</v>
      </c>
      <c r="AL99">
        <v>2</v>
      </c>
      <c r="AM99">
        <v>3</v>
      </c>
      <c r="AN99">
        <v>188</v>
      </c>
      <c r="AO99">
        <v>1</v>
      </c>
      <c r="AP99">
        <v>4</v>
      </c>
      <c r="AQ99">
        <v>1</v>
      </c>
      <c r="AR99">
        <v>3</v>
      </c>
      <c r="AS99">
        <v>3</v>
      </c>
      <c r="AT99">
        <v>3</v>
      </c>
      <c r="AU99">
        <v>4</v>
      </c>
      <c r="AV99">
        <v>5</v>
      </c>
      <c r="AW99">
        <v>6</v>
      </c>
      <c r="AX99">
        <v>2</v>
      </c>
      <c r="AY99" cm="1">
        <f t="array" ref="AY99">_xlfn.IFS(AZ99="Positive",1, AZ99="Negative",1, AZ99="Neutral",0)</f>
        <v>0</v>
      </c>
      <c r="AZ99" t="str" cm="1">
        <f t="array" ref="AZ99">_xlfn.IFS(AX99=1,"Positive",AX99=2,"Neutral",AX99=3,"Negative")</f>
        <v>Neutral</v>
      </c>
      <c r="BA99">
        <v>9</v>
      </c>
      <c r="BB99">
        <v>2</v>
      </c>
      <c r="BC99" s="3">
        <v>5</v>
      </c>
      <c r="BD99" s="3">
        <v>2</v>
      </c>
      <c r="BE99" s="3">
        <v>0</v>
      </c>
      <c r="BF99" s="3">
        <v>1</v>
      </c>
      <c r="BG99" s="3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2</v>
      </c>
      <c r="BR99">
        <v>0</v>
      </c>
      <c r="BS99" t="s">
        <v>382</v>
      </c>
      <c r="BT99" t="s">
        <v>475</v>
      </c>
      <c r="BU99" t="s">
        <v>385</v>
      </c>
      <c r="BV99" t="s">
        <v>476</v>
      </c>
    </row>
    <row r="100" spans="1:74" s="1" customFormat="1" hidden="1" x14ac:dyDescent="0.2">
      <c r="A100">
        <v>103</v>
      </c>
      <c r="B100">
        <v>103</v>
      </c>
      <c r="C100" t="s">
        <v>181</v>
      </c>
      <c r="D100"/>
      <c r="E100" t="s">
        <v>73</v>
      </c>
      <c r="F100">
        <v>2</v>
      </c>
      <c r="G100">
        <v>1999</v>
      </c>
      <c r="H100">
        <v>23</v>
      </c>
      <c r="I100" t="s">
        <v>64</v>
      </c>
      <c r="J100">
        <v>1</v>
      </c>
      <c r="K100" t="s">
        <v>678</v>
      </c>
      <c r="L100" t="s">
        <v>638</v>
      </c>
      <c r="M100">
        <v>12</v>
      </c>
      <c r="N100">
        <v>61</v>
      </c>
      <c r="O100" t="s">
        <v>562</v>
      </c>
      <c r="P100" t="s">
        <v>405</v>
      </c>
      <c r="Q100" t="s">
        <v>757</v>
      </c>
      <c r="R100" t="s">
        <v>707</v>
      </c>
      <c r="S100" t="s">
        <v>499</v>
      </c>
      <c r="T100" t="s">
        <v>292</v>
      </c>
      <c r="U100" t="s">
        <v>581</v>
      </c>
      <c r="V100" t="s">
        <v>407</v>
      </c>
      <c r="W100" t="s">
        <v>65</v>
      </c>
      <c r="X100" t="s">
        <v>66</v>
      </c>
      <c r="Y100" t="s">
        <v>66</v>
      </c>
      <c r="Z100">
        <v>7</v>
      </c>
      <c r="AA100">
        <v>4</v>
      </c>
      <c r="AB100">
        <v>5</v>
      </c>
      <c r="AC100">
        <v>6</v>
      </c>
      <c r="AD100">
        <v>1</v>
      </c>
      <c r="AE100">
        <v>7</v>
      </c>
      <c r="AF100">
        <v>5</v>
      </c>
      <c r="AG100">
        <v>1</v>
      </c>
      <c r="AH100">
        <v>4</v>
      </c>
      <c r="AI100">
        <v>7</v>
      </c>
      <c r="AJ100">
        <v>1</v>
      </c>
      <c r="AK100">
        <v>4</v>
      </c>
      <c r="AL100">
        <v>1</v>
      </c>
      <c r="AM100">
        <v>2</v>
      </c>
      <c r="AN100">
        <v>120</v>
      </c>
      <c r="AO100">
        <v>6</v>
      </c>
      <c r="AP100">
        <v>6</v>
      </c>
      <c r="AQ100">
        <v>2</v>
      </c>
      <c r="AR100">
        <v>7</v>
      </c>
      <c r="AS100">
        <v>4</v>
      </c>
      <c r="AT100">
        <v>5</v>
      </c>
      <c r="AU100">
        <v>4</v>
      </c>
      <c r="AV100">
        <v>7</v>
      </c>
      <c r="AW100">
        <v>3</v>
      </c>
      <c r="AX100">
        <v>3</v>
      </c>
      <c r="AY100" cm="1">
        <f t="array" ref="AY100">_xlfn.IFS(AZ100="Positive",1, AZ100="Negative",1, AZ100="Neutral",0)</f>
        <v>1</v>
      </c>
      <c r="AZ100" t="str" cm="1">
        <f t="array" ref="AZ100">_xlfn.IFS(AX100=1,"Positive",AX100=2,"Neutral",AX100=3,"Negative")</f>
        <v>Negative</v>
      </c>
      <c r="BA100">
        <v>1</v>
      </c>
      <c r="BB100">
        <v>5</v>
      </c>
      <c r="BC100" s="3">
        <v>0</v>
      </c>
      <c r="BD100" s="3">
        <v>0</v>
      </c>
      <c r="BE100" s="3">
        <v>0</v>
      </c>
      <c r="BF100" s="3">
        <v>0</v>
      </c>
      <c r="BG100" s="3">
        <v>1</v>
      </c>
      <c r="BH100">
        <v>0</v>
      </c>
      <c r="BI100">
        <v>0</v>
      </c>
      <c r="BJ100">
        <v>2</v>
      </c>
      <c r="BK100">
        <v>1</v>
      </c>
      <c r="BL100">
        <v>2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 t="s">
        <v>375</v>
      </c>
      <c r="BT100" t="s">
        <v>578</v>
      </c>
      <c r="BU100" t="s">
        <v>377</v>
      </c>
      <c r="BV100" t="s">
        <v>579</v>
      </c>
    </row>
    <row r="101" spans="1:74" s="1" customFormat="1" hidden="1" x14ac:dyDescent="0.2">
      <c r="A101">
        <v>104</v>
      </c>
      <c r="B101">
        <v>104</v>
      </c>
      <c r="C101" t="s">
        <v>182</v>
      </c>
      <c r="D101"/>
      <c r="E101" t="s">
        <v>71</v>
      </c>
      <c r="F101">
        <v>13</v>
      </c>
      <c r="G101">
        <v>2003</v>
      </c>
      <c r="H101">
        <v>19</v>
      </c>
      <c r="I101" t="s">
        <v>164</v>
      </c>
      <c r="J101">
        <v>3</v>
      </c>
      <c r="K101" t="s">
        <v>683</v>
      </c>
      <c r="L101" t="s">
        <v>660</v>
      </c>
      <c r="M101">
        <v>11</v>
      </c>
      <c r="N101">
        <v>52</v>
      </c>
      <c r="O101" t="s">
        <v>384</v>
      </c>
      <c r="P101" t="s">
        <v>583</v>
      </c>
      <c r="Q101" t="s">
        <v>762</v>
      </c>
      <c r="R101" t="s">
        <v>733</v>
      </c>
      <c r="S101" t="s">
        <v>514</v>
      </c>
      <c r="T101" t="s">
        <v>495</v>
      </c>
      <c r="U101" t="s">
        <v>387</v>
      </c>
      <c r="V101" t="s">
        <v>584</v>
      </c>
      <c r="W101" t="s">
        <v>65</v>
      </c>
      <c r="X101" t="s">
        <v>66</v>
      </c>
      <c r="Y101" t="s">
        <v>66</v>
      </c>
      <c r="Z101">
        <v>7</v>
      </c>
      <c r="AA101">
        <v>1</v>
      </c>
      <c r="AB101">
        <v>7</v>
      </c>
      <c r="AC101">
        <v>5</v>
      </c>
      <c r="AD101">
        <v>1</v>
      </c>
      <c r="AE101">
        <v>3</v>
      </c>
      <c r="AF101">
        <v>4</v>
      </c>
      <c r="AG101">
        <v>1</v>
      </c>
      <c r="AH101">
        <v>6</v>
      </c>
      <c r="AI101">
        <v>1</v>
      </c>
      <c r="AJ101">
        <v>7</v>
      </c>
      <c r="AK101">
        <v>5</v>
      </c>
      <c r="AL101">
        <v>6</v>
      </c>
      <c r="AM101">
        <v>2</v>
      </c>
      <c r="AN101">
        <v>1</v>
      </c>
      <c r="AO101">
        <v>7</v>
      </c>
      <c r="AP101">
        <v>7</v>
      </c>
      <c r="AQ101">
        <v>6</v>
      </c>
      <c r="AR101">
        <v>2</v>
      </c>
      <c r="AS101">
        <v>5</v>
      </c>
      <c r="AT101">
        <v>5</v>
      </c>
      <c r="AU101">
        <v>7</v>
      </c>
      <c r="AV101">
        <v>6</v>
      </c>
      <c r="AW101">
        <v>2</v>
      </c>
      <c r="AX101">
        <v>3</v>
      </c>
      <c r="AY101" cm="1">
        <f t="array" ref="AY101">_xlfn.IFS(AZ101="Positive",1, AZ101="Negative",1, AZ101="Neutral",0)</f>
        <v>1</v>
      </c>
      <c r="AZ101" t="str" cm="1">
        <f t="array" ref="AZ101">_xlfn.IFS(AX101=1,"Positive",AX101=2,"Neutral",AX101=3,"Negative")</f>
        <v>Negative</v>
      </c>
      <c r="BA101">
        <v>9</v>
      </c>
      <c r="BB101">
        <v>0</v>
      </c>
      <c r="BC101" s="3">
        <v>4</v>
      </c>
      <c r="BD101" s="3">
        <v>0</v>
      </c>
      <c r="BE101" s="3">
        <v>3</v>
      </c>
      <c r="BF101" s="3">
        <v>0</v>
      </c>
      <c r="BG101" s="3">
        <v>2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2</v>
      </c>
      <c r="BT101" t="s">
        <v>516</v>
      </c>
      <c r="BU101" t="s">
        <v>333</v>
      </c>
      <c r="BV101" t="s">
        <v>592</v>
      </c>
    </row>
    <row r="102" spans="1:74" s="1" customFormat="1" x14ac:dyDescent="0.2">
      <c r="A102">
        <v>105</v>
      </c>
      <c r="B102">
        <v>105</v>
      </c>
      <c r="C102" t="s">
        <v>183</v>
      </c>
      <c r="D102"/>
      <c r="E102" t="s">
        <v>80</v>
      </c>
      <c r="F102">
        <v>15</v>
      </c>
      <c r="G102">
        <v>1999</v>
      </c>
      <c r="H102">
        <v>23</v>
      </c>
      <c r="I102" t="s">
        <v>64</v>
      </c>
      <c r="J102">
        <v>1</v>
      </c>
      <c r="K102" t="s">
        <v>651</v>
      </c>
      <c r="L102" t="s">
        <v>682</v>
      </c>
      <c r="M102">
        <v>11</v>
      </c>
      <c r="N102">
        <v>75</v>
      </c>
      <c r="O102" t="s">
        <v>568</v>
      </c>
      <c r="P102" t="s">
        <v>617</v>
      </c>
      <c r="Q102" t="s">
        <v>721</v>
      </c>
      <c r="R102" t="s">
        <v>761</v>
      </c>
      <c r="S102" t="s">
        <v>514</v>
      </c>
      <c r="T102" t="s">
        <v>507</v>
      </c>
      <c r="U102" t="s">
        <v>570</v>
      </c>
      <c r="V102" t="s">
        <v>618</v>
      </c>
      <c r="W102" t="s">
        <v>65</v>
      </c>
      <c r="X102" t="s">
        <v>66</v>
      </c>
      <c r="Y102" t="s">
        <v>66</v>
      </c>
      <c r="Z102">
        <v>7</v>
      </c>
      <c r="AA102">
        <v>7</v>
      </c>
      <c r="AB102">
        <v>7</v>
      </c>
      <c r="AC102">
        <v>3</v>
      </c>
      <c r="AD102">
        <v>7</v>
      </c>
      <c r="AE102">
        <v>7</v>
      </c>
      <c r="AF102">
        <v>2</v>
      </c>
      <c r="AG102">
        <v>1</v>
      </c>
      <c r="AH102">
        <v>6</v>
      </c>
      <c r="AI102">
        <v>4</v>
      </c>
      <c r="AJ102">
        <v>4</v>
      </c>
      <c r="AK102">
        <v>7</v>
      </c>
      <c r="AL102">
        <v>7</v>
      </c>
      <c r="AM102">
        <v>5</v>
      </c>
      <c r="AN102">
        <v>38</v>
      </c>
      <c r="AO102">
        <v>2</v>
      </c>
      <c r="AP102">
        <v>4</v>
      </c>
      <c r="AQ102">
        <v>5</v>
      </c>
      <c r="AR102">
        <v>6</v>
      </c>
      <c r="AS102">
        <v>7</v>
      </c>
      <c r="AT102">
        <v>7</v>
      </c>
      <c r="AU102">
        <v>7</v>
      </c>
      <c r="AV102">
        <v>7</v>
      </c>
      <c r="AW102">
        <v>7</v>
      </c>
      <c r="AX102">
        <v>2</v>
      </c>
      <c r="AY102" cm="1">
        <f t="array" ref="AY102">_xlfn.IFS(AZ102="Positive",1, AZ102="Negative",1, AZ102="Neutral",0)</f>
        <v>0</v>
      </c>
      <c r="AZ102" t="str" cm="1">
        <f t="array" ref="AZ102">_xlfn.IFS(AX102=1,"Positive",AX102=2,"Neutral",AX102=3,"Negative")</f>
        <v>Neutral</v>
      </c>
      <c r="BA102">
        <v>0</v>
      </c>
      <c r="BB102">
        <v>6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>
        <v>0</v>
      </c>
      <c r="BI102">
        <v>0</v>
      </c>
      <c r="BJ102">
        <v>5</v>
      </c>
      <c r="BK102">
        <v>0</v>
      </c>
      <c r="BL102">
        <v>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 t="s">
        <v>510</v>
      </c>
      <c r="BT102" t="s">
        <v>414</v>
      </c>
      <c r="BU102" t="s">
        <v>511</v>
      </c>
      <c r="BV102" t="s">
        <v>530</v>
      </c>
    </row>
    <row r="103" spans="1:74" s="1" customFormat="1" hidden="1" x14ac:dyDescent="0.2">
      <c r="A103">
        <v>106</v>
      </c>
      <c r="B103">
        <v>106</v>
      </c>
      <c r="C103" t="s">
        <v>184</v>
      </c>
      <c r="D103"/>
      <c r="E103" t="s">
        <v>80</v>
      </c>
      <c r="F103">
        <v>7</v>
      </c>
      <c r="G103">
        <v>2000</v>
      </c>
      <c r="H103">
        <v>22</v>
      </c>
      <c r="I103" t="s">
        <v>69</v>
      </c>
      <c r="J103">
        <v>2</v>
      </c>
      <c r="K103" t="s">
        <v>694</v>
      </c>
      <c r="L103" t="s">
        <v>701</v>
      </c>
      <c r="M103">
        <v>12</v>
      </c>
      <c r="N103">
        <v>54</v>
      </c>
      <c r="O103" t="s">
        <v>463</v>
      </c>
      <c r="P103" t="s">
        <v>354</v>
      </c>
      <c r="Q103" t="s">
        <v>774</v>
      </c>
      <c r="R103" t="s">
        <v>780</v>
      </c>
      <c r="S103" t="s">
        <v>499</v>
      </c>
      <c r="T103" t="s">
        <v>455</v>
      </c>
      <c r="U103" t="s">
        <v>546</v>
      </c>
      <c r="V103" t="s">
        <v>359</v>
      </c>
      <c r="W103" t="s">
        <v>65</v>
      </c>
      <c r="X103" t="s">
        <v>66</v>
      </c>
      <c r="Y103" t="s">
        <v>66</v>
      </c>
      <c r="Z103">
        <v>7</v>
      </c>
      <c r="AA103">
        <v>5</v>
      </c>
      <c r="AB103">
        <v>4</v>
      </c>
      <c r="AC103">
        <v>2</v>
      </c>
      <c r="AD103">
        <v>1</v>
      </c>
      <c r="AE103">
        <v>4</v>
      </c>
      <c r="AF103">
        <v>2</v>
      </c>
      <c r="AG103">
        <v>3</v>
      </c>
      <c r="AH103">
        <v>2</v>
      </c>
      <c r="AI103">
        <v>2</v>
      </c>
      <c r="AJ103">
        <v>5</v>
      </c>
      <c r="AK103">
        <v>4</v>
      </c>
      <c r="AL103">
        <v>2</v>
      </c>
      <c r="AM103">
        <v>4</v>
      </c>
      <c r="AN103">
        <v>142</v>
      </c>
      <c r="AO103">
        <v>2</v>
      </c>
      <c r="AP103">
        <v>5</v>
      </c>
      <c r="AQ103">
        <v>5</v>
      </c>
      <c r="AR103">
        <v>5</v>
      </c>
      <c r="AS103">
        <v>5</v>
      </c>
      <c r="AT103">
        <v>2</v>
      </c>
      <c r="AU103">
        <v>5</v>
      </c>
      <c r="AV103">
        <v>5</v>
      </c>
      <c r="AW103">
        <v>5</v>
      </c>
      <c r="AX103">
        <v>2</v>
      </c>
      <c r="AY103" cm="1">
        <f t="array" ref="AY103">_xlfn.IFS(AZ103="Positive",1, AZ103="Negative",1, AZ103="Neutral",0)</f>
        <v>0</v>
      </c>
      <c r="AZ103" t="str" cm="1">
        <f t="array" ref="AZ103">_xlfn.IFS(AX103=1,"Positive",AX103=2,"Neutral",AX103=3,"Negative")</f>
        <v>Neutral</v>
      </c>
      <c r="BA103">
        <v>21</v>
      </c>
      <c r="BB103">
        <v>0</v>
      </c>
      <c r="BC103" s="3">
        <v>13</v>
      </c>
      <c r="BD103" s="3">
        <v>1</v>
      </c>
      <c r="BE103" s="3">
        <v>3</v>
      </c>
      <c r="BF103" s="3">
        <v>2</v>
      </c>
      <c r="BG103" s="3">
        <v>2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 t="s">
        <v>619</v>
      </c>
      <c r="BT103" t="s">
        <v>295</v>
      </c>
      <c r="BU103" t="s">
        <v>620</v>
      </c>
      <c r="BV103" t="s">
        <v>473</v>
      </c>
    </row>
    <row r="104" spans="1:74" s="1" customFormat="1" hidden="1" x14ac:dyDescent="0.2">
      <c r="A104">
        <v>107</v>
      </c>
      <c r="B104">
        <v>107</v>
      </c>
      <c r="C104" t="s">
        <v>185</v>
      </c>
      <c r="D104"/>
      <c r="E104" t="s">
        <v>97</v>
      </c>
      <c r="F104">
        <v>9</v>
      </c>
      <c r="G104">
        <v>1998</v>
      </c>
      <c r="H104">
        <v>24</v>
      </c>
      <c r="I104" t="s">
        <v>69</v>
      </c>
      <c r="J104">
        <v>2</v>
      </c>
      <c r="K104" t="s">
        <v>700</v>
      </c>
      <c r="L104" t="s">
        <v>669</v>
      </c>
      <c r="M104">
        <v>15</v>
      </c>
      <c r="N104">
        <v>68</v>
      </c>
      <c r="O104" t="s">
        <v>585</v>
      </c>
      <c r="P104" t="s">
        <v>369</v>
      </c>
      <c r="Q104" t="s">
        <v>779</v>
      </c>
      <c r="R104" t="s">
        <v>745</v>
      </c>
      <c r="S104" t="s">
        <v>363</v>
      </c>
      <c r="T104" t="s">
        <v>487</v>
      </c>
      <c r="U104" t="s">
        <v>587</v>
      </c>
      <c r="V104" t="s">
        <v>374</v>
      </c>
      <c r="W104" t="s">
        <v>65</v>
      </c>
      <c r="X104" t="s">
        <v>66</v>
      </c>
      <c r="Y104" t="s">
        <v>66</v>
      </c>
      <c r="Z104">
        <v>7</v>
      </c>
      <c r="AA104">
        <v>7</v>
      </c>
      <c r="AB104">
        <v>7</v>
      </c>
      <c r="AC104">
        <v>5</v>
      </c>
      <c r="AD104">
        <v>5</v>
      </c>
      <c r="AE104">
        <v>5</v>
      </c>
      <c r="AF104">
        <v>3</v>
      </c>
      <c r="AG104">
        <v>1</v>
      </c>
      <c r="AH104">
        <v>7</v>
      </c>
      <c r="AI104">
        <v>2</v>
      </c>
      <c r="AJ104">
        <v>6</v>
      </c>
      <c r="AK104">
        <v>4</v>
      </c>
      <c r="AL104">
        <v>3</v>
      </c>
      <c r="AM104">
        <v>5</v>
      </c>
      <c r="AN104">
        <v>240</v>
      </c>
      <c r="AO104">
        <v>1</v>
      </c>
      <c r="AP104">
        <v>6</v>
      </c>
      <c r="AQ104">
        <v>6</v>
      </c>
      <c r="AR104">
        <v>3</v>
      </c>
      <c r="AS104">
        <v>4</v>
      </c>
      <c r="AT104">
        <v>5</v>
      </c>
      <c r="AU104">
        <v>4</v>
      </c>
      <c r="AV104">
        <v>5</v>
      </c>
      <c r="AW104">
        <v>6</v>
      </c>
      <c r="AX104">
        <v>3</v>
      </c>
      <c r="AY104" cm="1">
        <f t="array" ref="AY104">_xlfn.IFS(AZ104="Positive",1, AZ104="Negative",1, AZ104="Neutral",0)</f>
        <v>1</v>
      </c>
      <c r="AZ104" t="str" cm="1">
        <f t="array" ref="AZ104">_xlfn.IFS(AX104=1,"Positive",AX104=2,"Neutral",AX104=3,"Negative")</f>
        <v>Negative</v>
      </c>
      <c r="BA104">
        <v>9</v>
      </c>
      <c r="BB104">
        <v>7</v>
      </c>
      <c r="BC104" s="3">
        <v>3</v>
      </c>
      <c r="BD104" s="3">
        <v>0</v>
      </c>
      <c r="BE104" s="3">
        <v>2</v>
      </c>
      <c r="BF104" s="3">
        <v>4</v>
      </c>
      <c r="BG104" s="3">
        <v>0</v>
      </c>
      <c r="BH104">
        <v>0</v>
      </c>
      <c r="BI104">
        <v>0</v>
      </c>
      <c r="BJ104">
        <v>3</v>
      </c>
      <c r="BK104">
        <v>0</v>
      </c>
      <c r="BL104">
        <v>2</v>
      </c>
      <c r="BM104">
        <v>0</v>
      </c>
      <c r="BN104">
        <v>0</v>
      </c>
      <c r="BO104">
        <v>0</v>
      </c>
      <c r="BP104">
        <v>0</v>
      </c>
      <c r="BQ104">
        <v>1</v>
      </c>
      <c r="BR104">
        <v>1</v>
      </c>
      <c r="BS104" t="s">
        <v>453</v>
      </c>
      <c r="BT104" t="s">
        <v>433</v>
      </c>
      <c r="BU104" t="s">
        <v>472</v>
      </c>
      <c r="BV104" t="s">
        <v>435</v>
      </c>
    </row>
    <row r="105" spans="1:74" s="1" customFormat="1" x14ac:dyDescent="0.2">
      <c r="A105">
        <v>108</v>
      </c>
      <c r="B105">
        <v>108</v>
      </c>
      <c r="C105" t="s">
        <v>186</v>
      </c>
      <c r="D105"/>
      <c r="E105" t="s">
        <v>71</v>
      </c>
      <c r="F105">
        <v>7</v>
      </c>
      <c r="G105">
        <v>1999</v>
      </c>
      <c r="H105">
        <v>23</v>
      </c>
      <c r="I105" t="s">
        <v>64</v>
      </c>
      <c r="J105">
        <v>1</v>
      </c>
      <c r="K105" t="s">
        <v>649</v>
      </c>
      <c r="L105" t="s">
        <v>654</v>
      </c>
      <c r="M105">
        <v>1</v>
      </c>
      <c r="N105">
        <v>58</v>
      </c>
      <c r="O105" t="s">
        <v>611</v>
      </c>
      <c r="P105" t="s">
        <v>611</v>
      </c>
      <c r="Q105" t="s">
        <v>719</v>
      </c>
      <c r="R105" t="s">
        <v>728</v>
      </c>
      <c r="S105" t="s">
        <v>335</v>
      </c>
      <c r="T105" t="s">
        <v>364</v>
      </c>
      <c r="U105" t="s">
        <v>621</v>
      </c>
      <c r="V105" t="s">
        <v>612</v>
      </c>
      <c r="W105" t="s">
        <v>65</v>
      </c>
      <c r="X105" t="s">
        <v>66</v>
      </c>
      <c r="Y105" t="s">
        <v>66</v>
      </c>
      <c r="Z105">
        <v>7</v>
      </c>
      <c r="AA105">
        <v>7</v>
      </c>
      <c r="AB105">
        <v>6</v>
      </c>
      <c r="AC105">
        <v>7</v>
      </c>
      <c r="AD105">
        <v>7</v>
      </c>
      <c r="AE105">
        <v>6</v>
      </c>
      <c r="AF105">
        <v>7</v>
      </c>
      <c r="AG105">
        <v>7</v>
      </c>
      <c r="AH105">
        <v>6</v>
      </c>
      <c r="AI105">
        <v>7</v>
      </c>
      <c r="AJ105">
        <v>6</v>
      </c>
      <c r="AK105">
        <v>7</v>
      </c>
      <c r="AL105">
        <v>7</v>
      </c>
      <c r="AM105">
        <v>7</v>
      </c>
      <c r="AN105">
        <v>237</v>
      </c>
      <c r="AO105">
        <v>7</v>
      </c>
      <c r="AP105">
        <v>7</v>
      </c>
      <c r="AQ105">
        <v>7</v>
      </c>
      <c r="AR105">
        <v>7</v>
      </c>
      <c r="AS105">
        <v>7</v>
      </c>
      <c r="AT105">
        <v>7</v>
      </c>
      <c r="AU105">
        <v>7</v>
      </c>
      <c r="AV105">
        <v>7</v>
      </c>
      <c r="AW105">
        <v>7</v>
      </c>
      <c r="AX105">
        <v>3</v>
      </c>
      <c r="AY105" cm="1">
        <f t="array" ref="AY105">_xlfn.IFS(AZ105="Positive",1, AZ105="Negative",1, AZ105="Neutral",0)</f>
        <v>1</v>
      </c>
      <c r="AZ105" t="str" cm="1">
        <f t="array" ref="AZ105">_xlfn.IFS(AX105=1,"Positive",AX105=2,"Neutral",AX105=3,"Negative")</f>
        <v>Negative</v>
      </c>
      <c r="BA105">
        <v>0</v>
      </c>
      <c r="BB105">
        <v>7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>
        <v>0</v>
      </c>
      <c r="BI105">
        <v>0</v>
      </c>
      <c r="BJ105">
        <v>2</v>
      </c>
      <c r="BK105">
        <v>2</v>
      </c>
      <c r="BL105">
        <v>3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 t="s">
        <v>344</v>
      </c>
      <c r="BT105" t="s">
        <v>367</v>
      </c>
      <c r="BU105" t="s">
        <v>347</v>
      </c>
      <c r="BV105" t="s">
        <v>371</v>
      </c>
    </row>
    <row r="106" spans="1:74" s="1" customFormat="1" hidden="1" x14ac:dyDescent="0.2">
      <c r="A106">
        <v>109</v>
      </c>
      <c r="B106">
        <v>109</v>
      </c>
      <c r="C106" t="s">
        <v>187</v>
      </c>
      <c r="D106"/>
      <c r="E106" t="s">
        <v>63</v>
      </c>
      <c r="F106">
        <v>1</v>
      </c>
      <c r="G106">
        <v>2000</v>
      </c>
      <c r="H106">
        <v>22</v>
      </c>
      <c r="I106" t="s">
        <v>69</v>
      </c>
      <c r="J106">
        <v>2</v>
      </c>
      <c r="K106" t="s">
        <v>416</v>
      </c>
      <c r="L106" t="s">
        <v>660</v>
      </c>
      <c r="M106">
        <v>1</v>
      </c>
      <c r="N106">
        <v>64</v>
      </c>
      <c r="O106" t="s">
        <v>460</v>
      </c>
      <c r="P106" t="s">
        <v>325</v>
      </c>
      <c r="Q106" t="s">
        <v>723</v>
      </c>
      <c r="R106" t="s">
        <v>733</v>
      </c>
      <c r="S106" t="s">
        <v>335</v>
      </c>
      <c r="T106" t="s">
        <v>540</v>
      </c>
      <c r="U106" t="s">
        <v>582</v>
      </c>
      <c r="V106" t="s">
        <v>331</v>
      </c>
      <c r="W106" t="s">
        <v>65</v>
      </c>
      <c r="X106" t="s">
        <v>66</v>
      </c>
      <c r="Y106" t="s">
        <v>66</v>
      </c>
      <c r="Z106">
        <v>7</v>
      </c>
      <c r="AA106">
        <v>5</v>
      </c>
      <c r="AB106">
        <v>4</v>
      </c>
      <c r="AC106">
        <v>1</v>
      </c>
      <c r="AD106">
        <v>1</v>
      </c>
      <c r="AE106">
        <v>1</v>
      </c>
      <c r="AF106">
        <v>2</v>
      </c>
      <c r="AG106">
        <v>2</v>
      </c>
      <c r="AH106">
        <v>4</v>
      </c>
      <c r="AI106">
        <v>1</v>
      </c>
      <c r="AJ106">
        <v>5</v>
      </c>
      <c r="AK106">
        <v>4</v>
      </c>
      <c r="AL106">
        <v>2</v>
      </c>
      <c r="AM106">
        <v>5</v>
      </c>
      <c r="AN106">
        <v>157</v>
      </c>
      <c r="AO106">
        <v>5</v>
      </c>
      <c r="AP106">
        <v>5</v>
      </c>
      <c r="AQ106">
        <v>5</v>
      </c>
      <c r="AR106">
        <v>2</v>
      </c>
      <c r="AS106">
        <v>3</v>
      </c>
      <c r="AT106">
        <v>2</v>
      </c>
      <c r="AU106">
        <v>5</v>
      </c>
      <c r="AV106">
        <v>2</v>
      </c>
      <c r="AW106">
        <v>5</v>
      </c>
      <c r="AX106">
        <v>2</v>
      </c>
      <c r="AY106" cm="1">
        <f t="array" ref="AY106">_xlfn.IFS(AZ106="Positive",1, AZ106="Negative",1, AZ106="Neutral",0)</f>
        <v>0</v>
      </c>
      <c r="AZ106" t="str" cm="1">
        <f t="array" ref="AZ106">_xlfn.IFS(AX106=1,"Positive",AX106=2,"Neutral",AX106=3,"Negative")</f>
        <v>Neutral</v>
      </c>
      <c r="BA106">
        <v>12</v>
      </c>
      <c r="BB106">
        <v>0</v>
      </c>
      <c r="BC106" s="3">
        <v>6</v>
      </c>
      <c r="BD106" s="3">
        <v>1</v>
      </c>
      <c r="BE106" s="3">
        <v>1</v>
      </c>
      <c r="BF106" s="3">
        <v>2</v>
      </c>
      <c r="BG106" s="3">
        <v>2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 t="s">
        <v>414</v>
      </c>
      <c r="BT106" t="s">
        <v>619</v>
      </c>
      <c r="BU106" t="s">
        <v>417</v>
      </c>
      <c r="BV106" t="s">
        <v>622</v>
      </c>
    </row>
    <row r="107" spans="1:74" s="1" customFormat="1" hidden="1" x14ac:dyDescent="0.2">
      <c r="A107">
        <v>110</v>
      </c>
      <c r="B107">
        <v>110</v>
      </c>
      <c r="C107" t="s">
        <v>188</v>
      </c>
      <c r="D107"/>
      <c r="E107" t="s">
        <v>68</v>
      </c>
      <c r="F107">
        <v>12</v>
      </c>
      <c r="G107">
        <v>2001</v>
      </c>
      <c r="H107">
        <v>21</v>
      </c>
      <c r="I107" t="s">
        <v>69</v>
      </c>
      <c r="J107">
        <v>2</v>
      </c>
      <c r="K107" t="s">
        <v>661</v>
      </c>
      <c r="L107" t="s">
        <v>633</v>
      </c>
      <c r="M107">
        <v>10</v>
      </c>
      <c r="N107">
        <v>71</v>
      </c>
      <c r="O107" t="s">
        <v>583</v>
      </c>
      <c r="P107" t="s">
        <v>542</v>
      </c>
      <c r="Q107" t="s">
        <v>734</v>
      </c>
      <c r="R107" t="s">
        <v>711</v>
      </c>
      <c r="S107" t="s">
        <v>378</v>
      </c>
      <c r="T107" t="s">
        <v>329</v>
      </c>
      <c r="U107" t="s">
        <v>623</v>
      </c>
      <c r="V107" t="s">
        <v>543</v>
      </c>
      <c r="W107" t="s">
        <v>65</v>
      </c>
      <c r="X107" t="s">
        <v>66</v>
      </c>
      <c r="Y107" t="s">
        <v>66</v>
      </c>
      <c r="Z107">
        <v>7</v>
      </c>
      <c r="AA107">
        <v>5</v>
      </c>
      <c r="AB107">
        <v>6</v>
      </c>
      <c r="AC107">
        <v>2</v>
      </c>
      <c r="AD107">
        <v>1</v>
      </c>
      <c r="AE107">
        <v>1</v>
      </c>
      <c r="AF107">
        <v>2</v>
      </c>
      <c r="AG107">
        <v>4</v>
      </c>
      <c r="AH107">
        <v>5</v>
      </c>
      <c r="AI107">
        <v>1</v>
      </c>
      <c r="AJ107">
        <v>6</v>
      </c>
      <c r="AK107">
        <v>5</v>
      </c>
      <c r="AL107">
        <v>4</v>
      </c>
      <c r="AM107">
        <v>5</v>
      </c>
      <c r="AN107">
        <v>37</v>
      </c>
      <c r="AO107">
        <v>2</v>
      </c>
      <c r="AP107">
        <v>6</v>
      </c>
      <c r="AQ107">
        <v>5</v>
      </c>
      <c r="AR107">
        <v>3</v>
      </c>
      <c r="AS107">
        <v>5</v>
      </c>
      <c r="AT107">
        <v>3</v>
      </c>
      <c r="AU107">
        <v>6</v>
      </c>
      <c r="AV107">
        <v>6</v>
      </c>
      <c r="AW107">
        <v>7</v>
      </c>
      <c r="AX107">
        <v>3</v>
      </c>
      <c r="AY107" cm="1">
        <f t="array" ref="AY107">_xlfn.IFS(AZ107="Positive",1, AZ107="Negative",1, AZ107="Neutral",0)</f>
        <v>1</v>
      </c>
      <c r="AZ107" t="str" cm="1">
        <f t="array" ref="AZ107">_xlfn.IFS(AX107=1,"Positive",AX107=2,"Neutral",AX107=3,"Negative")</f>
        <v>Negative</v>
      </c>
      <c r="BA107">
        <v>7</v>
      </c>
      <c r="BB107">
        <v>1</v>
      </c>
      <c r="BC107" s="3">
        <v>3</v>
      </c>
      <c r="BD107" s="3">
        <v>1</v>
      </c>
      <c r="BE107" s="3">
        <v>0</v>
      </c>
      <c r="BF107" s="3">
        <v>0</v>
      </c>
      <c r="BG107" s="3">
        <v>3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 t="s">
        <v>510</v>
      </c>
      <c r="BT107">
        <v>3</v>
      </c>
      <c r="BU107" t="s">
        <v>511</v>
      </c>
      <c r="BV107" t="s">
        <v>309</v>
      </c>
    </row>
    <row r="108" spans="1:74" s="1" customFormat="1" hidden="1" x14ac:dyDescent="0.2">
      <c r="A108">
        <v>111</v>
      </c>
      <c r="B108">
        <v>111</v>
      </c>
      <c r="C108" t="s">
        <v>189</v>
      </c>
      <c r="D108"/>
      <c r="E108" t="s">
        <v>68</v>
      </c>
      <c r="F108">
        <v>20</v>
      </c>
      <c r="G108">
        <v>2001</v>
      </c>
      <c r="H108">
        <v>21</v>
      </c>
      <c r="I108" t="s">
        <v>64</v>
      </c>
      <c r="J108">
        <v>1</v>
      </c>
      <c r="K108" t="s">
        <v>667</v>
      </c>
      <c r="L108" t="s">
        <v>654</v>
      </c>
      <c r="M108">
        <v>10</v>
      </c>
      <c r="N108">
        <v>55</v>
      </c>
      <c r="O108" t="s">
        <v>338</v>
      </c>
      <c r="P108" t="s">
        <v>389</v>
      </c>
      <c r="Q108" t="s">
        <v>741</v>
      </c>
      <c r="R108" t="s">
        <v>728</v>
      </c>
      <c r="S108" t="s">
        <v>378</v>
      </c>
      <c r="T108" t="s">
        <v>404</v>
      </c>
      <c r="U108" t="s">
        <v>342</v>
      </c>
      <c r="V108" t="s">
        <v>392</v>
      </c>
      <c r="W108" t="s">
        <v>65</v>
      </c>
      <c r="X108" t="s">
        <v>66</v>
      </c>
      <c r="Y108" t="s">
        <v>66</v>
      </c>
      <c r="Z108">
        <v>7</v>
      </c>
      <c r="AA108">
        <v>6</v>
      </c>
      <c r="AB108">
        <v>6</v>
      </c>
      <c r="AC108">
        <v>3</v>
      </c>
      <c r="AD108">
        <v>3</v>
      </c>
      <c r="AE108">
        <v>5</v>
      </c>
      <c r="AF108">
        <v>2</v>
      </c>
      <c r="AG108">
        <v>2</v>
      </c>
      <c r="AH108">
        <v>6</v>
      </c>
      <c r="AI108">
        <v>6</v>
      </c>
      <c r="AJ108">
        <v>2</v>
      </c>
      <c r="AK108">
        <v>5</v>
      </c>
      <c r="AL108">
        <v>6</v>
      </c>
      <c r="AM108">
        <v>5</v>
      </c>
      <c r="AN108">
        <v>3</v>
      </c>
      <c r="AO108">
        <v>6</v>
      </c>
      <c r="AP108">
        <v>5</v>
      </c>
      <c r="AQ108">
        <v>5</v>
      </c>
      <c r="AR108">
        <v>3</v>
      </c>
      <c r="AS108">
        <v>5</v>
      </c>
      <c r="AT108">
        <v>5</v>
      </c>
      <c r="AU108">
        <v>5</v>
      </c>
      <c r="AV108">
        <v>5</v>
      </c>
      <c r="AW108">
        <v>2</v>
      </c>
      <c r="AX108">
        <v>2</v>
      </c>
      <c r="AY108" cm="1">
        <f t="array" ref="AY108">_xlfn.IFS(AZ108="Positive",1, AZ108="Negative",1, AZ108="Neutral",0)</f>
        <v>0</v>
      </c>
      <c r="AZ108" t="str" cm="1">
        <f t="array" ref="AZ108">_xlfn.IFS(AX108=1,"Positive",AX108=2,"Neutral",AX108=3,"Negative")</f>
        <v>Neutral</v>
      </c>
      <c r="BA108">
        <v>8</v>
      </c>
      <c r="BB108">
        <v>2</v>
      </c>
      <c r="BC108" s="3">
        <v>5</v>
      </c>
      <c r="BD108" s="3">
        <v>0</v>
      </c>
      <c r="BE108" s="3">
        <v>2</v>
      </c>
      <c r="BF108" s="3">
        <v>1</v>
      </c>
      <c r="BG108" s="3">
        <v>0</v>
      </c>
      <c r="BH108">
        <v>0</v>
      </c>
      <c r="BI108">
        <v>0</v>
      </c>
      <c r="BJ108">
        <v>2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 t="s">
        <v>619</v>
      </c>
      <c r="BT108" t="s">
        <v>536</v>
      </c>
      <c r="BU108" t="s">
        <v>620</v>
      </c>
      <c r="BV108" t="s">
        <v>556</v>
      </c>
    </row>
    <row r="109" spans="1:74" s="1" customFormat="1" x14ac:dyDescent="0.2">
      <c r="A109">
        <v>112</v>
      </c>
      <c r="B109">
        <v>112</v>
      </c>
      <c r="C109" t="s">
        <v>190</v>
      </c>
      <c r="D109"/>
      <c r="E109" t="s">
        <v>88</v>
      </c>
      <c r="F109">
        <v>21</v>
      </c>
      <c r="G109">
        <v>2001</v>
      </c>
      <c r="H109">
        <v>21</v>
      </c>
      <c r="I109" t="s">
        <v>69</v>
      </c>
      <c r="J109">
        <v>2</v>
      </c>
      <c r="K109" t="s">
        <v>637</v>
      </c>
      <c r="L109" t="s">
        <v>665</v>
      </c>
      <c r="M109">
        <v>0</v>
      </c>
      <c r="N109">
        <v>60</v>
      </c>
      <c r="O109" t="s">
        <v>539</v>
      </c>
      <c r="P109" t="s">
        <v>542</v>
      </c>
      <c r="Q109" t="s">
        <v>706</v>
      </c>
      <c r="R109" t="s">
        <v>739</v>
      </c>
      <c r="S109" t="s">
        <v>411</v>
      </c>
      <c r="T109" t="s">
        <v>444</v>
      </c>
      <c r="U109" t="s">
        <v>624</v>
      </c>
      <c r="V109" t="s">
        <v>543</v>
      </c>
      <c r="W109" t="s">
        <v>65</v>
      </c>
      <c r="X109" t="s">
        <v>66</v>
      </c>
      <c r="Y109" t="s">
        <v>66</v>
      </c>
      <c r="Z109">
        <v>7</v>
      </c>
      <c r="AA109">
        <v>7</v>
      </c>
      <c r="AB109">
        <v>7</v>
      </c>
      <c r="AC109">
        <v>4</v>
      </c>
      <c r="AD109">
        <v>2</v>
      </c>
      <c r="AE109">
        <v>5</v>
      </c>
      <c r="AF109">
        <v>6</v>
      </c>
      <c r="AG109">
        <v>3</v>
      </c>
      <c r="AH109">
        <v>4</v>
      </c>
      <c r="AI109">
        <v>4</v>
      </c>
      <c r="AJ109">
        <v>1</v>
      </c>
      <c r="AK109">
        <v>4</v>
      </c>
      <c r="AL109">
        <v>6</v>
      </c>
      <c r="AM109">
        <v>5</v>
      </c>
      <c r="AN109">
        <v>96</v>
      </c>
      <c r="AO109">
        <v>2</v>
      </c>
      <c r="AP109">
        <v>1</v>
      </c>
      <c r="AQ109">
        <v>3</v>
      </c>
      <c r="AR109">
        <v>4</v>
      </c>
      <c r="AS109">
        <v>6</v>
      </c>
      <c r="AT109">
        <v>7</v>
      </c>
      <c r="AU109">
        <v>5</v>
      </c>
      <c r="AV109">
        <v>7</v>
      </c>
      <c r="AW109">
        <v>6</v>
      </c>
      <c r="AX109">
        <v>1</v>
      </c>
      <c r="AY109" cm="1">
        <f t="array" ref="AY109">_xlfn.IFS(AZ109="Positive",1, AZ109="Negative",1, AZ109="Neutral",0)</f>
        <v>1</v>
      </c>
      <c r="AZ109" t="str" cm="1">
        <f t="array" ref="AZ109">_xlfn.IFS(AX109=1,"Positive",AX109=2,"Neutral",AX109=3,"Negative")</f>
        <v>Positive</v>
      </c>
      <c r="BA109">
        <v>0</v>
      </c>
      <c r="BB109">
        <v>2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>
        <v>0</v>
      </c>
      <c r="BI109">
        <v>0</v>
      </c>
      <c r="BJ109">
        <v>1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 t="s">
        <v>567</v>
      </c>
      <c r="BT109" t="s">
        <v>322</v>
      </c>
      <c r="BU109" t="s">
        <v>569</v>
      </c>
      <c r="BV109" t="s">
        <v>422</v>
      </c>
    </row>
    <row r="110" spans="1:74" s="1" customFormat="1" x14ac:dyDescent="0.2">
      <c r="A110">
        <v>114</v>
      </c>
      <c r="B110">
        <v>114</v>
      </c>
      <c r="C110" t="s">
        <v>192</v>
      </c>
      <c r="D110"/>
      <c r="E110" t="s">
        <v>80</v>
      </c>
      <c r="F110">
        <v>26</v>
      </c>
      <c r="G110">
        <v>1997</v>
      </c>
      <c r="H110">
        <v>25</v>
      </c>
      <c r="I110" t="s">
        <v>69</v>
      </c>
      <c r="J110">
        <v>2</v>
      </c>
      <c r="K110" t="s">
        <v>481</v>
      </c>
      <c r="L110" t="s">
        <v>654</v>
      </c>
      <c r="M110">
        <v>12</v>
      </c>
      <c r="N110">
        <v>49</v>
      </c>
      <c r="O110" t="s">
        <v>625</v>
      </c>
      <c r="P110">
        <v>4</v>
      </c>
      <c r="Q110" t="s">
        <v>743</v>
      </c>
      <c r="R110" t="s">
        <v>728</v>
      </c>
      <c r="S110" t="s">
        <v>499</v>
      </c>
      <c r="T110" t="s">
        <v>491</v>
      </c>
      <c r="U110" t="s">
        <v>626</v>
      </c>
      <c r="V110" t="s">
        <v>627</v>
      </c>
      <c r="W110" t="s">
        <v>65</v>
      </c>
      <c r="X110" t="s">
        <v>66</v>
      </c>
      <c r="Y110" t="s">
        <v>66</v>
      </c>
      <c r="Z110">
        <v>7</v>
      </c>
      <c r="AA110">
        <v>2</v>
      </c>
      <c r="AB110">
        <v>2</v>
      </c>
      <c r="AC110">
        <v>5</v>
      </c>
      <c r="AD110">
        <v>1</v>
      </c>
      <c r="AE110">
        <v>1</v>
      </c>
      <c r="AF110">
        <v>1</v>
      </c>
      <c r="AG110">
        <v>6</v>
      </c>
      <c r="AH110">
        <v>1</v>
      </c>
      <c r="AI110">
        <v>2</v>
      </c>
      <c r="AJ110">
        <v>1</v>
      </c>
      <c r="AK110">
        <v>1</v>
      </c>
      <c r="AL110">
        <v>1</v>
      </c>
      <c r="AM110">
        <v>1</v>
      </c>
      <c r="AN110">
        <v>216</v>
      </c>
      <c r="AO110">
        <v>1</v>
      </c>
      <c r="AP110">
        <v>4</v>
      </c>
      <c r="AQ110">
        <v>3</v>
      </c>
      <c r="AR110">
        <v>1</v>
      </c>
      <c r="AS110">
        <v>6</v>
      </c>
      <c r="AT110">
        <v>5</v>
      </c>
      <c r="AU110">
        <v>2</v>
      </c>
      <c r="AV110">
        <v>7</v>
      </c>
      <c r="AW110">
        <v>7</v>
      </c>
      <c r="AX110">
        <v>2</v>
      </c>
      <c r="AY110" cm="1">
        <f t="array" ref="AY110">_xlfn.IFS(AZ110="Positive",1, AZ110="Negative",1, AZ110="Neutral",0)</f>
        <v>0</v>
      </c>
      <c r="AZ110" t="str" cm="1">
        <f t="array" ref="AZ110">_xlfn.IFS(AX110=1,"Positive",AX110=2,"Neutral",AX110=3,"Negative")</f>
        <v>Neutral</v>
      </c>
      <c r="BA110">
        <v>0</v>
      </c>
      <c r="BB110">
        <v>4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>
        <v>0</v>
      </c>
      <c r="BI110">
        <v>0</v>
      </c>
      <c r="BJ110">
        <v>1</v>
      </c>
      <c r="BK110">
        <v>0</v>
      </c>
      <c r="BL110">
        <v>3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 t="s">
        <v>285</v>
      </c>
      <c r="BT110" t="s">
        <v>276</v>
      </c>
      <c r="BU110" t="s">
        <v>289</v>
      </c>
      <c r="BV110" t="s">
        <v>280</v>
      </c>
    </row>
    <row r="111" spans="1:74" s="1" customFormat="1" hidden="1" x14ac:dyDescent="0.2">
      <c r="A111">
        <v>115</v>
      </c>
      <c r="B111">
        <v>115</v>
      </c>
      <c r="C111" t="s">
        <v>193</v>
      </c>
      <c r="D111"/>
      <c r="E111" t="s">
        <v>93</v>
      </c>
      <c r="F111">
        <v>6</v>
      </c>
      <c r="G111">
        <v>1997</v>
      </c>
      <c r="H111">
        <v>25</v>
      </c>
      <c r="I111" t="s">
        <v>69</v>
      </c>
      <c r="J111">
        <v>2</v>
      </c>
      <c r="K111" t="s">
        <v>671</v>
      </c>
      <c r="L111" t="s">
        <v>677</v>
      </c>
      <c r="M111">
        <v>10</v>
      </c>
      <c r="N111">
        <v>52</v>
      </c>
      <c r="O111" t="s">
        <v>460</v>
      </c>
      <c r="P111" t="s">
        <v>315</v>
      </c>
      <c r="Q111" t="s">
        <v>748</v>
      </c>
      <c r="R111" t="s">
        <v>756</v>
      </c>
      <c r="S111" t="s">
        <v>378</v>
      </c>
      <c r="T111" t="s">
        <v>495</v>
      </c>
      <c r="U111" t="s">
        <v>582</v>
      </c>
      <c r="V111" t="s">
        <v>321</v>
      </c>
      <c r="W111" t="s">
        <v>65</v>
      </c>
      <c r="X111" t="s">
        <v>66</v>
      </c>
      <c r="Y111" t="s">
        <v>66</v>
      </c>
      <c r="Z111">
        <v>7</v>
      </c>
      <c r="AA111">
        <v>5</v>
      </c>
      <c r="AB111">
        <v>7</v>
      </c>
      <c r="AC111">
        <v>2</v>
      </c>
      <c r="AD111">
        <v>1</v>
      </c>
      <c r="AE111">
        <v>1</v>
      </c>
      <c r="AF111">
        <v>1</v>
      </c>
      <c r="AG111">
        <v>3</v>
      </c>
      <c r="AH111">
        <v>6</v>
      </c>
      <c r="AI111">
        <v>1</v>
      </c>
      <c r="AJ111">
        <v>7</v>
      </c>
      <c r="AK111">
        <v>5</v>
      </c>
      <c r="AL111">
        <v>7</v>
      </c>
      <c r="AM111">
        <v>5</v>
      </c>
      <c r="AN111">
        <v>66</v>
      </c>
      <c r="AO111">
        <v>1</v>
      </c>
      <c r="AP111">
        <v>7</v>
      </c>
      <c r="AQ111">
        <v>6</v>
      </c>
      <c r="AR111">
        <v>2</v>
      </c>
      <c r="AS111">
        <v>6</v>
      </c>
      <c r="AT111">
        <v>2</v>
      </c>
      <c r="AU111">
        <v>6</v>
      </c>
      <c r="AV111">
        <v>6</v>
      </c>
      <c r="AW111">
        <v>7</v>
      </c>
      <c r="AX111">
        <v>3</v>
      </c>
      <c r="AY111" cm="1">
        <f t="array" ref="AY111">_xlfn.IFS(AZ111="Positive",1, AZ111="Negative",1, AZ111="Neutral",0)</f>
        <v>1</v>
      </c>
      <c r="AZ111" t="str" cm="1">
        <f t="array" ref="AZ111">_xlfn.IFS(AX111=1,"Positive",AX111=2,"Neutral",AX111=3,"Negative")</f>
        <v>Negative</v>
      </c>
      <c r="BA111">
        <v>3</v>
      </c>
      <c r="BB111">
        <v>6</v>
      </c>
      <c r="BC111" s="3">
        <v>3</v>
      </c>
      <c r="BD111" s="3">
        <v>0</v>
      </c>
      <c r="BE111" s="3">
        <v>0</v>
      </c>
      <c r="BF111" s="3">
        <v>0</v>
      </c>
      <c r="BG111" s="3">
        <v>0</v>
      </c>
      <c r="BH111">
        <v>0</v>
      </c>
      <c r="BI111">
        <v>0</v>
      </c>
      <c r="BJ111">
        <v>3</v>
      </c>
      <c r="BK111">
        <v>0</v>
      </c>
      <c r="BL111">
        <v>0</v>
      </c>
      <c r="BM111">
        <v>2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3</v>
      </c>
      <c r="BT111" t="s">
        <v>463</v>
      </c>
      <c r="BU111" t="s">
        <v>395</v>
      </c>
      <c r="BV111" t="s">
        <v>628</v>
      </c>
    </row>
    <row r="112" spans="1:74" x14ac:dyDescent="0.2">
      <c r="A112">
        <v>116</v>
      </c>
      <c r="B112">
        <v>1</v>
      </c>
      <c r="C112" t="s">
        <v>62</v>
      </c>
      <c r="E112" t="s">
        <v>63</v>
      </c>
      <c r="F112">
        <v>3</v>
      </c>
      <c r="G112">
        <v>1998</v>
      </c>
      <c r="H112">
        <v>24</v>
      </c>
      <c r="I112" t="s">
        <v>64</v>
      </c>
      <c r="J112">
        <v>1</v>
      </c>
      <c r="K112" t="s">
        <v>632</v>
      </c>
      <c r="L112" t="s">
        <v>633</v>
      </c>
      <c r="M112">
        <v>3</v>
      </c>
      <c r="N112">
        <v>49</v>
      </c>
      <c r="O112" t="s">
        <v>288</v>
      </c>
      <c r="P112" t="s">
        <v>481</v>
      </c>
      <c r="Q112" t="s">
        <v>731</v>
      </c>
      <c r="R112" t="s">
        <v>711</v>
      </c>
      <c r="S112" t="s">
        <v>372</v>
      </c>
      <c r="T112" t="s">
        <v>491</v>
      </c>
      <c r="U112" t="s">
        <v>461</v>
      </c>
      <c r="V112" t="s">
        <v>483</v>
      </c>
      <c r="W112" t="s">
        <v>194</v>
      </c>
      <c r="X112" t="s">
        <v>66</v>
      </c>
      <c r="Y112" t="s">
        <v>66</v>
      </c>
      <c r="Z112">
        <v>7</v>
      </c>
      <c r="AA112">
        <v>5</v>
      </c>
      <c r="AB112">
        <v>6</v>
      </c>
      <c r="AC112">
        <v>4</v>
      </c>
      <c r="AD112">
        <v>2</v>
      </c>
      <c r="AE112">
        <v>6</v>
      </c>
      <c r="AF112">
        <v>4</v>
      </c>
      <c r="AG112">
        <v>1</v>
      </c>
      <c r="AH112">
        <v>5</v>
      </c>
      <c r="AI112">
        <v>5</v>
      </c>
      <c r="AJ112">
        <v>2</v>
      </c>
      <c r="AK112">
        <v>4</v>
      </c>
      <c r="AL112">
        <v>5</v>
      </c>
      <c r="AM112">
        <v>6</v>
      </c>
      <c r="AN112">
        <v>12</v>
      </c>
      <c r="AO112">
        <v>2</v>
      </c>
      <c r="AP112">
        <v>2</v>
      </c>
      <c r="AQ112">
        <v>2</v>
      </c>
      <c r="AR112">
        <v>4</v>
      </c>
      <c r="AS112">
        <v>3</v>
      </c>
      <c r="AT112">
        <v>5</v>
      </c>
      <c r="AU112">
        <v>3</v>
      </c>
      <c r="AV112">
        <v>5</v>
      </c>
      <c r="AW112">
        <v>4</v>
      </c>
      <c r="AX112">
        <v>1</v>
      </c>
      <c r="AY112" cm="1">
        <f t="array" ref="AY112">_xlfn.IFS(AZ112="Positive",1, AZ112="Negative",1, AZ112="Neutral",0)</f>
        <v>1</v>
      </c>
      <c r="AZ112" t="str" cm="1">
        <f t="array" ref="AZ112">_xlfn.IFS(AX112=1,"Positive",AX112=2,"Neutral",AX112=3,"Negative")</f>
        <v>Positive</v>
      </c>
      <c r="BA112">
        <v>0</v>
      </c>
      <c r="BB112">
        <v>2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 t="s">
        <v>453</v>
      </c>
      <c r="BT112">
        <v>3</v>
      </c>
      <c r="BU112" t="s">
        <v>472</v>
      </c>
      <c r="BV112" t="s">
        <v>309</v>
      </c>
    </row>
    <row r="113" spans="1:74" hidden="1" x14ac:dyDescent="0.2">
      <c r="A113">
        <v>118</v>
      </c>
      <c r="B113">
        <v>3</v>
      </c>
      <c r="C113" t="s">
        <v>70</v>
      </c>
      <c r="E113" t="s">
        <v>71</v>
      </c>
      <c r="F113">
        <v>2</v>
      </c>
      <c r="G113">
        <v>1999</v>
      </c>
      <c r="H113">
        <v>23</v>
      </c>
      <c r="I113" t="s">
        <v>64</v>
      </c>
      <c r="J113">
        <v>1</v>
      </c>
      <c r="K113" t="s">
        <v>635</v>
      </c>
      <c r="L113" t="s">
        <v>636</v>
      </c>
      <c r="M113">
        <v>2</v>
      </c>
      <c r="N113">
        <v>66</v>
      </c>
      <c r="O113" t="s">
        <v>277</v>
      </c>
      <c r="P113" t="s">
        <v>278</v>
      </c>
      <c r="Q113" t="s">
        <v>704</v>
      </c>
      <c r="R113" t="s">
        <v>705</v>
      </c>
      <c r="S113" t="s">
        <v>281</v>
      </c>
      <c r="T113" t="s">
        <v>282</v>
      </c>
      <c r="U113" t="s">
        <v>283</v>
      </c>
      <c r="V113" t="s">
        <v>284</v>
      </c>
      <c r="W113" t="s">
        <v>194</v>
      </c>
      <c r="X113" t="s">
        <v>66</v>
      </c>
      <c r="Y113" t="s">
        <v>66</v>
      </c>
      <c r="Z113">
        <v>7</v>
      </c>
      <c r="AA113">
        <v>6</v>
      </c>
      <c r="AB113">
        <v>7</v>
      </c>
      <c r="AC113">
        <v>2</v>
      </c>
      <c r="AD113">
        <v>2</v>
      </c>
      <c r="AE113">
        <v>6</v>
      </c>
      <c r="AF113">
        <v>1</v>
      </c>
      <c r="AG113">
        <v>1</v>
      </c>
      <c r="AH113">
        <v>6</v>
      </c>
      <c r="AI113">
        <v>6</v>
      </c>
      <c r="AJ113">
        <v>2</v>
      </c>
      <c r="AK113">
        <v>5</v>
      </c>
      <c r="AL113">
        <v>6</v>
      </c>
      <c r="AM113">
        <v>4</v>
      </c>
      <c r="AN113">
        <v>89</v>
      </c>
      <c r="AO113">
        <v>1</v>
      </c>
      <c r="AP113">
        <v>2</v>
      </c>
      <c r="AQ113">
        <v>5</v>
      </c>
      <c r="AR113">
        <v>5</v>
      </c>
      <c r="AS113">
        <v>2</v>
      </c>
      <c r="AT113">
        <v>3</v>
      </c>
      <c r="AU113">
        <v>6</v>
      </c>
      <c r="AV113">
        <v>6</v>
      </c>
      <c r="AW113">
        <v>7</v>
      </c>
      <c r="AX113">
        <v>1</v>
      </c>
      <c r="AY113" cm="1">
        <f t="array" ref="AY113">_xlfn.IFS(AZ113="Positive",1, AZ113="Negative",1, AZ113="Neutral",0)</f>
        <v>1</v>
      </c>
      <c r="AZ113" t="str" cm="1">
        <f t="array" ref="AZ113">_xlfn.IFS(AX113=1,"Positive",AX113=2,"Neutral",AX113=3,"Negative")</f>
        <v>Positive</v>
      </c>
      <c r="BA113">
        <v>9</v>
      </c>
      <c r="BB113">
        <v>0</v>
      </c>
      <c r="BC113" s="3">
        <v>4</v>
      </c>
      <c r="BD113" s="3">
        <v>4</v>
      </c>
      <c r="BE113" s="3">
        <v>1</v>
      </c>
      <c r="BF113" s="3">
        <v>0</v>
      </c>
      <c r="BG113" s="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 t="s">
        <v>275</v>
      </c>
      <c r="BT113" t="s">
        <v>276</v>
      </c>
      <c r="BU113" t="s">
        <v>279</v>
      </c>
      <c r="BV113" t="s">
        <v>280</v>
      </c>
    </row>
    <row r="114" spans="1:74" hidden="1" x14ac:dyDescent="0.2">
      <c r="A114">
        <v>119</v>
      </c>
      <c r="B114">
        <v>4</v>
      </c>
      <c r="C114" t="s">
        <v>72</v>
      </c>
      <c r="E114" t="s">
        <v>73</v>
      </c>
      <c r="F114">
        <v>2</v>
      </c>
      <c r="G114">
        <v>1999</v>
      </c>
      <c r="H114">
        <v>23</v>
      </c>
      <c r="I114" t="s">
        <v>64</v>
      </c>
      <c r="J114">
        <v>1</v>
      </c>
      <c r="K114" t="s">
        <v>637</v>
      </c>
      <c r="L114" t="s">
        <v>638</v>
      </c>
      <c r="M114">
        <v>8</v>
      </c>
      <c r="N114">
        <v>61</v>
      </c>
      <c r="O114" t="s">
        <v>287</v>
      </c>
      <c r="P114" t="s">
        <v>288</v>
      </c>
      <c r="Q114" t="s">
        <v>706</v>
      </c>
      <c r="R114" t="s">
        <v>707</v>
      </c>
      <c r="S114" t="s">
        <v>291</v>
      </c>
      <c r="T114" t="s">
        <v>292</v>
      </c>
      <c r="U114" t="s">
        <v>293</v>
      </c>
      <c r="V114" t="s">
        <v>294</v>
      </c>
      <c r="W114" t="s">
        <v>194</v>
      </c>
      <c r="X114" t="s">
        <v>66</v>
      </c>
      <c r="Y114" t="s">
        <v>66</v>
      </c>
      <c r="Z114">
        <v>7</v>
      </c>
      <c r="AA114">
        <v>7</v>
      </c>
      <c r="AB114">
        <v>7</v>
      </c>
      <c r="AC114">
        <v>6</v>
      </c>
      <c r="AD114">
        <v>4</v>
      </c>
      <c r="AE114">
        <v>6</v>
      </c>
      <c r="AF114">
        <v>2</v>
      </c>
      <c r="AG114">
        <v>1</v>
      </c>
      <c r="AH114">
        <v>7</v>
      </c>
      <c r="AI114">
        <v>7</v>
      </c>
      <c r="AJ114">
        <v>2</v>
      </c>
      <c r="AK114">
        <v>7</v>
      </c>
      <c r="AL114">
        <v>7</v>
      </c>
      <c r="AM114">
        <v>7</v>
      </c>
      <c r="AN114">
        <v>12</v>
      </c>
      <c r="AO114">
        <v>4</v>
      </c>
      <c r="AP114">
        <v>1</v>
      </c>
      <c r="AQ114">
        <v>6</v>
      </c>
      <c r="AR114">
        <v>6</v>
      </c>
      <c r="AS114">
        <v>6</v>
      </c>
      <c r="AT114">
        <v>2</v>
      </c>
      <c r="AU114">
        <v>3</v>
      </c>
      <c r="AV114">
        <v>7</v>
      </c>
      <c r="AW114">
        <v>7</v>
      </c>
      <c r="AX114">
        <v>1</v>
      </c>
      <c r="AY114" cm="1">
        <f t="array" ref="AY114">_xlfn.IFS(AZ114="Positive",1, AZ114="Negative",1, AZ114="Neutral",0)</f>
        <v>1</v>
      </c>
      <c r="AZ114" t="str" cm="1">
        <f t="array" ref="AZ114">_xlfn.IFS(AX114=1,"Positive",AX114=2,"Neutral",AX114=3,"Negative")</f>
        <v>Positive</v>
      </c>
      <c r="BA114">
        <v>5</v>
      </c>
      <c r="BB114">
        <v>2</v>
      </c>
      <c r="BC114" s="3">
        <v>3</v>
      </c>
      <c r="BD114" s="3">
        <v>1</v>
      </c>
      <c r="BE114" s="3">
        <v>1</v>
      </c>
      <c r="BF114" s="3">
        <v>0</v>
      </c>
      <c r="BG114" s="3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2</v>
      </c>
      <c r="BR114">
        <v>0</v>
      </c>
      <c r="BS114" t="s">
        <v>285</v>
      </c>
      <c r="BT114" t="s">
        <v>286</v>
      </c>
      <c r="BU114" t="s">
        <v>289</v>
      </c>
      <c r="BV114" t="s">
        <v>290</v>
      </c>
    </row>
    <row r="115" spans="1:74" x14ac:dyDescent="0.2">
      <c r="A115">
        <v>120</v>
      </c>
      <c r="B115">
        <v>5</v>
      </c>
      <c r="C115" t="s">
        <v>74</v>
      </c>
      <c r="E115" t="s">
        <v>68</v>
      </c>
      <c r="F115">
        <v>6</v>
      </c>
      <c r="G115">
        <v>2001</v>
      </c>
      <c r="H115">
        <v>21</v>
      </c>
      <c r="I115" t="s">
        <v>69</v>
      </c>
      <c r="J115">
        <v>2</v>
      </c>
      <c r="K115" t="s">
        <v>639</v>
      </c>
      <c r="L115" t="s">
        <v>640</v>
      </c>
      <c r="M115">
        <v>20</v>
      </c>
      <c r="N115">
        <v>51</v>
      </c>
      <c r="O115" t="s">
        <v>297</v>
      </c>
      <c r="P115" t="s">
        <v>298</v>
      </c>
      <c r="Q115" t="s">
        <v>708</v>
      </c>
      <c r="R115" t="s">
        <v>709</v>
      </c>
      <c r="S115" t="s">
        <v>301</v>
      </c>
      <c r="T115" t="s">
        <v>302</v>
      </c>
      <c r="U115" t="s">
        <v>303</v>
      </c>
      <c r="V115" t="s">
        <v>304</v>
      </c>
      <c r="W115" t="s">
        <v>194</v>
      </c>
      <c r="X115" t="s">
        <v>66</v>
      </c>
      <c r="Y115" t="s">
        <v>66</v>
      </c>
      <c r="Z115">
        <v>7</v>
      </c>
      <c r="AA115">
        <v>1</v>
      </c>
      <c r="AB115">
        <v>2</v>
      </c>
      <c r="AC115">
        <v>1</v>
      </c>
      <c r="AD115">
        <v>6</v>
      </c>
      <c r="AE115">
        <v>5</v>
      </c>
      <c r="AF115">
        <v>2</v>
      </c>
      <c r="AG115">
        <v>1</v>
      </c>
      <c r="AH115">
        <v>1</v>
      </c>
      <c r="AI115">
        <v>7</v>
      </c>
      <c r="AJ115">
        <v>1</v>
      </c>
      <c r="AK115">
        <v>4</v>
      </c>
      <c r="AL115">
        <v>5</v>
      </c>
      <c r="AM115">
        <v>1</v>
      </c>
      <c r="AN115">
        <v>240</v>
      </c>
      <c r="AO115">
        <v>3</v>
      </c>
      <c r="AP115">
        <v>1</v>
      </c>
      <c r="AQ115">
        <v>1</v>
      </c>
      <c r="AR115">
        <v>2</v>
      </c>
      <c r="AS115">
        <v>1</v>
      </c>
      <c r="AT115">
        <v>1</v>
      </c>
      <c r="AU115">
        <v>1</v>
      </c>
      <c r="AV115">
        <v>1</v>
      </c>
      <c r="AW115">
        <v>3</v>
      </c>
      <c r="AX115">
        <v>1</v>
      </c>
      <c r="AY115" cm="1">
        <f t="array" ref="AY115">_xlfn.IFS(AZ115="Positive",1, AZ115="Negative",1, AZ115="Neutral",0)</f>
        <v>1</v>
      </c>
      <c r="AZ115" t="str" cm="1">
        <f t="array" ref="AZ115">_xlfn.IFS(AX115=1,"Positive",AX115=2,"Neutral",AX115=3,"Negative")</f>
        <v>Positive</v>
      </c>
      <c r="BA115">
        <v>0</v>
      </c>
      <c r="BB115">
        <v>3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>
        <v>0</v>
      </c>
      <c r="BI115">
        <v>0</v>
      </c>
      <c r="BJ115">
        <v>0</v>
      </c>
      <c r="BK115">
        <v>1</v>
      </c>
      <c r="BL115">
        <v>2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 t="s">
        <v>295</v>
      </c>
      <c r="BT115" t="s">
        <v>296</v>
      </c>
      <c r="BU115" t="s">
        <v>299</v>
      </c>
      <c r="BV115" t="s">
        <v>300</v>
      </c>
    </row>
    <row r="116" spans="1:74" hidden="1" x14ac:dyDescent="0.2">
      <c r="A116">
        <v>121</v>
      </c>
      <c r="B116">
        <v>6</v>
      </c>
      <c r="C116" t="s">
        <v>75</v>
      </c>
      <c r="E116" t="s">
        <v>76</v>
      </c>
      <c r="F116">
        <v>28</v>
      </c>
      <c r="G116">
        <v>1999</v>
      </c>
      <c r="H116">
        <v>23</v>
      </c>
      <c r="I116" t="s">
        <v>64</v>
      </c>
      <c r="J116">
        <v>1</v>
      </c>
      <c r="K116" t="s">
        <v>641</v>
      </c>
      <c r="L116" t="s">
        <v>633</v>
      </c>
      <c r="M116">
        <v>21</v>
      </c>
      <c r="N116">
        <v>61</v>
      </c>
      <c r="O116" t="s">
        <v>306</v>
      </c>
      <c r="P116" t="s">
        <v>307</v>
      </c>
      <c r="Q116" t="s">
        <v>710</v>
      </c>
      <c r="R116" t="s">
        <v>711</v>
      </c>
      <c r="S116" t="s">
        <v>310</v>
      </c>
      <c r="T116" t="s">
        <v>292</v>
      </c>
      <c r="U116" t="s">
        <v>311</v>
      </c>
      <c r="V116" t="s">
        <v>312</v>
      </c>
      <c r="W116" t="s">
        <v>194</v>
      </c>
      <c r="X116" t="s">
        <v>66</v>
      </c>
      <c r="Y116" t="s">
        <v>66</v>
      </c>
      <c r="Z116">
        <v>7</v>
      </c>
      <c r="AA116">
        <v>6</v>
      </c>
      <c r="AB116">
        <v>6</v>
      </c>
      <c r="AC116">
        <v>6</v>
      </c>
      <c r="AD116">
        <v>4</v>
      </c>
      <c r="AE116">
        <v>6</v>
      </c>
      <c r="AF116">
        <v>4</v>
      </c>
      <c r="AG116">
        <v>5</v>
      </c>
      <c r="AH116">
        <v>5</v>
      </c>
      <c r="AI116">
        <v>4</v>
      </c>
      <c r="AJ116">
        <v>5</v>
      </c>
      <c r="AK116">
        <v>5</v>
      </c>
      <c r="AL116">
        <v>4</v>
      </c>
      <c r="AM116">
        <v>4</v>
      </c>
      <c r="AN116">
        <v>240</v>
      </c>
      <c r="AO116">
        <v>6</v>
      </c>
      <c r="AP116">
        <v>4</v>
      </c>
      <c r="AQ116">
        <v>5</v>
      </c>
      <c r="AR116">
        <v>5</v>
      </c>
      <c r="AS116">
        <v>4</v>
      </c>
      <c r="AT116">
        <v>6</v>
      </c>
      <c r="AU116">
        <v>4</v>
      </c>
      <c r="AV116">
        <v>6</v>
      </c>
      <c r="AW116">
        <v>5</v>
      </c>
      <c r="AX116">
        <v>2</v>
      </c>
      <c r="AY116" cm="1">
        <f t="array" ref="AY116">_xlfn.IFS(AZ116="Positive",1, AZ116="Negative",1, AZ116="Neutral",0)</f>
        <v>0</v>
      </c>
      <c r="AZ116" t="str" cm="1">
        <f t="array" ref="AZ116">_xlfn.IFS(AX116=1,"Positive",AX116=2,"Neutral",AX116=3,"Negative")</f>
        <v>Neutral</v>
      </c>
      <c r="BA116">
        <v>8</v>
      </c>
      <c r="BB116">
        <v>0</v>
      </c>
      <c r="BC116" s="3">
        <v>3</v>
      </c>
      <c r="BD116" s="3">
        <v>1</v>
      </c>
      <c r="BE116" s="3">
        <v>2</v>
      </c>
      <c r="BF116" s="3">
        <v>2</v>
      </c>
      <c r="BG116" s="3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 t="s">
        <v>305</v>
      </c>
      <c r="BT116">
        <v>3</v>
      </c>
      <c r="BU116" t="s">
        <v>308</v>
      </c>
      <c r="BV116" t="s">
        <v>309</v>
      </c>
    </row>
    <row r="117" spans="1:74" x14ac:dyDescent="0.2">
      <c r="A117">
        <v>122</v>
      </c>
      <c r="B117">
        <v>7</v>
      </c>
      <c r="C117" t="s">
        <v>77</v>
      </c>
      <c r="E117" t="s">
        <v>78</v>
      </c>
      <c r="F117">
        <v>11</v>
      </c>
      <c r="G117">
        <v>2001</v>
      </c>
      <c r="H117">
        <v>21</v>
      </c>
      <c r="I117" t="s">
        <v>64</v>
      </c>
      <c r="J117">
        <v>1</v>
      </c>
      <c r="K117" t="s">
        <v>642</v>
      </c>
      <c r="L117" t="s">
        <v>643</v>
      </c>
      <c r="M117">
        <v>5</v>
      </c>
      <c r="N117">
        <v>62</v>
      </c>
      <c r="O117" t="s">
        <v>314</v>
      </c>
      <c r="P117" t="s">
        <v>315</v>
      </c>
      <c r="Q117" t="s">
        <v>712</v>
      </c>
      <c r="R117" t="s">
        <v>713</v>
      </c>
      <c r="S117" t="s">
        <v>318</v>
      </c>
      <c r="T117" t="s">
        <v>319</v>
      </c>
      <c r="U117" t="s">
        <v>320</v>
      </c>
      <c r="V117" t="s">
        <v>321</v>
      </c>
      <c r="W117" t="s">
        <v>194</v>
      </c>
      <c r="X117" t="s">
        <v>66</v>
      </c>
      <c r="Y117" t="s">
        <v>66</v>
      </c>
      <c r="Z117">
        <v>7</v>
      </c>
      <c r="AA117">
        <v>5</v>
      </c>
      <c r="AB117">
        <v>7</v>
      </c>
      <c r="AC117">
        <v>6</v>
      </c>
      <c r="AD117">
        <v>3</v>
      </c>
      <c r="AE117">
        <v>4</v>
      </c>
      <c r="AF117">
        <v>3</v>
      </c>
      <c r="AG117">
        <v>2</v>
      </c>
      <c r="AH117">
        <v>6</v>
      </c>
      <c r="AI117">
        <v>5</v>
      </c>
      <c r="AJ117">
        <v>3</v>
      </c>
      <c r="AK117">
        <v>5</v>
      </c>
      <c r="AL117">
        <v>4</v>
      </c>
      <c r="AM117">
        <v>3</v>
      </c>
      <c r="AN117">
        <v>12</v>
      </c>
      <c r="AO117">
        <v>5</v>
      </c>
      <c r="AP117">
        <v>5</v>
      </c>
      <c r="AQ117">
        <v>5</v>
      </c>
      <c r="AR117">
        <v>5</v>
      </c>
      <c r="AS117">
        <v>5</v>
      </c>
      <c r="AT117">
        <v>5</v>
      </c>
      <c r="AU117">
        <v>4</v>
      </c>
      <c r="AV117">
        <v>3</v>
      </c>
      <c r="AW117">
        <v>5</v>
      </c>
      <c r="AX117">
        <v>2</v>
      </c>
      <c r="AY117" cm="1">
        <f t="array" ref="AY117">_xlfn.IFS(AZ117="Positive",1, AZ117="Negative",1, AZ117="Neutral",0)</f>
        <v>0</v>
      </c>
      <c r="AZ117" t="str" cm="1">
        <f t="array" ref="AZ117">_xlfn.IFS(AX117=1,"Positive",AX117=2,"Neutral",AX117=3,"Negative")</f>
        <v>Neutral</v>
      </c>
      <c r="BA117">
        <v>0</v>
      </c>
      <c r="BB117">
        <v>4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>
        <v>0</v>
      </c>
      <c r="BI117">
        <v>0</v>
      </c>
      <c r="BJ117">
        <v>2</v>
      </c>
      <c r="BK117">
        <v>0</v>
      </c>
      <c r="BL117">
        <v>2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 t="s">
        <v>313</v>
      </c>
      <c r="BT117" t="s">
        <v>313</v>
      </c>
      <c r="BU117" t="s">
        <v>316</v>
      </c>
      <c r="BV117" t="s">
        <v>317</v>
      </c>
    </row>
    <row r="118" spans="1:74" hidden="1" x14ac:dyDescent="0.2">
      <c r="A118">
        <v>123</v>
      </c>
      <c r="B118">
        <v>8</v>
      </c>
      <c r="C118" t="s">
        <v>79</v>
      </c>
      <c r="E118" t="s">
        <v>80</v>
      </c>
      <c r="F118">
        <v>22</v>
      </c>
      <c r="G118">
        <v>2000</v>
      </c>
      <c r="H118">
        <v>22</v>
      </c>
      <c r="I118" t="s">
        <v>64</v>
      </c>
      <c r="J118">
        <v>1</v>
      </c>
      <c r="K118" t="s">
        <v>644</v>
      </c>
      <c r="L118" t="s">
        <v>645</v>
      </c>
      <c r="M118">
        <v>13</v>
      </c>
      <c r="N118">
        <v>71</v>
      </c>
      <c r="O118" t="s">
        <v>324</v>
      </c>
      <c r="P118" t="s">
        <v>325</v>
      </c>
      <c r="Q118" t="s">
        <v>714</v>
      </c>
      <c r="R118" t="s">
        <v>715</v>
      </c>
      <c r="S118" t="s">
        <v>328</v>
      </c>
      <c r="T118" t="s">
        <v>329</v>
      </c>
      <c r="U118" t="s">
        <v>330</v>
      </c>
      <c r="V118" t="s">
        <v>331</v>
      </c>
      <c r="W118" t="s">
        <v>194</v>
      </c>
      <c r="X118" t="s">
        <v>66</v>
      </c>
      <c r="Y118" t="s">
        <v>66</v>
      </c>
      <c r="Z118">
        <v>7</v>
      </c>
      <c r="AA118">
        <v>5</v>
      </c>
      <c r="AB118">
        <v>7</v>
      </c>
      <c r="AC118">
        <v>6</v>
      </c>
      <c r="AD118">
        <v>4</v>
      </c>
      <c r="AE118">
        <v>3</v>
      </c>
      <c r="AF118">
        <v>3</v>
      </c>
      <c r="AG118">
        <v>2</v>
      </c>
      <c r="AH118">
        <v>5</v>
      </c>
      <c r="AI118">
        <v>7</v>
      </c>
      <c r="AJ118">
        <v>1</v>
      </c>
      <c r="AK118">
        <v>5</v>
      </c>
      <c r="AL118">
        <v>4</v>
      </c>
      <c r="AM118">
        <v>6</v>
      </c>
      <c r="AN118">
        <v>42</v>
      </c>
      <c r="AO118">
        <v>3</v>
      </c>
      <c r="AP118">
        <v>2</v>
      </c>
      <c r="AQ118">
        <v>4</v>
      </c>
      <c r="AR118">
        <v>5</v>
      </c>
      <c r="AS118">
        <v>5</v>
      </c>
      <c r="AT118">
        <v>5</v>
      </c>
      <c r="AU118">
        <v>5</v>
      </c>
      <c r="AV118">
        <v>6</v>
      </c>
      <c r="AW118">
        <v>6</v>
      </c>
      <c r="AX118">
        <v>1</v>
      </c>
      <c r="AY118" cm="1">
        <f t="array" ref="AY118">_xlfn.IFS(AZ118="Positive",1, AZ118="Negative",1, AZ118="Neutral",0)</f>
        <v>1</v>
      </c>
      <c r="AZ118" t="str" cm="1">
        <f t="array" ref="AZ118">_xlfn.IFS(AX118=1,"Positive",AX118=2,"Neutral",AX118=3,"Negative")</f>
        <v>Positive</v>
      </c>
      <c r="BA118">
        <v>26</v>
      </c>
      <c r="BB118">
        <v>1</v>
      </c>
      <c r="BC118" s="3">
        <v>17</v>
      </c>
      <c r="BD118" s="3">
        <v>0</v>
      </c>
      <c r="BE118" s="3">
        <v>4</v>
      </c>
      <c r="BF118" s="3">
        <v>4</v>
      </c>
      <c r="BG118" s="3">
        <v>1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 t="s">
        <v>322</v>
      </c>
      <c r="BT118" t="s">
        <v>323</v>
      </c>
      <c r="BU118" t="s">
        <v>326</v>
      </c>
      <c r="BV118" t="s">
        <v>327</v>
      </c>
    </row>
    <row r="119" spans="1:74" x14ac:dyDescent="0.2">
      <c r="A119">
        <v>124</v>
      </c>
      <c r="B119">
        <v>9</v>
      </c>
      <c r="C119" t="s">
        <v>81</v>
      </c>
      <c r="E119" t="s">
        <v>82</v>
      </c>
      <c r="F119">
        <v>29</v>
      </c>
      <c r="G119">
        <v>1999</v>
      </c>
      <c r="H119">
        <v>23</v>
      </c>
      <c r="I119" t="s">
        <v>69</v>
      </c>
      <c r="J119">
        <v>2</v>
      </c>
      <c r="K119" t="s">
        <v>646</v>
      </c>
      <c r="L119" t="s">
        <v>647</v>
      </c>
      <c r="M119">
        <v>1</v>
      </c>
      <c r="N119">
        <v>43</v>
      </c>
      <c r="O119" t="s">
        <v>332</v>
      </c>
      <c r="P119" t="s">
        <v>315</v>
      </c>
      <c r="Q119" t="s">
        <v>716</v>
      </c>
      <c r="R119" t="s">
        <v>717</v>
      </c>
      <c r="S119" t="s">
        <v>335</v>
      </c>
      <c r="T119" t="s">
        <v>336</v>
      </c>
      <c r="U119" t="s">
        <v>337</v>
      </c>
      <c r="V119" t="s">
        <v>321</v>
      </c>
      <c r="W119" t="s">
        <v>194</v>
      </c>
      <c r="X119" t="s">
        <v>66</v>
      </c>
      <c r="Y119" t="s">
        <v>66</v>
      </c>
      <c r="Z119">
        <v>7</v>
      </c>
      <c r="AA119">
        <v>1</v>
      </c>
      <c r="AB119">
        <v>7</v>
      </c>
      <c r="AC119">
        <v>1</v>
      </c>
      <c r="AD119">
        <v>1</v>
      </c>
      <c r="AE119">
        <v>5</v>
      </c>
      <c r="AF119">
        <v>1</v>
      </c>
      <c r="AG119">
        <v>2</v>
      </c>
      <c r="AH119">
        <v>1</v>
      </c>
      <c r="AI119">
        <v>4</v>
      </c>
      <c r="AJ119">
        <v>1</v>
      </c>
      <c r="AK119">
        <v>5</v>
      </c>
      <c r="AL119">
        <v>4</v>
      </c>
      <c r="AM119">
        <v>5</v>
      </c>
      <c r="AN119">
        <v>169</v>
      </c>
      <c r="AO119">
        <v>1</v>
      </c>
      <c r="AP119">
        <v>3</v>
      </c>
      <c r="AQ119">
        <v>2</v>
      </c>
      <c r="AR119">
        <v>1</v>
      </c>
      <c r="AS119">
        <v>4</v>
      </c>
      <c r="AT119">
        <v>3</v>
      </c>
      <c r="AU119">
        <v>3</v>
      </c>
      <c r="AV119">
        <v>7</v>
      </c>
      <c r="AW119">
        <v>7</v>
      </c>
      <c r="AX119">
        <v>2</v>
      </c>
      <c r="AY119" cm="1">
        <f t="array" ref="AY119">_xlfn.IFS(AZ119="Positive",1, AZ119="Negative",1, AZ119="Neutral",0)</f>
        <v>0</v>
      </c>
      <c r="AZ119" t="str" cm="1">
        <f t="array" ref="AZ119">_xlfn.IFS(AX119=1,"Positive",AX119=2,"Neutral",AX119=3,"Negative")</f>
        <v>Neutral</v>
      </c>
      <c r="BA119">
        <v>0</v>
      </c>
      <c r="BB119">
        <v>5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>
        <v>0</v>
      </c>
      <c r="BI119">
        <v>0</v>
      </c>
      <c r="BJ119">
        <v>4</v>
      </c>
      <c r="BK119">
        <v>0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2</v>
      </c>
      <c r="BT119" t="s">
        <v>275</v>
      </c>
      <c r="BU119" t="s">
        <v>333</v>
      </c>
      <c r="BV119" t="s">
        <v>334</v>
      </c>
    </row>
    <row r="120" spans="1:74" hidden="1" x14ac:dyDescent="0.2">
      <c r="A120">
        <v>125</v>
      </c>
      <c r="B120">
        <v>10</v>
      </c>
      <c r="C120" t="s">
        <v>83</v>
      </c>
      <c r="E120" t="s">
        <v>80</v>
      </c>
      <c r="F120">
        <v>23</v>
      </c>
      <c r="G120">
        <v>2001</v>
      </c>
      <c r="H120">
        <v>21</v>
      </c>
      <c r="I120" t="s">
        <v>64</v>
      </c>
      <c r="J120">
        <v>1</v>
      </c>
      <c r="K120" t="s">
        <v>637</v>
      </c>
      <c r="L120" t="s">
        <v>648</v>
      </c>
      <c r="M120">
        <v>13</v>
      </c>
      <c r="N120">
        <v>59</v>
      </c>
      <c r="O120" t="s">
        <v>338</v>
      </c>
      <c r="P120" t="s">
        <v>339</v>
      </c>
      <c r="Q120" t="s">
        <v>706</v>
      </c>
      <c r="R120" t="s">
        <v>718</v>
      </c>
      <c r="S120" t="s">
        <v>328</v>
      </c>
      <c r="T120" t="s">
        <v>341</v>
      </c>
      <c r="U120" t="s">
        <v>342</v>
      </c>
      <c r="V120" t="s">
        <v>343</v>
      </c>
      <c r="W120" t="s">
        <v>194</v>
      </c>
      <c r="X120" t="s">
        <v>66</v>
      </c>
      <c r="Y120" t="s">
        <v>66</v>
      </c>
      <c r="Z120">
        <v>7</v>
      </c>
      <c r="AA120">
        <v>5</v>
      </c>
      <c r="AB120">
        <v>6</v>
      </c>
      <c r="AC120">
        <v>6</v>
      </c>
      <c r="AD120">
        <v>6</v>
      </c>
      <c r="AE120">
        <v>6</v>
      </c>
      <c r="AF120">
        <v>3</v>
      </c>
      <c r="AG120">
        <v>3</v>
      </c>
      <c r="AH120">
        <v>5</v>
      </c>
      <c r="AI120">
        <v>6</v>
      </c>
      <c r="AJ120">
        <v>2</v>
      </c>
      <c r="AK120">
        <v>4</v>
      </c>
      <c r="AL120">
        <v>2</v>
      </c>
      <c r="AM120">
        <v>1</v>
      </c>
      <c r="AN120">
        <v>48</v>
      </c>
      <c r="AO120">
        <v>2</v>
      </c>
      <c r="AP120">
        <v>2</v>
      </c>
      <c r="AQ120">
        <v>2</v>
      </c>
      <c r="AR120">
        <v>4</v>
      </c>
      <c r="AS120">
        <v>5</v>
      </c>
      <c r="AT120">
        <v>2</v>
      </c>
      <c r="AU120">
        <v>4</v>
      </c>
      <c r="AV120">
        <v>4</v>
      </c>
      <c r="AW120">
        <v>5</v>
      </c>
      <c r="AX120">
        <v>1</v>
      </c>
      <c r="AY120" cm="1">
        <f t="array" ref="AY120">_xlfn.IFS(AZ120="Positive",1, AZ120="Negative",1, AZ120="Neutral",0)</f>
        <v>1</v>
      </c>
      <c r="AZ120" t="str" cm="1">
        <f t="array" ref="AZ120">_xlfn.IFS(AX120=1,"Positive",AX120=2,"Neutral",AX120=3,"Negative")</f>
        <v>Positive</v>
      </c>
      <c r="BA120">
        <v>5</v>
      </c>
      <c r="BB120">
        <v>0</v>
      </c>
      <c r="BC120" s="3">
        <v>2</v>
      </c>
      <c r="BD120" s="3">
        <v>1</v>
      </c>
      <c r="BE120" s="3">
        <v>0</v>
      </c>
      <c r="BF120" s="3">
        <v>2</v>
      </c>
      <c r="BG120" s="3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 t="s">
        <v>285</v>
      </c>
      <c r="BT120">
        <v>2</v>
      </c>
      <c r="BU120" t="s">
        <v>289</v>
      </c>
      <c r="BV120" t="s">
        <v>340</v>
      </c>
    </row>
    <row r="121" spans="1:74" hidden="1" x14ac:dyDescent="0.2">
      <c r="A121">
        <v>126</v>
      </c>
      <c r="B121">
        <v>11</v>
      </c>
      <c r="C121" t="s">
        <v>84</v>
      </c>
      <c r="E121" t="s">
        <v>85</v>
      </c>
      <c r="F121">
        <v>26</v>
      </c>
      <c r="G121">
        <v>2000</v>
      </c>
      <c r="H121">
        <v>22</v>
      </c>
      <c r="I121" t="s">
        <v>64</v>
      </c>
      <c r="J121">
        <v>1</v>
      </c>
      <c r="K121" t="s">
        <v>649</v>
      </c>
      <c r="L121" t="s">
        <v>650</v>
      </c>
      <c r="M121">
        <v>9</v>
      </c>
      <c r="N121">
        <v>61</v>
      </c>
      <c r="O121" t="s">
        <v>346</v>
      </c>
      <c r="P121" t="s">
        <v>314</v>
      </c>
      <c r="Q121" t="s">
        <v>719</v>
      </c>
      <c r="R121" t="s">
        <v>720</v>
      </c>
      <c r="S121" t="s">
        <v>349</v>
      </c>
      <c r="T121" t="s">
        <v>292</v>
      </c>
      <c r="U121" t="s">
        <v>350</v>
      </c>
      <c r="V121" t="s">
        <v>351</v>
      </c>
      <c r="W121" t="s">
        <v>194</v>
      </c>
      <c r="X121" t="s">
        <v>66</v>
      </c>
      <c r="Y121" t="s">
        <v>66</v>
      </c>
      <c r="Z121">
        <v>7</v>
      </c>
      <c r="AA121">
        <v>6</v>
      </c>
      <c r="AB121">
        <v>6</v>
      </c>
      <c r="AC121">
        <v>6</v>
      </c>
      <c r="AD121">
        <v>6</v>
      </c>
      <c r="AE121">
        <v>6</v>
      </c>
      <c r="AF121">
        <v>2</v>
      </c>
      <c r="AG121">
        <v>1</v>
      </c>
      <c r="AH121">
        <v>6</v>
      </c>
      <c r="AI121">
        <v>6</v>
      </c>
      <c r="AJ121">
        <v>1</v>
      </c>
      <c r="AK121">
        <v>5</v>
      </c>
      <c r="AL121">
        <v>4</v>
      </c>
      <c r="AM121">
        <v>4</v>
      </c>
      <c r="AN121">
        <v>24</v>
      </c>
      <c r="AO121">
        <v>1</v>
      </c>
      <c r="AP121">
        <v>2</v>
      </c>
      <c r="AQ121">
        <v>2</v>
      </c>
      <c r="AR121">
        <v>6</v>
      </c>
      <c r="AS121">
        <v>6</v>
      </c>
      <c r="AT121">
        <v>6</v>
      </c>
      <c r="AU121">
        <v>6</v>
      </c>
      <c r="AV121">
        <v>6</v>
      </c>
      <c r="AW121">
        <v>6</v>
      </c>
      <c r="AX121">
        <v>1</v>
      </c>
      <c r="AY121" cm="1">
        <f t="array" ref="AY121">_xlfn.IFS(AZ121="Positive",1, AZ121="Negative",1, AZ121="Neutral",0)</f>
        <v>1</v>
      </c>
      <c r="AZ121" t="str" cm="1">
        <f t="array" ref="AZ121">_xlfn.IFS(AX121=1,"Positive",AX121=2,"Neutral",AX121=3,"Negative")</f>
        <v>Positive</v>
      </c>
      <c r="BA121">
        <v>4</v>
      </c>
      <c r="BB121">
        <v>0</v>
      </c>
      <c r="BC121" s="3">
        <v>3</v>
      </c>
      <c r="BD121" s="3">
        <v>0</v>
      </c>
      <c r="BE121" s="3">
        <v>0</v>
      </c>
      <c r="BF121" s="3">
        <v>1</v>
      </c>
      <c r="BG121" s="3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 t="s">
        <v>344</v>
      </c>
      <c r="BT121" t="s">
        <v>345</v>
      </c>
      <c r="BU121" t="s">
        <v>347</v>
      </c>
      <c r="BV121" t="s">
        <v>348</v>
      </c>
    </row>
    <row r="122" spans="1:74" hidden="1" x14ac:dyDescent="0.2">
      <c r="A122">
        <v>127</v>
      </c>
      <c r="B122">
        <v>12</v>
      </c>
      <c r="C122" t="s">
        <v>86</v>
      </c>
      <c r="E122" t="s">
        <v>63</v>
      </c>
      <c r="F122">
        <v>7</v>
      </c>
      <c r="G122">
        <v>2001</v>
      </c>
      <c r="H122">
        <v>21</v>
      </c>
      <c r="I122" t="s">
        <v>69</v>
      </c>
      <c r="J122">
        <v>2</v>
      </c>
      <c r="K122" t="s">
        <v>651</v>
      </c>
      <c r="L122" t="s">
        <v>652</v>
      </c>
      <c r="M122">
        <v>19</v>
      </c>
      <c r="N122">
        <v>69</v>
      </c>
      <c r="O122" t="s">
        <v>353</v>
      </c>
      <c r="P122" t="s">
        <v>354</v>
      </c>
      <c r="Q122" t="s">
        <v>721</v>
      </c>
      <c r="R122" t="s">
        <v>722</v>
      </c>
      <c r="S122" t="s">
        <v>356</v>
      </c>
      <c r="T122" t="s">
        <v>357</v>
      </c>
      <c r="U122" t="s">
        <v>358</v>
      </c>
      <c r="V122" t="s">
        <v>359</v>
      </c>
      <c r="W122" t="s">
        <v>194</v>
      </c>
      <c r="X122" t="s">
        <v>66</v>
      </c>
      <c r="Y122" t="s">
        <v>66</v>
      </c>
      <c r="Z122">
        <v>7</v>
      </c>
      <c r="AA122">
        <v>6</v>
      </c>
      <c r="AB122">
        <v>6</v>
      </c>
      <c r="AC122">
        <v>7</v>
      </c>
      <c r="AD122">
        <v>3</v>
      </c>
      <c r="AE122">
        <v>7</v>
      </c>
      <c r="AF122">
        <v>2</v>
      </c>
      <c r="AG122">
        <v>2</v>
      </c>
      <c r="AH122">
        <v>7</v>
      </c>
      <c r="AI122">
        <v>1</v>
      </c>
      <c r="AJ122">
        <v>7</v>
      </c>
      <c r="AK122">
        <v>7</v>
      </c>
      <c r="AL122">
        <v>5</v>
      </c>
      <c r="AM122">
        <v>4</v>
      </c>
      <c r="AN122">
        <v>108</v>
      </c>
      <c r="AO122">
        <v>3</v>
      </c>
      <c r="AP122">
        <v>7</v>
      </c>
      <c r="AQ122">
        <v>6</v>
      </c>
      <c r="AR122">
        <v>5</v>
      </c>
      <c r="AS122">
        <v>7</v>
      </c>
      <c r="AT122">
        <v>4</v>
      </c>
      <c r="AU122">
        <v>5</v>
      </c>
      <c r="AV122">
        <v>6</v>
      </c>
      <c r="AW122">
        <v>7</v>
      </c>
      <c r="AX122">
        <v>3</v>
      </c>
      <c r="AY122" cm="1">
        <f t="array" ref="AY122">_xlfn.IFS(AZ122="Positive",1, AZ122="Negative",1, AZ122="Neutral",0)</f>
        <v>1</v>
      </c>
      <c r="AZ122" t="str" cm="1">
        <f t="array" ref="AZ122">_xlfn.IFS(AX122=1,"Positive",AX122=2,"Neutral",AX122=3,"Negative")</f>
        <v>Negative</v>
      </c>
      <c r="BA122">
        <v>7</v>
      </c>
      <c r="BB122">
        <v>0</v>
      </c>
      <c r="BC122" s="3">
        <v>5</v>
      </c>
      <c r="BD122" s="3">
        <v>0</v>
      </c>
      <c r="BE122" s="3">
        <v>1</v>
      </c>
      <c r="BF122" s="3">
        <v>1</v>
      </c>
      <c r="BG122" s="3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 t="s">
        <v>352</v>
      </c>
      <c r="BT122" t="s">
        <v>296</v>
      </c>
      <c r="BU122" t="s">
        <v>355</v>
      </c>
      <c r="BV122" t="s">
        <v>300</v>
      </c>
    </row>
    <row r="123" spans="1:74" hidden="1" x14ac:dyDescent="0.2">
      <c r="A123">
        <v>128</v>
      </c>
      <c r="B123">
        <v>13</v>
      </c>
      <c r="C123" t="s">
        <v>87</v>
      </c>
      <c r="E123" t="s">
        <v>88</v>
      </c>
      <c r="F123">
        <v>14</v>
      </c>
      <c r="G123">
        <v>1999</v>
      </c>
      <c r="H123">
        <v>23</v>
      </c>
      <c r="I123" t="s">
        <v>69</v>
      </c>
      <c r="J123">
        <v>2</v>
      </c>
      <c r="K123" t="s">
        <v>416</v>
      </c>
      <c r="L123" t="s">
        <v>653</v>
      </c>
      <c r="M123">
        <v>15</v>
      </c>
      <c r="N123">
        <v>58</v>
      </c>
      <c r="O123" t="s">
        <v>360</v>
      </c>
      <c r="P123" t="s">
        <v>361</v>
      </c>
      <c r="Q123" t="s">
        <v>723</v>
      </c>
      <c r="R123" t="s">
        <v>724</v>
      </c>
      <c r="S123" t="s">
        <v>363</v>
      </c>
      <c r="T123" t="s">
        <v>364</v>
      </c>
      <c r="U123" t="s">
        <v>365</v>
      </c>
      <c r="V123" t="s">
        <v>366</v>
      </c>
      <c r="W123" t="s">
        <v>194</v>
      </c>
      <c r="X123" t="s">
        <v>66</v>
      </c>
      <c r="Y123" t="s">
        <v>66</v>
      </c>
      <c r="Z123">
        <v>7</v>
      </c>
      <c r="AA123">
        <v>3</v>
      </c>
      <c r="AB123">
        <v>2</v>
      </c>
      <c r="AC123">
        <v>5</v>
      </c>
      <c r="AD123">
        <v>1</v>
      </c>
      <c r="AE123">
        <v>1</v>
      </c>
      <c r="AF123">
        <v>5</v>
      </c>
      <c r="AG123">
        <v>1</v>
      </c>
      <c r="AH123">
        <v>4</v>
      </c>
      <c r="AI123">
        <v>3</v>
      </c>
      <c r="AJ123">
        <v>5</v>
      </c>
      <c r="AK123">
        <v>3</v>
      </c>
      <c r="AL123">
        <v>1</v>
      </c>
      <c r="AM123">
        <v>5</v>
      </c>
      <c r="AN123">
        <v>174</v>
      </c>
      <c r="AO123">
        <v>2</v>
      </c>
      <c r="AP123">
        <v>4</v>
      </c>
      <c r="AQ123">
        <v>2</v>
      </c>
      <c r="AR123">
        <v>6</v>
      </c>
      <c r="AS123">
        <v>6</v>
      </c>
      <c r="AT123">
        <v>6</v>
      </c>
      <c r="AU123">
        <v>6</v>
      </c>
      <c r="AV123">
        <v>6</v>
      </c>
      <c r="AW123">
        <v>6</v>
      </c>
      <c r="AX123">
        <v>2</v>
      </c>
      <c r="AY123" cm="1">
        <f t="array" ref="AY123">_xlfn.IFS(AZ123="Positive",1, AZ123="Negative",1, AZ123="Neutral",0)</f>
        <v>0</v>
      </c>
      <c r="AZ123" t="str" cm="1">
        <f t="array" ref="AZ123">_xlfn.IFS(AX123=1,"Positive",AX123=2,"Neutral",AX123=3,"Negative")</f>
        <v>Neutral</v>
      </c>
      <c r="BA123">
        <v>14</v>
      </c>
      <c r="BB123">
        <v>0</v>
      </c>
      <c r="BC123" s="3">
        <v>10</v>
      </c>
      <c r="BD123" s="3">
        <v>0</v>
      </c>
      <c r="BE123" s="3">
        <v>1</v>
      </c>
      <c r="BF123" s="3">
        <v>3</v>
      </c>
      <c r="BG123" s="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 t="s">
        <v>296</v>
      </c>
      <c r="BT123">
        <v>3</v>
      </c>
      <c r="BU123" t="s">
        <v>362</v>
      </c>
      <c r="BV123" t="s">
        <v>309</v>
      </c>
    </row>
    <row r="124" spans="1:74" hidden="1" x14ac:dyDescent="0.2">
      <c r="A124">
        <v>129</v>
      </c>
      <c r="B124">
        <v>14</v>
      </c>
      <c r="C124" t="s">
        <v>89</v>
      </c>
      <c r="E124" t="s">
        <v>82</v>
      </c>
      <c r="F124">
        <v>15</v>
      </c>
      <c r="G124">
        <v>1999</v>
      </c>
      <c r="H124">
        <v>23</v>
      </c>
      <c r="I124" t="s">
        <v>64</v>
      </c>
      <c r="J124">
        <v>1</v>
      </c>
      <c r="K124" t="s">
        <v>416</v>
      </c>
      <c r="L124" t="s">
        <v>654</v>
      </c>
      <c r="M124">
        <v>7</v>
      </c>
      <c r="N124">
        <v>59</v>
      </c>
      <c r="O124" t="s">
        <v>629</v>
      </c>
      <c r="P124" t="s">
        <v>460</v>
      </c>
      <c r="Q124" t="s">
        <v>723</v>
      </c>
      <c r="R124" t="s">
        <v>728</v>
      </c>
      <c r="S124" t="s">
        <v>430</v>
      </c>
      <c r="T124" t="s">
        <v>341</v>
      </c>
      <c r="U124" t="s">
        <v>630</v>
      </c>
      <c r="V124" t="s">
        <v>462</v>
      </c>
      <c r="W124" t="s">
        <v>194</v>
      </c>
      <c r="X124" t="s">
        <v>66</v>
      </c>
      <c r="Y124" t="s">
        <v>66</v>
      </c>
      <c r="Z124">
        <v>7</v>
      </c>
      <c r="AA124">
        <v>6</v>
      </c>
      <c r="AB124">
        <v>6</v>
      </c>
      <c r="AC124">
        <v>4</v>
      </c>
      <c r="AD124">
        <v>5</v>
      </c>
      <c r="AE124">
        <v>4</v>
      </c>
      <c r="AF124">
        <v>2</v>
      </c>
      <c r="AG124">
        <v>2</v>
      </c>
      <c r="AH124">
        <v>6</v>
      </c>
      <c r="AI124">
        <v>7</v>
      </c>
      <c r="AJ124">
        <v>1</v>
      </c>
      <c r="AK124">
        <v>6</v>
      </c>
      <c r="AL124">
        <v>6</v>
      </c>
      <c r="AM124">
        <v>5</v>
      </c>
      <c r="AN124">
        <v>8</v>
      </c>
      <c r="AO124">
        <v>3</v>
      </c>
      <c r="AP124">
        <v>1</v>
      </c>
      <c r="AQ124">
        <v>1</v>
      </c>
      <c r="AR124">
        <v>1</v>
      </c>
      <c r="AS124">
        <v>3</v>
      </c>
      <c r="AT124">
        <v>3</v>
      </c>
      <c r="AU124">
        <v>6</v>
      </c>
      <c r="AV124">
        <v>5</v>
      </c>
      <c r="AW124">
        <v>6</v>
      </c>
      <c r="AX124">
        <v>1</v>
      </c>
      <c r="AY124" cm="1">
        <f t="array" ref="AY124">_xlfn.IFS(AZ124="Positive",1, AZ124="Negative",1, AZ124="Neutral",0)</f>
        <v>1</v>
      </c>
      <c r="AZ124" t="str" cm="1">
        <f t="array" ref="AZ124">_xlfn.IFS(AX124=1,"Positive",AX124=2,"Neutral",AX124=3,"Negative")</f>
        <v>Positive</v>
      </c>
      <c r="BA124">
        <v>7</v>
      </c>
      <c r="BB124">
        <v>1</v>
      </c>
      <c r="BC124" s="3">
        <v>5</v>
      </c>
      <c r="BD124" s="3">
        <v>0</v>
      </c>
      <c r="BE124" s="3">
        <v>1</v>
      </c>
      <c r="BF124" s="3">
        <v>1</v>
      </c>
      <c r="BG124" s="3">
        <v>0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 t="s">
        <v>382</v>
      </c>
      <c r="BT124" t="s">
        <v>536</v>
      </c>
      <c r="BU124" t="s">
        <v>385</v>
      </c>
      <c r="BV124" t="s">
        <v>556</v>
      </c>
    </row>
    <row r="125" spans="1:74" hidden="1" x14ac:dyDescent="0.2">
      <c r="A125">
        <v>130</v>
      </c>
      <c r="B125">
        <v>15</v>
      </c>
      <c r="C125" t="s">
        <v>90</v>
      </c>
      <c r="E125" t="s">
        <v>76</v>
      </c>
      <c r="F125">
        <v>26</v>
      </c>
      <c r="G125">
        <v>2000</v>
      </c>
      <c r="H125">
        <v>22</v>
      </c>
      <c r="I125" t="s">
        <v>64</v>
      </c>
      <c r="J125">
        <v>1</v>
      </c>
      <c r="K125" t="s">
        <v>655</v>
      </c>
      <c r="L125" t="s">
        <v>656</v>
      </c>
      <c r="M125">
        <v>3</v>
      </c>
      <c r="N125">
        <v>69</v>
      </c>
      <c r="O125" t="s">
        <v>368</v>
      </c>
      <c r="P125" t="s">
        <v>369</v>
      </c>
      <c r="Q125" t="s">
        <v>725</v>
      </c>
      <c r="R125" t="s">
        <v>726</v>
      </c>
      <c r="S125" t="s">
        <v>372</v>
      </c>
      <c r="T125" t="s">
        <v>357</v>
      </c>
      <c r="U125" t="s">
        <v>373</v>
      </c>
      <c r="V125" t="s">
        <v>374</v>
      </c>
      <c r="W125" t="s">
        <v>194</v>
      </c>
      <c r="X125" t="s">
        <v>66</v>
      </c>
      <c r="Y125" t="s">
        <v>66</v>
      </c>
      <c r="Z125">
        <v>7</v>
      </c>
      <c r="AA125">
        <v>6</v>
      </c>
      <c r="AB125">
        <v>6</v>
      </c>
      <c r="AC125">
        <v>3</v>
      </c>
      <c r="AD125">
        <v>1</v>
      </c>
      <c r="AE125">
        <v>4</v>
      </c>
      <c r="AF125">
        <v>1</v>
      </c>
      <c r="AG125">
        <v>3</v>
      </c>
      <c r="AH125">
        <v>4</v>
      </c>
      <c r="AI125">
        <v>5</v>
      </c>
      <c r="AJ125">
        <v>3</v>
      </c>
      <c r="AK125">
        <v>4</v>
      </c>
      <c r="AL125">
        <v>5</v>
      </c>
      <c r="AM125">
        <v>2</v>
      </c>
      <c r="AN125">
        <v>60</v>
      </c>
      <c r="AO125">
        <v>5</v>
      </c>
      <c r="AP125">
        <v>2</v>
      </c>
      <c r="AQ125">
        <v>3</v>
      </c>
      <c r="AR125">
        <v>4</v>
      </c>
      <c r="AS125">
        <v>5</v>
      </c>
      <c r="AT125">
        <v>4</v>
      </c>
      <c r="AU125">
        <v>5</v>
      </c>
      <c r="AV125">
        <v>6</v>
      </c>
      <c r="AW125">
        <v>5</v>
      </c>
      <c r="AX125">
        <v>1</v>
      </c>
      <c r="AY125" cm="1">
        <f t="array" ref="AY125">_xlfn.IFS(AZ125="Positive",1, AZ125="Negative",1, AZ125="Neutral",0)</f>
        <v>1</v>
      </c>
      <c r="AZ125" t="str" cm="1">
        <f t="array" ref="AZ125">_xlfn.IFS(AX125=1,"Positive",AX125=2,"Neutral",AX125=3,"Negative")</f>
        <v>Positive</v>
      </c>
      <c r="BA125">
        <v>11</v>
      </c>
      <c r="BB125">
        <v>1</v>
      </c>
      <c r="BC125" s="3">
        <v>5</v>
      </c>
      <c r="BD125" s="3">
        <v>0</v>
      </c>
      <c r="BE125" s="3">
        <v>2</v>
      </c>
      <c r="BF125" s="3">
        <v>3</v>
      </c>
      <c r="BG125" s="3">
        <v>1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4</v>
      </c>
      <c r="BT125" t="s">
        <v>367</v>
      </c>
      <c r="BU125" t="s">
        <v>370</v>
      </c>
      <c r="BV125" t="s">
        <v>371</v>
      </c>
    </row>
    <row r="126" spans="1:74" hidden="1" x14ac:dyDescent="0.2">
      <c r="A126">
        <v>131</v>
      </c>
      <c r="B126">
        <v>16</v>
      </c>
      <c r="C126" t="s">
        <v>91</v>
      </c>
      <c r="E126" t="s">
        <v>82</v>
      </c>
      <c r="F126">
        <v>8</v>
      </c>
      <c r="G126">
        <v>2000</v>
      </c>
      <c r="H126">
        <v>22</v>
      </c>
      <c r="I126" t="s">
        <v>64</v>
      </c>
      <c r="J126">
        <v>1</v>
      </c>
      <c r="K126" t="s">
        <v>657</v>
      </c>
      <c r="L126" t="s">
        <v>654</v>
      </c>
      <c r="M126">
        <v>10</v>
      </c>
      <c r="N126">
        <v>72</v>
      </c>
      <c r="O126" t="s">
        <v>278</v>
      </c>
      <c r="P126" t="s">
        <v>376</v>
      </c>
      <c r="Q126" t="s">
        <v>727</v>
      </c>
      <c r="R126" t="s">
        <v>728</v>
      </c>
      <c r="S126" t="s">
        <v>378</v>
      </c>
      <c r="T126" t="s">
        <v>379</v>
      </c>
      <c r="U126" t="s">
        <v>380</v>
      </c>
      <c r="V126" t="s">
        <v>381</v>
      </c>
      <c r="W126" t="s">
        <v>194</v>
      </c>
      <c r="X126" t="s">
        <v>66</v>
      </c>
      <c r="Y126" t="s">
        <v>66</v>
      </c>
      <c r="Z126">
        <v>7</v>
      </c>
      <c r="AA126">
        <v>5</v>
      </c>
      <c r="AB126">
        <v>7</v>
      </c>
      <c r="AC126">
        <v>6</v>
      </c>
      <c r="AD126">
        <v>6</v>
      </c>
      <c r="AE126">
        <v>6</v>
      </c>
      <c r="AF126">
        <v>1</v>
      </c>
      <c r="AG126">
        <v>1</v>
      </c>
      <c r="AH126">
        <v>7</v>
      </c>
      <c r="AI126">
        <v>5</v>
      </c>
      <c r="AJ126">
        <v>2</v>
      </c>
      <c r="AK126">
        <v>5</v>
      </c>
      <c r="AL126">
        <v>5</v>
      </c>
      <c r="AM126">
        <v>7</v>
      </c>
      <c r="AN126">
        <v>12</v>
      </c>
      <c r="AO126">
        <v>4</v>
      </c>
      <c r="AP126">
        <v>1</v>
      </c>
      <c r="AQ126">
        <v>2</v>
      </c>
      <c r="AR126">
        <v>7</v>
      </c>
      <c r="AS126">
        <v>7</v>
      </c>
      <c r="AT126">
        <v>7</v>
      </c>
      <c r="AU126">
        <v>7</v>
      </c>
      <c r="AV126">
        <v>7</v>
      </c>
      <c r="AW126">
        <v>7</v>
      </c>
      <c r="AX126">
        <v>1</v>
      </c>
      <c r="AY126" cm="1">
        <f t="array" ref="AY126">_xlfn.IFS(AZ126="Positive",1, AZ126="Negative",1, AZ126="Neutral",0)</f>
        <v>1</v>
      </c>
      <c r="AZ126" t="str" cm="1">
        <f t="array" ref="AZ126">_xlfn.IFS(AX126=1,"Positive",AX126=2,"Neutral",AX126=3,"Negative")</f>
        <v>Positive</v>
      </c>
      <c r="BA126">
        <v>10</v>
      </c>
      <c r="BB126">
        <v>0</v>
      </c>
      <c r="BC126" s="3">
        <v>6</v>
      </c>
      <c r="BD126" s="3">
        <v>1</v>
      </c>
      <c r="BE126" s="3">
        <v>2</v>
      </c>
      <c r="BF126" s="3">
        <v>1</v>
      </c>
      <c r="BG126" s="3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 t="s">
        <v>375</v>
      </c>
      <c r="BT126" t="s">
        <v>367</v>
      </c>
      <c r="BU126" t="s">
        <v>377</v>
      </c>
      <c r="BV126" t="s">
        <v>371</v>
      </c>
    </row>
    <row r="127" spans="1:74" x14ac:dyDescent="0.2">
      <c r="A127">
        <v>132</v>
      </c>
      <c r="B127">
        <v>17</v>
      </c>
      <c r="C127" t="s">
        <v>92</v>
      </c>
      <c r="E127" t="s">
        <v>93</v>
      </c>
      <c r="F127">
        <v>25</v>
      </c>
      <c r="G127">
        <v>2001</v>
      </c>
      <c r="H127">
        <v>21</v>
      </c>
      <c r="I127" t="s">
        <v>64</v>
      </c>
      <c r="J127">
        <v>1</v>
      </c>
      <c r="K127" t="s">
        <v>658</v>
      </c>
      <c r="L127" t="s">
        <v>653</v>
      </c>
      <c r="M127">
        <v>10</v>
      </c>
      <c r="N127">
        <v>69</v>
      </c>
      <c r="O127" t="s">
        <v>384</v>
      </c>
      <c r="P127" t="s">
        <v>307</v>
      </c>
      <c r="Q127" t="s">
        <v>729</v>
      </c>
      <c r="R127" t="s">
        <v>724</v>
      </c>
      <c r="S127" t="s">
        <v>378</v>
      </c>
      <c r="T127" t="s">
        <v>357</v>
      </c>
      <c r="U127" t="s">
        <v>387</v>
      </c>
      <c r="V127" t="s">
        <v>312</v>
      </c>
      <c r="W127" t="s">
        <v>194</v>
      </c>
      <c r="X127" t="s">
        <v>66</v>
      </c>
      <c r="Y127" t="s">
        <v>66</v>
      </c>
      <c r="Z127">
        <v>7</v>
      </c>
      <c r="AA127">
        <v>7</v>
      </c>
      <c r="AB127">
        <v>7</v>
      </c>
      <c r="AC127">
        <v>1</v>
      </c>
      <c r="AD127">
        <v>1</v>
      </c>
      <c r="AE127">
        <v>7</v>
      </c>
      <c r="AF127">
        <v>1</v>
      </c>
      <c r="AG127">
        <v>1</v>
      </c>
      <c r="AH127">
        <v>7</v>
      </c>
      <c r="AI127">
        <v>7</v>
      </c>
      <c r="AJ127">
        <v>1</v>
      </c>
      <c r="AK127">
        <v>7</v>
      </c>
      <c r="AL127">
        <v>7</v>
      </c>
      <c r="AM127">
        <v>3</v>
      </c>
      <c r="AN127">
        <v>240</v>
      </c>
      <c r="AO127">
        <v>1</v>
      </c>
      <c r="AP127">
        <v>1</v>
      </c>
      <c r="AQ127">
        <v>7</v>
      </c>
      <c r="AR127">
        <v>7</v>
      </c>
      <c r="AS127">
        <v>7</v>
      </c>
      <c r="AT127">
        <v>7</v>
      </c>
      <c r="AU127">
        <v>1</v>
      </c>
      <c r="AV127">
        <v>7</v>
      </c>
      <c r="AW127">
        <v>7</v>
      </c>
      <c r="AX127">
        <v>1</v>
      </c>
      <c r="AY127" cm="1">
        <f t="array" ref="AY127">_xlfn.IFS(AZ127="Positive",1, AZ127="Negative",1, AZ127="Neutral",0)</f>
        <v>1</v>
      </c>
      <c r="AZ127" t="str" cm="1">
        <f t="array" ref="AZ127">_xlfn.IFS(AX127=1,"Positive",AX127=2,"Neutral",AX127=3,"Negative")</f>
        <v>Positive</v>
      </c>
      <c r="BA127">
        <v>0</v>
      </c>
      <c r="BB127">
        <v>2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>
        <v>0</v>
      </c>
      <c r="BI127">
        <v>0</v>
      </c>
      <c r="BJ127">
        <v>0</v>
      </c>
      <c r="BK127">
        <v>0</v>
      </c>
      <c r="BL127">
        <v>2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 t="s">
        <v>382</v>
      </c>
      <c r="BT127" t="s">
        <v>383</v>
      </c>
      <c r="BU127" t="s">
        <v>385</v>
      </c>
      <c r="BV127" t="s">
        <v>386</v>
      </c>
    </row>
    <row r="128" spans="1:74" hidden="1" x14ac:dyDescent="0.2">
      <c r="A128">
        <v>133</v>
      </c>
      <c r="B128">
        <v>18</v>
      </c>
      <c r="C128" t="s">
        <v>94</v>
      </c>
      <c r="E128" t="s">
        <v>76</v>
      </c>
      <c r="F128">
        <v>17</v>
      </c>
      <c r="G128">
        <v>1997</v>
      </c>
      <c r="H128">
        <v>25</v>
      </c>
      <c r="I128" t="s">
        <v>69</v>
      </c>
      <c r="J128">
        <v>2</v>
      </c>
      <c r="K128" t="s">
        <v>651</v>
      </c>
      <c r="L128" t="s">
        <v>659</v>
      </c>
      <c r="M128">
        <v>10</v>
      </c>
      <c r="N128">
        <v>69</v>
      </c>
      <c r="O128" t="s">
        <v>389</v>
      </c>
      <c r="P128" t="s">
        <v>389</v>
      </c>
      <c r="Q128" t="s">
        <v>721</v>
      </c>
      <c r="R128" t="s">
        <v>730</v>
      </c>
      <c r="S128" t="s">
        <v>378</v>
      </c>
      <c r="T128" t="s">
        <v>357</v>
      </c>
      <c r="U128" t="s">
        <v>391</v>
      </c>
      <c r="V128" t="s">
        <v>392</v>
      </c>
      <c r="W128" t="s">
        <v>194</v>
      </c>
      <c r="X128" t="s">
        <v>66</v>
      </c>
      <c r="Y128" t="s">
        <v>66</v>
      </c>
      <c r="Z128">
        <v>7</v>
      </c>
      <c r="AA128">
        <v>5</v>
      </c>
      <c r="AB128">
        <v>7</v>
      </c>
      <c r="AC128">
        <v>7</v>
      </c>
      <c r="AD128">
        <v>5</v>
      </c>
      <c r="AE128">
        <v>7</v>
      </c>
      <c r="AF128">
        <v>1</v>
      </c>
      <c r="AG128">
        <v>1</v>
      </c>
      <c r="AH128">
        <v>5</v>
      </c>
      <c r="AI128">
        <v>6</v>
      </c>
      <c r="AJ128">
        <v>2</v>
      </c>
      <c r="AK128">
        <v>5</v>
      </c>
      <c r="AL128">
        <v>4</v>
      </c>
      <c r="AM128">
        <v>7</v>
      </c>
      <c r="AN128">
        <v>7</v>
      </c>
      <c r="AO128">
        <v>3</v>
      </c>
      <c r="AP128">
        <v>2</v>
      </c>
      <c r="AQ128">
        <v>6</v>
      </c>
      <c r="AR128">
        <v>5</v>
      </c>
      <c r="AS128">
        <v>7</v>
      </c>
      <c r="AT128">
        <v>5</v>
      </c>
      <c r="AU128">
        <v>5</v>
      </c>
      <c r="AV128">
        <v>5</v>
      </c>
      <c r="AW128">
        <v>5</v>
      </c>
      <c r="AX128">
        <v>1</v>
      </c>
      <c r="AY128" cm="1">
        <f t="array" ref="AY128">_xlfn.IFS(AZ128="Positive",1, AZ128="Negative",1, AZ128="Neutral",0)</f>
        <v>1</v>
      </c>
      <c r="AZ128" t="str" cm="1">
        <f t="array" ref="AZ128">_xlfn.IFS(AX128=1,"Positive",AX128=2,"Neutral",AX128=3,"Negative")</f>
        <v>Positive</v>
      </c>
      <c r="BA128">
        <v>11</v>
      </c>
      <c r="BB128">
        <v>0</v>
      </c>
      <c r="BC128" s="3">
        <v>7</v>
      </c>
      <c r="BD128" s="3">
        <v>1</v>
      </c>
      <c r="BE128" s="3">
        <v>2</v>
      </c>
      <c r="BF128" s="3">
        <v>0</v>
      </c>
      <c r="BG128" s="3">
        <v>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4</v>
      </c>
      <c r="BT128" t="s">
        <v>388</v>
      </c>
      <c r="BU128" t="s">
        <v>370</v>
      </c>
      <c r="BV128" t="s">
        <v>390</v>
      </c>
    </row>
    <row r="129" spans="1:74" hidden="1" x14ac:dyDescent="0.2">
      <c r="A129">
        <v>134</v>
      </c>
      <c r="B129">
        <v>19</v>
      </c>
      <c r="C129" t="s">
        <v>95</v>
      </c>
      <c r="E129" t="s">
        <v>73</v>
      </c>
      <c r="F129">
        <v>30</v>
      </c>
      <c r="G129">
        <v>1999</v>
      </c>
      <c r="H129">
        <v>23</v>
      </c>
      <c r="I129" t="s">
        <v>64</v>
      </c>
      <c r="J129">
        <v>1</v>
      </c>
      <c r="K129" t="s">
        <v>632</v>
      </c>
      <c r="L129" t="s">
        <v>632</v>
      </c>
      <c r="M129">
        <v>4</v>
      </c>
      <c r="N129">
        <v>72</v>
      </c>
      <c r="O129" t="s">
        <v>393</v>
      </c>
      <c r="P129" t="s">
        <v>394</v>
      </c>
      <c r="Q129" t="s">
        <v>731</v>
      </c>
      <c r="R129" t="s">
        <v>732</v>
      </c>
      <c r="S129" t="s">
        <v>396</v>
      </c>
      <c r="T129" t="s">
        <v>379</v>
      </c>
      <c r="U129" t="s">
        <v>397</v>
      </c>
      <c r="V129" t="s">
        <v>398</v>
      </c>
      <c r="W129" t="s">
        <v>194</v>
      </c>
      <c r="X129" t="s">
        <v>66</v>
      </c>
      <c r="Y129" t="s">
        <v>66</v>
      </c>
      <c r="Z129">
        <v>7</v>
      </c>
      <c r="AA129">
        <v>6</v>
      </c>
      <c r="AB129">
        <v>6</v>
      </c>
      <c r="AC129">
        <v>6</v>
      </c>
      <c r="AD129">
        <v>5</v>
      </c>
      <c r="AE129">
        <v>6</v>
      </c>
      <c r="AF129">
        <v>6</v>
      </c>
      <c r="AG129">
        <v>2</v>
      </c>
      <c r="AH129">
        <v>6</v>
      </c>
      <c r="AI129">
        <v>7</v>
      </c>
      <c r="AJ129">
        <v>3</v>
      </c>
      <c r="AK129">
        <v>6</v>
      </c>
      <c r="AL129">
        <v>6</v>
      </c>
      <c r="AM129">
        <v>6</v>
      </c>
      <c r="AN129">
        <v>12</v>
      </c>
      <c r="AO129">
        <v>5</v>
      </c>
      <c r="AP129">
        <v>2</v>
      </c>
      <c r="AQ129">
        <v>1</v>
      </c>
      <c r="AR129">
        <v>4</v>
      </c>
      <c r="AS129">
        <v>5</v>
      </c>
      <c r="AT129">
        <v>5</v>
      </c>
      <c r="AU129">
        <v>5</v>
      </c>
      <c r="AV129">
        <v>4</v>
      </c>
      <c r="AW129">
        <v>6</v>
      </c>
      <c r="AX129">
        <v>1</v>
      </c>
      <c r="AY129" cm="1">
        <f t="array" ref="AY129">_xlfn.IFS(AZ129="Positive",1, AZ129="Negative",1, AZ129="Neutral",0)</f>
        <v>1</v>
      </c>
      <c r="AZ129" t="str" cm="1">
        <f t="array" ref="AZ129">_xlfn.IFS(AX129=1,"Positive",AX129=2,"Neutral",AX129=3,"Negative")</f>
        <v>Positive</v>
      </c>
      <c r="BA129">
        <v>5</v>
      </c>
      <c r="BB129">
        <v>0</v>
      </c>
      <c r="BC129" s="3">
        <v>3</v>
      </c>
      <c r="BD129" s="3">
        <v>1</v>
      </c>
      <c r="BE129" s="3">
        <v>1</v>
      </c>
      <c r="BF129" s="3">
        <v>0</v>
      </c>
      <c r="BG129" s="3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3</v>
      </c>
      <c r="BT129">
        <v>3</v>
      </c>
      <c r="BU129" t="s">
        <v>395</v>
      </c>
      <c r="BV129" t="s">
        <v>309</v>
      </c>
    </row>
    <row r="130" spans="1:74" hidden="1" x14ac:dyDescent="0.2">
      <c r="A130">
        <v>135</v>
      </c>
      <c r="B130">
        <v>20</v>
      </c>
      <c r="C130" t="s">
        <v>96</v>
      </c>
      <c r="E130" t="s">
        <v>97</v>
      </c>
      <c r="F130">
        <v>27</v>
      </c>
      <c r="G130">
        <v>1998</v>
      </c>
      <c r="H130">
        <v>24</v>
      </c>
      <c r="I130" t="s">
        <v>64</v>
      </c>
      <c r="J130">
        <v>1</v>
      </c>
      <c r="K130" t="s">
        <v>644</v>
      </c>
      <c r="L130" t="s">
        <v>660</v>
      </c>
      <c r="M130">
        <v>2</v>
      </c>
      <c r="N130">
        <v>47</v>
      </c>
      <c r="O130" t="s">
        <v>287</v>
      </c>
      <c r="P130" t="s">
        <v>389</v>
      </c>
      <c r="Q130" t="s">
        <v>714</v>
      </c>
      <c r="R130" t="s">
        <v>733</v>
      </c>
      <c r="S130" t="s">
        <v>281</v>
      </c>
      <c r="T130" t="s">
        <v>401</v>
      </c>
      <c r="U130" t="s">
        <v>293</v>
      </c>
      <c r="V130" t="s">
        <v>392</v>
      </c>
      <c r="W130" t="s">
        <v>194</v>
      </c>
      <c r="X130" t="s">
        <v>66</v>
      </c>
      <c r="Y130" t="s">
        <v>66</v>
      </c>
      <c r="Z130">
        <v>7</v>
      </c>
      <c r="AA130">
        <v>4</v>
      </c>
      <c r="AB130">
        <v>7</v>
      </c>
      <c r="AC130">
        <v>6</v>
      </c>
      <c r="AD130">
        <v>3</v>
      </c>
      <c r="AE130">
        <v>5</v>
      </c>
      <c r="AF130">
        <v>4</v>
      </c>
      <c r="AG130">
        <v>2</v>
      </c>
      <c r="AH130">
        <v>4</v>
      </c>
      <c r="AI130">
        <v>5</v>
      </c>
      <c r="AJ130">
        <v>4</v>
      </c>
      <c r="AK130">
        <v>5</v>
      </c>
      <c r="AL130">
        <v>5</v>
      </c>
      <c r="AM130">
        <v>5</v>
      </c>
      <c r="AN130">
        <v>21</v>
      </c>
      <c r="AO130">
        <v>5</v>
      </c>
      <c r="AP130">
        <v>3</v>
      </c>
      <c r="AQ130">
        <v>5</v>
      </c>
      <c r="AR130">
        <v>5</v>
      </c>
      <c r="AS130">
        <v>4</v>
      </c>
      <c r="AT130">
        <v>4</v>
      </c>
      <c r="AU130">
        <v>4</v>
      </c>
      <c r="AV130">
        <v>6</v>
      </c>
      <c r="AW130">
        <v>4</v>
      </c>
      <c r="AX130">
        <v>2</v>
      </c>
      <c r="AY130" cm="1">
        <f t="array" ref="AY130">_xlfn.IFS(AZ130="Positive",1, AZ130="Negative",1, AZ130="Neutral",0)</f>
        <v>0</v>
      </c>
      <c r="AZ130" t="str" cm="1">
        <f t="array" ref="AZ130">_xlfn.IFS(AX130=1,"Positive",AX130=2,"Neutral",AX130=3,"Negative")</f>
        <v>Neutral</v>
      </c>
      <c r="BA130">
        <v>12</v>
      </c>
      <c r="BB130">
        <v>0</v>
      </c>
      <c r="BC130" s="3">
        <v>6</v>
      </c>
      <c r="BD130" s="3">
        <v>0</v>
      </c>
      <c r="BE130" s="3">
        <v>1</v>
      </c>
      <c r="BF130" s="3">
        <v>5</v>
      </c>
      <c r="BG130" s="3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 t="s">
        <v>399</v>
      </c>
      <c r="BT130" t="s">
        <v>367</v>
      </c>
      <c r="BU130" t="s">
        <v>400</v>
      </c>
      <c r="BV130" t="s">
        <v>371</v>
      </c>
    </row>
    <row r="131" spans="1:74" hidden="1" x14ac:dyDescent="0.2">
      <c r="A131">
        <v>136</v>
      </c>
      <c r="B131">
        <v>21</v>
      </c>
      <c r="C131" t="s">
        <v>98</v>
      </c>
      <c r="E131" t="s">
        <v>82</v>
      </c>
      <c r="F131">
        <v>27</v>
      </c>
      <c r="G131">
        <v>1997</v>
      </c>
      <c r="H131">
        <v>25</v>
      </c>
      <c r="I131" t="s">
        <v>64</v>
      </c>
      <c r="J131">
        <v>1</v>
      </c>
      <c r="K131" t="s">
        <v>661</v>
      </c>
      <c r="L131" t="s">
        <v>662</v>
      </c>
      <c r="M131">
        <v>6</v>
      </c>
      <c r="N131">
        <v>55</v>
      </c>
      <c r="O131" t="s">
        <v>287</v>
      </c>
      <c r="P131" t="s">
        <v>389</v>
      </c>
      <c r="Q131" t="s">
        <v>734</v>
      </c>
      <c r="R131" t="s">
        <v>735</v>
      </c>
      <c r="S131" t="s">
        <v>403</v>
      </c>
      <c r="T131" t="s">
        <v>404</v>
      </c>
      <c r="U131" t="s">
        <v>293</v>
      </c>
      <c r="V131" t="s">
        <v>392</v>
      </c>
      <c r="W131" t="s">
        <v>194</v>
      </c>
      <c r="X131" t="s">
        <v>66</v>
      </c>
      <c r="Y131" t="s">
        <v>66</v>
      </c>
      <c r="Z131">
        <v>7</v>
      </c>
      <c r="AA131">
        <v>5</v>
      </c>
      <c r="AB131">
        <v>6</v>
      </c>
      <c r="AC131">
        <v>6</v>
      </c>
      <c r="AD131">
        <v>6</v>
      </c>
      <c r="AE131">
        <v>6</v>
      </c>
      <c r="AF131">
        <v>5</v>
      </c>
      <c r="AG131">
        <v>6</v>
      </c>
      <c r="AH131">
        <v>6</v>
      </c>
      <c r="AI131">
        <v>4</v>
      </c>
      <c r="AJ131">
        <v>4</v>
      </c>
      <c r="AK131">
        <v>5</v>
      </c>
      <c r="AL131">
        <v>6</v>
      </c>
      <c r="AM131">
        <v>6</v>
      </c>
      <c r="AN131">
        <v>95</v>
      </c>
      <c r="AO131">
        <v>6</v>
      </c>
      <c r="AP131">
        <v>6</v>
      </c>
      <c r="AQ131">
        <v>5</v>
      </c>
      <c r="AR131">
        <v>6</v>
      </c>
      <c r="AS131">
        <v>7</v>
      </c>
      <c r="AT131">
        <v>5</v>
      </c>
      <c r="AU131">
        <v>6</v>
      </c>
      <c r="AV131">
        <v>6</v>
      </c>
      <c r="AW131">
        <v>6</v>
      </c>
      <c r="AX131">
        <v>3</v>
      </c>
      <c r="AY131" cm="1">
        <f t="array" ref="AY131">_xlfn.IFS(AZ131="Positive",1, AZ131="Negative",1, AZ131="Neutral",0)</f>
        <v>1</v>
      </c>
      <c r="AZ131" t="str" cm="1">
        <f t="array" ref="AZ131">_xlfn.IFS(AX131=1,"Positive",AX131=2,"Neutral",AX131=3,"Negative")</f>
        <v>Negative</v>
      </c>
      <c r="BA131">
        <v>7</v>
      </c>
      <c r="BB131">
        <v>1</v>
      </c>
      <c r="BC131" s="3">
        <v>5</v>
      </c>
      <c r="BD131" s="3">
        <v>0</v>
      </c>
      <c r="BE131" s="3">
        <v>1</v>
      </c>
      <c r="BF131" s="3">
        <v>1</v>
      </c>
      <c r="BG131" s="3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1</v>
      </c>
      <c r="BS131" t="s">
        <v>305</v>
      </c>
      <c r="BT131" t="s">
        <v>305</v>
      </c>
      <c r="BU131" t="s">
        <v>308</v>
      </c>
      <c r="BV131" t="s">
        <v>402</v>
      </c>
    </row>
    <row r="132" spans="1:74" hidden="1" x14ac:dyDescent="0.2">
      <c r="A132">
        <v>137</v>
      </c>
      <c r="B132">
        <v>22</v>
      </c>
      <c r="C132" t="s">
        <v>99</v>
      </c>
      <c r="E132" t="s">
        <v>68</v>
      </c>
      <c r="F132">
        <v>17</v>
      </c>
      <c r="G132">
        <v>1998</v>
      </c>
      <c r="H132">
        <v>24</v>
      </c>
      <c r="I132" t="s">
        <v>64</v>
      </c>
      <c r="J132">
        <v>1</v>
      </c>
      <c r="K132" t="s">
        <v>456</v>
      </c>
      <c r="L132" t="s">
        <v>643</v>
      </c>
      <c r="M132">
        <v>6</v>
      </c>
      <c r="N132">
        <v>55</v>
      </c>
      <c r="O132" t="s">
        <v>332</v>
      </c>
      <c r="P132" t="s">
        <v>405</v>
      </c>
      <c r="Q132" t="s">
        <v>736</v>
      </c>
      <c r="R132" t="s">
        <v>713</v>
      </c>
      <c r="S132" t="s">
        <v>403</v>
      </c>
      <c r="T132" t="s">
        <v>404</v>
      </c>
      <c r="U132" t="s">
        <v>337</v>
      </c>
      <c r="V132" t="s">
        <v>407</v>
      </c>
      <c r="W132" t="s">
        <v>194</v>
      </c>
      <c r="X132" t="s">
        <v>66</v>
      </c>
      <c r="Y132" t="s">
        <v>66</v>
      </c>
      <c r="Z132">
        <v>7</v>
      </c>
      <c r="AA132">
        <v>7</v>
      </c>
      <c r="AB132">
        <v>7</v>
      </c>
      <c r="AC132">
        <v>1</v>
      </c>
      <c r="AD132">
        <v>1</v>
      </c>
      <c r="AE132">
        <v>7</v>
      </c>
      <c r="AF132">
        <v>3</v>
      </c>
      <c r="AG132">
        <v>1</v>
      </c>
      <c r="AH132">
        <v>4</v>
      </c>
      <c r="AI132">
        <v>3</v>
      </c>
      <c r="AJ132">
        <v>5</v>
      </c>
      <c r="AK132">
        <v>5</v>
      </c>
      <c r="AL132">
        <v>2</v>
      </c>
      <c r="AM132">
        <v>7</v>
      </c>
      <c r="AN132">
        <v>49</v>
      </c>
      <c r="AO132">
        <v>5</v>
      </c>
      <c r="AP132">
        <v>4</v>
      </c>
      <c r="AQ132">
        <v>5</v>
      </c>
      <c r="AR132">
        <v>5</v>
      </c>
      <c r="AS132">
        <v>5</v>
      </c>
      <c r="AT132">
        <v>5</v>
      </c>
      <c r="AU132">
        <v>4</v>
      </c>
      <c r="AV132">
        <v>5</v>
      </c>
      <c r="AW132">
        <v>5</v>
      </c>
      <c r="AX132">
        <v>2</v>
      </c>
      <c r="AY132" cm="1">
        <f t="array" ref="AY132">_xlfn.IFS(AZ132="Positive",1, AZ132="Negative",1, AZ132="Neutral",0)</f>
        <v>0</v>
      </c>
      <c r="AZ132" t="str" cm="1">
        <f t="array" ref="AZ132">_xlfn.IFS(AX132=1,"Positive",AX132=2,"Neutral",AX132=3,"Negative")</f>
        <v>Neutral</v>
      </c>
      <c r="BA132">
        <v>7</v>
      </c>
      <c r="BB132">
        <v>0</v>
      </c>
      <c r="BC132" s="3">
        <v>4</v>
      </c>
      <c r="BD132" s="3">
        <v>0</v>
      </c>
      <c r="BE132" s="3">
        <v>1</v>
      </c>
      <c r="BF132" s="3">
        <v>2</v>
      </c>
      <c r="BG132" s="3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 t="s">
        <v>405</v>
      </c>
      <c r="BT132" t="s">
        <v>313</v>
      </c>
      <c r="BU132" t="s">
        <v>406</v>
      </c>
      <c r="BV132" t="s">
        <v>317</v>
      </c>
    </row>
    <row r="133" spans="1:74" x14ac:dyDescent="0.2">
      <c r="A133">
        <v>138</v>
      </c>
      <c r="B133">
        <v>23</v>
      </c>
      <c r="C133" t="s">
        <v>100</v>
      </c>
      <c r="E133" t="s">
        <v>78</v>
      </c>
      <c r="F133">
        <v>31</v>
      </c>
      <c r="G133">
        <v>2000</v>
      </c>
      <c r="H133">
        <v>22</v>
      </c>
      <c r="I133" t="s">
        <v>69</v>
      </c>
      <c r="J133">
        <v>2</v>
      </c>
      <c r="K133" t="s">
        <v>663</v>
      </c>
      <c r="L133" t="s">
        <v>652</v>
      </c>
      <c r="M133">
        <v>0</v>
      </c>
      <c r="N133">
        <v>58</v>
      </c>
      <c r="O133" t="s">
        <v>408</v>
      </c>
      <c r="P133" t="s">
        <v>409</v>
      </c>
      <c r="Q133" t="s">
        <v>737</v>
      </c>
      <c r="R133" t="s">
        <v>722</v>
      </c>
      <c r="S133" t="s">
        <v>411</v>
      </c>
      <c r="T133" t="s">
        <v>364</v>
      </c>
      <c r="U133" t="s">
        <v>412</v>
      </c>
      <c r="V133" t="s">
        <v>413</v>
      </c>
      <c r="W133" t="s">
        <v>194</v>
      </c>
      <c r="X133" t="s">
        <v>66</v>
      </c>
      <c r="Y133" t="s">
        <v>66</v>
      </c>
      <c r="Z133">
        <v>7</v>
      </c>
      <c r="AA133">
        <v>7</v>
      </c>
      <c r="AB133">
        <v>7</v>
      </c>
      <c r="AC133">
        <v>7</v>
      </c>
      <c r="AD133">
        <v>1</v>
      </c>
      <c r="AE133">
        <v>7</v>
      </c>
      <c r="AF133">
        <v>2</v>
      </c>
      <c r="AG133">
        <v>1</v>
      </c>
      <c r="AH133">
        <v>7</v>
      </c>
      <c r="AI133">
        <v>7</v>
      </c>
      <c r="AJ133">
        <v>1</v>
      </c>
      <c r="AK133">
        <v>7</v>
      </c>
      <c r="AL133">
        <v>7</v>
      </c>
      <c r="AM133">
        <v>6</v>
      </c>
      <c r="AN133">
        <v>214</v>
      </c>
      <c r="AO133">
        <v>2</v>
      </c>
      <c r="AP133">
        <v>1</v>
      </c>
      <c r="AQ133">
        <v>7</v>
      </c>
      <c r="AR133">
        <v>6</v>
      </c>
      <c r="AS133">
        <v>7</v>
      </c>
      <c r="AT133">
        <v>7</v>
      </c>
      <c r="AU133">
        <v>7</v>
      </c>
      <c r="AV133">
        <v>6</v>
      </c>
      <c r="AW133">
        <v>6</v>
      </c>
      <c r="AX133">
        <v>1</v>
      </c>
      <c r="AY133" cm="1">
        <f t="array" ref="AY133">_xlfn.IFS(AZ133="Positive",1, AZ133="Negative",1, AZ133="Neutral",0)</f>
        <v>1</v>
      </c>
      <c r="AZ133" t="str" cm="1">
        <f t="array" ref="AZ133">_xlfn.IFS(AX133=1,"Positive",AX133=2,"Neutral",AX133=3,"Negative")</f>
        <v>Positive</v>
      </c>
      <c r="BA133">
        <v>0</v>
      </c>
      <c r="BB133">
        <v>2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</v>
      </c>
      <c r="BS133" t="s">
        <v>405</v>
      </c>
      <c r="BT133" t="s">
        <v>382</v>
      </c>
      <c r="BU133" t="s">
        <v>406</v>
      </c>
      <c r="BV133" t="s">
        <v>410</v>
      </c>
    </row>
    <row r="134" spans="1:74" hidden="1" x14ac:dyDescent="0.2">
      <c r="A134">
        <v>139</v>
      </c>
      <c r="B134">
        <v>24</v>
      </c>
      <c r="C134" t="s">
        <v>101</v>
      </c>
      <c r="E134" t="s">
        <v>76</v>
      </c>
      <c r="F134">
        <v>18</v>
      </c>
      <c r="G134">
        <v>2000</v>
      </c>
      <c r="H134">
        <v>22</v>
      </c>
      <c r="I134" t="s">
        <v>64</v>
      </c>
      <c r="J134">
        <v>1</v>
      </c>
      <c r="K134" t="s">
        <v>664</v>
      </c>
      <c r="L134" t="s">
        <v>648</v>
      </c>
      <c r="M134">
        <v>9</v>
      </c>
      <c r="N134">
        <v>48</v>
      </c>
      <c r="O134" t="s">
        <v>415</v>
      </c>
      <c r="P134" t="s">
        <v>416</v>
      </c>
      <c r="Q134" t="s">
        <v>738</v>
      </c>
      <c r="R134" t="s">
        <v>718</v>
      </c>
      <c r="S134" t="s">
        <v>349</v>
      </c>
      <c r="T134" t="s">
        <v>418</v>
      </c>
      <c r="U134" t="s">
        <v>419</v>
      </c>
      <c r="V134" t="s">
        <v>420</v>
      </c>
      <c r="W134" t="s">
        <v>194</v>
      </c>
      <c r="X134" t="s">
        <v>66</v>
      </c>
      <c r="Y134" t="s">
        <v>66</v>
      </c>
      <c r="Z134">
        <v>7</v>
      </c>
      <c r="AA134">
        <v>6</v>
      </c>
      <c r="AB134">
        <v>5</v>
      </c>
      <c r="AC134">
        <v>1</v>
      </c>
      <c r="AD134">
        <v>7</v>
      </c>
      <c r="AE134">
        <v>7</v>
      </c>
      <c r="AF134">
        <v>2</v>
      </c>
      <c r="AG134">
        <v>1</v>
      </c>
      <c r="AH134">
        <v>6</v>
      </c>
      <c r="AI134">
        <v>7</v>
      </c>
      <c r="AJ134">
        <v>1</v>
      </c>
      <c r="AK134">
        <v>5</v>
      </c>
      <c r="AL134">
        <v>1</v>
      </c>
      <c r="AM134">
        <v>6</v>
      </c>
      <c r="AN134">
        <v>120</v>
      </c>
      <c r="AO134">
        <v>2</v>
      </c>
      <c r="AP134">
        <v>2</v>
      </c>
      <c r="AQ134">
        <v>4</v>
      </c>
      <c r="AR134">
        <v>3</v>
      </c>
      <c r="AS134">
        <v>6</v>
      </c>
      <c r="AT134">
        <v>5</v>
      </c>
      <c r="AU134">
        <v>6</v>
      </c>
      <c r="AV134">
        <v>5</v>
      </c>
      <c r="AW134">
        <v>6</v>
      </c>
      <c r="AX134">
        <v>1</v>
      </c>
      <c r="AY134" cm="1">
        <f t="array" ref="AY134">_xlfn.IFS(AZ134="Positive",1, AZ134="Negative",1, AZ134="Neutral",0)</f>
        <v>1</v>
      </c>
      <c r="AZ134" t="str" cm="1">
        <f t="array" ref="AZ134">_xlfn.IFS(AX134=1,"Positive",AX134=2,"Neutral",AX134=3,"Negative")</f>
        <v>Positive</v>
      </c>
      <c r="BA134">
        <v>10</v>
      </c>
      <c r="BB134">
        <v>1</v>
      </c>
      <c r="BC134" s="3">
        <v>8</v>
      </c>
      <c r="BD134" s="3">
        <v>0</v>
      </c>
      <c r="BE134" s="3">
        <v>1</v>
      </c>
      <c r="BF134" s="3">
        <v>1</v>
      </c>
      <c r="BG134" s="3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 t="s">
        <v>414</v>
      </c>
      <c r="BT134">
        <v>2</v>
      </c>
      <c r="BU134" t="s">
        <v>417</v>
      </c>
      <c r="BV134" t="s">
        <v>340</v>
      </c>
    </row>
    <row r="135" spans="1:74" hidden="1" x14ac:dyDescent="0.2">
      <c r="A135">
        <v>140</v>
      </c>
      <c r="B135">
        <v>25</v>
      </c>
      <c r="C135" t="s">
        <v>102</v>
      </c>
      <c r="E135" t="s">
        <v>63</v>
      </c>
      <c r="F135">
        <v>3</v>
      </c>
      <c r="G135">
        <v>2001</v>
      </c>
      <c r="H135">
        <v>21</v>
      </c>
      <c r="I135" t="s">
        <v>69</v>
      </c>
      <c r="J135">
        <v>2</v>
      </c>
      <c r="K135" t="s">
        <v>661</v>
      </c>
      <c r="L135" t="s">
        <v>665</v>
      </c>
      <c r="M135">
        <v>0</v>
      </c>
      <c r="N135">
        <v>56</v>
      </c>
      <c r="O135" t="s">
        <v>421</v>
      </c>
      <c r="P135" t="s">
        <v>394</v>
      </c>
      <c r="Q135" t="s">
        <v>734</v>
      </c>
      <c r="R135" t="s">
        <v>739</v>
      </c>
      <c r="S135" t="s">
        <v>411</v>
      </c>
      <c r="T135" t="s">
        <v>423</v>
      </c>
      <c r="U135" t="s">
        <v>424</v>
      </c>
      <c r="V135" t="s">
        <v>398</v>
      </c>
      <c r="W135" t="s">
        <v>194</v>
      </c>
      <c r="X135" t="s">
        <v>66</v>
      </c>
      <c r="Y135" t="s">
        <v>66</v>
      </c>
      <c r="Z135">
        <v>7</v>
      </c>
      <c r="AA135">
        <v>5</v>
      </c>
      <c r="AB135">
        <v>6</v>
      </c>
      <c r="AC135">
        <v>4</v>
      </c>
      <c r="AD135">
        <v>2</v>
      </c>
      <c r="AE135">
        <v>6</v>
      </c>
      <c r="AF135">
        <v>2</v>
      </c>
      <c r="AG135">
        <v>2</v>
      </c>
      <c r="AH135">
        <v>5</v>
      </c>
      <c r="AI135">
        <v>5</v>
      </c>
      <c r="AJ135">
        <v>3</v>
      </c>
      <c r="AK135">
        <v>5</v>
      </c>
      <c r="AL135">
        <v>3</v>
      </c>
      <c r="AM135">
        <v>3</v>
      </c>
      <c r="AN135">
        <v>120</v>
      </c>
      <c r="AO135">
        <v>4</v>
      </c>
      <c r="AP135">
        <v>3</v>
      </c>
      <c r="AQ135">
        <v>3</v>
      </c>
      <c r="AR135">
        <v>4</v>
      </c>
      <c r="AS135">
        <v>4</v>
      </c>
      <c r="AT135">
        <v>5</v>
      </c>
      <c r="AU135">
        <v>6</v>
      </c>
      <c r="AV135">
        <v>6</v>
      </c>
      <c r="AW135">
        <v>6</v>
      </c>
      <c r="AX135">
        <v>2</v>
      </c>
      <c r="AY135" cm="1">
        <f t="array" ref="AY135">_xlfn.IFS(AZ135="Positive",1, AZ135="Negative",1, AZ135="Neutral",0)</f>
        <v>0</v>
      </c>
      <c r="AZ135" t="str" cm="1">
        <f t="array" ref="AZ135">_xlfn.IFS(AX135=1,"Positive",AX135=2,"Neutral",AX135=3,"Negative")</f>
        <v>Neutral</v>
      </c>
      <c r="BA135">
        <v>6</v>
      </c>
      <c r="BB135">
        <v>0</v>
      </c>
      <c r="BC135" s="3">
        <v>2</v>
      </c>
      <c r="BD135" s="3">
        <v>1</v>
      </c>
      <c r="BE135" s="3">
        <v>1</v>
      </c>
      <c r="BF135" s="3">
        <v>2</v>
      </c>
      <c r="BG135" s="3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 t="s">
        <v>285</v>
      </c>
      <c r="BT135" t="s">
        <v>322</v>
      </c>
      <c r="BU135" t="s">
        <v>289</v>
      </c>
      <c r="BV135" t="s">
        <v>422</v>
      </c>
    </row>
    <row r="136" spans="1:74" hidden="1" x14ac:dyDescent="0.2">
      <c r="A136">
        <v>141</v>
      </c>
      <c r="B136">
        <v>26</v>
      </c>
      <c r="C136" t="s">
        <v>103</v>
      </c>
      <c r="E136" t="s">
        <v>97</v>
      </c>
      <c r="F136">
        <v>14</v>
      </c>
      <c r="G136">
        <v>2001</v>
      </c>
      <c r="H136">
        <v>21</v>
      </c>
      <c r="I136" t="s">
        <v>64</v>
      </c>
      <c r="J136">
        <v>1</v>
      </c>
      <c r="K136" t="s">
        <v>663</v>
      </c>
      <c r="L136" t="s">
        <v>645</v>
      </c>
      <c r="M136">
        <v>7</v>
      </c>
      <c r="N136">
        <v>67</v>
      </c>
      <c r="O136" t="s">
        <v>277</v>
      </c>
      <c r="P136" t="s">
        <v>427</v>
      </c>
      <c r="Q136" t="s">
        <v>737</v>
      </c>
      <c r="R136" t="s">
        <v>715</v>
      </c>
      <c r="S136" t="s">
        <v>430</v>
      </c>
      <c r="T136" t="s">
        <v>431</v>
      </c>
      <c r="U136" t="s">
        <v>283</v>
      </c>
      <c r="V136" t="s">
        <v>432</v>
      </c>
      <c r="W136" t="s">
        <v>194</v>
      </c>
      <c r="X136" t="s">
        <v>66</v>
      </c>
      <c r="Y136" t="s">
        <v>66</v>
      </c>
      <c r="Z136">
        <v>7</v>
      </c>
      <c r="AA136">
        <v>4</v>
      </c>
      <c r="AB136">
        <v>7</v>
      </c>
      <c r="AC136">
        <v>4</v>
      </c>
      <c r="AD136">
        <v>1</v>
      </c>
      <c r="AE136">
        <v>1</v>
      </c>
      <c r="AF136">
        <v>1</v>
      </c>
      <c r="AG136">
        <v>4</v>
      </c>
      <c r="AH136">
        <v>5</v>
      </c>
      <c r="AI136">
        <v>4</v>
      </c>
      <c r="AJ136">
        <v>4</v>
      </c>
      <c r="AK136">
        <v>3</v>
      </c>
      <c r="AL136">
        <v>2</v>
      </c>
      <c r="AM136">
        <v>1</v>
      </c>
      <c r="AN136">
        <v>72</v>
      </c>
      <c r="AO136">
        <v>3</v>
      </c>
      <c r="AP136">
        <v>5</v>
      </c>
      <c r="AQ136">
        <v>5</v>
      </c>
      <c r="AR136">
        <v>1</v>
      </c>
      <c r="AS136">
        <v>6</v>
      </c>
      <c r="AT136">
        <v>3</v>
      </c>
      <c r="AU136">
        <v>5</v>
      </c>
      <c r="AV136">
        <v>3</v>
      </c>
      <c r="AW136">
        <v>5</v>
      </c>
      <c r="AX136">
        <v>2</v>
      </c>
      <c r="AY136" cm="1">
        <f t="array" ref="AY136">_xlfn.IFS(AZ136="Positive",1, AZ136="Negative",1, AZ136="Neutral",0)</f>
        <v>0</v>
      </c>
      <c r="AZ136" t="str" cm="1">
        <f t="array" ref="AZ136">_xlfn.IFS(AX136=1,"Positive",AX136=2,"Neutral",AX136=3,"Negative")</f>
        <v>Neutral</v>
      </c>
      <c r="BA136">
        <v>3</v>
      </c>
      <c r="BB136">
        <v>4</v>
      </c>
      <c r="BC136" s="3">
        <v>3</v>
      </c>
      <c r="BD136" s="3">
        <v>0</v>
      </c>
      <c r="BE136" s="3">
        <v>0</v>
      </c>
      <c r="BF136" s="3">
        <v>0</v>
      </c>
      <c r="BG136" s="3">
        <v>0</v>
      </c>
      <c r="BH136">
        <v>0</v>
      </c>
      <c r="BI136">
        <v>0</v>
      </c>
      <c r="BJ136">
        <v>4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 t="s">
        <v>425</v>
      </c>
      <c r="BT136" t="s">
        <v>426</v>
      </c>
      <c r="BU136" t="s">
        <v>428</v>
      </c>
      <c r="BV136" t="s">
        <v>429</v>
      </c>
    </row>
    <row r="137" spans="1:74" hidden="1" x14ac:dyDescent="0.2">
      <c r="A137">
        <v>142</v>
      </c>
      <c r="B137">
        <v>27</v>
      </c>
      <c r="C137" t="s">
        <v>104</v>
      </c>
      <c r="E137" t="s">
        <v>85</v>
      </c>
      <c r="F137">
        <v>26</v>
      </c>
      <c r="G137">
        <v>2001</v>
      </c>
      <c r="H137">
        <v>21</v>
      </c>
      <c r="I137" t="s">
        <v>64</v>
      </c>
      <c r="J137">
        <v>1</v>
      </c>
      <c r="K137" t="s">
        <v>651</v>
      </c>
      <c r="L137" t="s">
        <v>647</v>
      </c>
      <c r="M137">
        <v>7</v>
      </c>
      <c r="N137">
        <v>69</v>
      </c>
      <c r="O137">
        <v>6</v>
      </c>
      <c r="P137" t="s">
        <v>353</v>
      </c>
      <c r="Q137" t="s">
        <v>721</v>
      </c>
      <c r="R137" t="s">
        <v>717</v>
      </c>
      <c r="S137" t="s">
        <v>430</v>
      </c>
      <c r="T137" t="s">
        <v>357</v>
      </c>
      <c r="U137" t="s">
        <v>436</v>
      </c>
      <c r="V137" t="s">
        <v>437</v>
      </c>
      <c r="W137" t="s">
        <v>194</v>
      </c>
      <c r="X137" t="s">
        <v>66</v>
      </c>
      <c r="Y137" t="s">
        <v>66</v>
      </c>
      <c r="Z137">
        <v>7</v>
      </c>
      <c r="AA137">
        <v>5</v>
      </c>
      <c r="AB137">
        <v>7</v>
      </c>
      <c r="AC137">
        <v>7</v>
      </c>
      <c r="AD137">
        <v>1</v>
      </c>
      <c r="AE137">
        <v>6</v>
      </c>
      <c r="AF137">
        <v>2</v>
      </c>
      <c r="AG137">
        <v>1</v>
      </c>
      <c r="AH137">
        <v>5</v>
      </c>
      <c r="AI137">
        <v>4</v>
      </c>
      <c r="AJ137">
        <v>4</v>
      </c>
      <c r="AK137">
        <v>6</v>
      </c>
      <c r="AL137">
        <v>6</v>
      </c>
      <c r="AM137">
        <v>5</v>
      </c>
      <c r="AN137">
        <v>64</v>
      </c>
      <c r="AO137">
        <v>2</v>
      </c>
      <c r="AP137">
        <v>4</v>
      </c>
      <c r="AQ137">
        <v>6</v>
      </c>
      <c r="AR137">
        <v>6</v>
      </c>
      <c r="AS137">
        <v>6</v>
      </c>
      <c r="AT137">
        <v>6</v>
      </c>
      <c r="AU137">
        <v>6</v>
      </c>
      <c r="AV137">
        <v>6</v>
      </c>
      <c r="AW137">
        <v>6</v>
      </c>
      <c r="AX137">
        <v>2</v>
      </c>
      <c r="AY137" cm="1">
        <f t="array" ref="AY137">_xlfn.IFS(AZ137="Positive",1, AZ137="Negative",1, AZ137="Neutral",0)</f>
        <v>0</v>
      </c>
      <c r="AZ137" t="str" cm="1">
        <f t="array" ref="AZ137">_xlfn.IFS(AX137=1,"Positive",AX137=2,"Neutral",AX137=3,"Negative")</f>
        <v>Neutral</v>
      </c>
      <c r="BA137">
        <v>11</v>
      </c>
      <c r="BB137">
        <v>0</v>
      </c>
      <c r="BC137" s="3">
        <v>7</v>
      </c>
      <c r="BD137" s="3">
        <v>0</v>
      </c>
      <c r="BE137" s="3">
        <v>2</v>
      </c>
      <c r="BF137" s="3">
        <v>2</v>
      </c>
      <c r="BG137" s="3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 t="s">
        <v>388</v>
      </c>
      <c r="BT137" t="s">
        <v>433</v>
      </c>
      <c r="BU137" t="s">
        <v>434</v>
      </c>
      <c r="BV137" t="s">
        <v>435</v>
      </c>
    </row>
    <row r="138" spans="1:74" hidden="1" x14ac:dyDescent="0.2">
      <c r="A138">
        <v>143</v>
      </c>
      <c r="B138">
        <v>28</v>
      </c>
      <c r="C138" t="s">
        <v>105</v>
      </c>
      <c r="E138" t="s">
        <v>85</v>
      </c>
      <c r="F138">
        <v>15</v>
      </c>
      <c r="G138">
        <v>2001</v>
      </c>
      <c r="H138">
        <v>21</v>
      </c>
      <c r="I138" t="s">
        <v>64</v>
      </c>
      <c r="J138">
        <v>1</v>
      </c>
      <c r="K138" t="s">
        <v>655</v>
      </c>
      <c r="L138" t="s">
        <v>653</v>
      </c>
      <c r="M138">
        <v>8</v>
      </c>
      <c r="N138">
        <v>65</v>
      </c>
      <c r="O138" t="s">
        <v>376</v>
      </c>
      <c r="P138" t="s">
        <v>438</v>
      </c>
      <c r="Q138" t="s">
        <v>725</v>
      </c>
      <c r="R138" t="s">
        <v>724</v>
      </c>
      <c r="S138" t="s">
        <v>291</v>
      </c>
      <c r="T138" t="s">
        <v>439</v>
      </c>
      <c r="U138" t="s">
        <v>440</v>
      </c>
      <c r="V138" t="s">
        <v>441</v>
      </c>
      <c r="W138" t="s">
        <v>194</v>
      </c>
      <c r="X138" t="s">
        <v>66</v>
      </c>
      <c r="Y138" t="s">
        <v>66</v>
      </c>
      <c r="Z138">
        <v>7</v>
      </c>
      <c r="AA138">
        <v>6</v>
      </c>
      <c r="AB138">
        <v>6</v>
      </c>
      <c r="AC138">
        <v>6</v>
      </c>
      <c r="AD138">
        <v>5</v>
      </c>
      <c r="AE138">
        <v>6</v>
      </c>
      <c r="AF138">
        <v>4</v>
      </c>
      <c r="AG138">
        <v>2</v>
      </c>
      <c r="AH138">
        <v>6</v>
      </c>
      <c r="AI138">
        <v>4</v>
      </c>
      <c r="AJ138">
        <v>7</v>
      </c>
      <c r="AK138">
        <v>6</v>
      </c>
      <c r="AL138">
        <v>5</v>
      </c>
      <c r="AM138">
        <v>3</v>
      </c>
      <c r="AN138">
        <v>240</v>
      </c>
      <c r="AO138">
        <v>6</v>
      </c>
      <c r="AP138">
        <v>4</v>
      </c>
      <c r="AQ138">
        <v>5</v>
      </c>
      <c r="AR138">
        <v>4</v>
      </c>
      <c r="AS138">
        <v>6</v>
      </c>
      <c r="AT138">
        <v>6</v>
      </c>
      <c r="AU138">
        <v>7</v>
      </c>
      <c r="AV138">
        <v>6</v>
      </c>
      <c r="AW138">
        <v>5</v>
      </c>
      <c r="AX138">
        <v>2</v>
      </c>
      <c r="AY138" cm="1">
        <f t="array" ref="AY138">_xlfn.IFS(AZ138="Positive",1, AZ138="Negative",1, AZ138="Neutral",0)</f>
        <v>0</v>
      </c>
      <c r="AZ138" t="str" cm="1">
        <f t="array" ref="AZ138">_xlfn.IFS(AX138=1,"Positive",AX138=2,"Neutral",AX138=3,"Negative")</f>
        <v>Neutral</v>
      </c>
      <c r="BA138">
        <v>22</v>
      </c>
      <c r="BB138">
        <v>0</v>
      </c>
      <c r="BC138" s="3">
        <v>13</v>
      </c>
      <c r="BD138" s="3">
        <v>2</v>
      </c>
      <c r="BE138" s="3">
        <v>1</v>
      </c>
      <c r="BF138" s="3">
        <v>3</v>
      </c>
      <c r="BG138" s="3">
        <v>3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 t="s">
        <v>414</v>
      </c>
      <c r="BT138">
        <v>3</v>
      </c>
      <c r="BU138" t="s">
        <v>417</v>
      </c>
      <c r="BV138" t="s">
        <v>309</v>
      </c>
    </row>
    <row r="139" spans="1:74" hidden="1" x14ac:dyDescent="0.2">
      <c r="A139">
        <v>144</v>
      </c>
      <c r="B139">
        <v>29</v>
      </c>
      <c r="C139" t="s">
        <v>106</v>
      </c>
      <c r="E139" t="s">
        <v>78</v>
      </c>
      <c r="F139">
        <v>3</v>
      </c>
      <c r="G139">
        <v>1999</v>
      </c>
      <c r="H139">
        <v>23</v>
      </c>
      <c r="I139" t="s">
        <v>64</v>
      </c>
      <c r="J139">
        <v>1</v>
      </c>
      <c r="K139" t="s">
        <v>644</v>
      </c>
      <c r="L139" t="s">
        <v>666</v>
      </c>
      <c r="M139">
        <v>17</v>
      </c>
      <c r="N139">
        <v>60</v>
      </c>
      <c r="O139" t="s">
        <v>442</v>
      </c>
      <c r="P139" t="s">
        <v>409</v>
      </c>
      <c r="Q139" t="s">
        <v>714</v>
      </c>
      <c r="R139" t="s">
        <v>740</v>
      </c>
      <c r="S139" t="s">
        <v>443</v>
      </c>
      <c r="T139" t="s">
        <v>444</v>
      </c>
      <c r="U139" t="s">
        <v>445</v>
      </c>
      <c r="V139" t="s">
        <v>413</v>
      </c>
      <c r="W139" t="s">
        <v>194</v>
      </c>
      <c r="X139" t="s">
        <v>66</v>
      </c>
      <c r="Y139" t="s">
        <v>66</v>
      </c>
      <c r="Z139">
        <v>7</v>
      </c>
      <c r="AA139">
        <v>7</v>
      </c>
      <c r="AB139">
        <v>7</v>
      </c>
      <c r="AC139">
        <v>7</v>
      </c>
      <c r="AD139">
        <v>7</v>
      </c>
      <c r="AE139">
        <v>7</v>
      </c>
      <c r="AF139">
        <v>4</v>
      </c>
      <c r="AG139">
        <v>2</v>
      </c>
      <c r="AH139">
        <v>7</v>
      </c>
      <c r="AI139">
        <v>7</v>
      </c>
      <c r="AJ139">
        <v>2</v>
      </c>
      <c r="AK139">
        <v>6</v>
      </c>
      <c r="AL139">
        <v>7</v>
      </c>
      <c r="AM139">
        <v>5</v>
      </c>
      <c r="AN139">
        <v>135</v>
      </c>
      <c r="AO139">
        <v>4</v>
      </c>
      <c r="AP139">
        <v>1</v>
      </c>
      <c r="AQ139">
        <v>2</v>
      </c>
      <c r="AR139">
        <v>5</v>
      </c>
      <c r="AS139">
        <v>7</v>
      </c>
      <c r="AT139">
        <v>5</v>
      </c>
      <c r="AU139">
        <v>6</v>
      </c>
      <c r="AV139">
        <v>7</v>
      </c>
      <c r="AW139">
        <v>7</v>
      </c>
      <c r="AX139">
        <v>1</v>
      </c>
      <c r="AY139" cm="1">
        <f t="array" ref="AY139">_xlfn.IFS(AZ139="Positive",1, AZ139="Negative",1, AZ139="Neutral",0)</f>
        <v>1</v>
      </c>
      <c r="AZ139" t="str" cm="1">
        <f t="array" ref="AZ139">_xlfn.IFS(AX139=1,"Positive",AX139=2,"Neutral",AX139=3,"Negative")</f>
        <v>Positive</v>
      </c>
      <c r="BA139">
        <v>15</v>
      </c>
      <c r="BB139">
        <v>4</v>
      </c>
      <c r="BC139" s="3">
        <v>5</v>
      </c>
      <c r="BD139" s="3">
        <v>1</v>
      </c>
      <c r="BE139" s="3">
        <v>1</v>
      </c>
      <c r="BF139" s="3">
        <v>5</v>
      </c>
      <c r="BG139" s="3">
        <v>3</v>
      </c>
      <c r="BH139">
        <v>0</v>
      </c>
      <c r="BI139">
        <v>0</v>
      </c>
      <c r="BJ139">
        <v>3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 t="s">
        <v>296</v>
      </c>
      <c r="BT139" t="s">
        <v>276</v>
      </c>
      <c r="BU139" t="s">
        <v>362</v>
      </c>
      <c r="BV139" t="s">
        <v>280</v>
      </c>
    </row>
    <row r="140" spans="1:74" hidden="1" x14ac:dyDescent="0.2">
      <c r="A140">
        <v>145</v>
      </c>
      <c r="B140">
        <v>30</v>
      </c>
      <c r="C140" t="s">
        <v>107</v>
      </c>
      <c r="E140" t="s">
        <v>73</v>
      </c>
      <c r="F140">
        <v>30</v>
      </c>
      <c r="G140">
        <v>1999</v>
      </c>
      <c r="H140">
        <v>23</v>
      </c>
      <c r="I140" t="s">
        <v>64</v>
      </c>
      <c r="J140">
        <v>1</v>
      </c>
      <c r="K140" t="s">
        <v>661</v>
      </c>
      <c r="L140" t="s">
        <v>652</v>
      </c>
      <c r="M140">
        <v>6</v>
      </c>
      <c r="N140">
        <v>66</v>
      </c>
      <c r="O140" t="s">
        <v>446</v>
      </c>
      <c r="P140" t="s">
        <v>369</v>
      </c>
      <c r="Q140" t="s">
        <v>734</v>
      </c>
      <c r="R140" t="s">
        <v>722</v>
      </c>
      <c r="S140" t="s">
        <v>403</v>
      </c>
      <c r="T140" t="s">
        <v>282</v>
      </c>
      <c r="U140" t="s">
        <v>448</v>
      </c>
      <c r="V140" t="s">
        <v>374</v>
      </c>
      <c r="W140" t="s">
        <v>194</v>
      </c>
      <c r="X140" t="s">
        <v>66</v>
      </c>
      <c r="Y140" t="s">
        <v>66</v>
      </c>
      <c r="Z140">
        <v>7</v>
      </c>
      <c r="AA140">
        <v>6</v>
      </c>
      <c r="AB140">
        <v>6</v>
      </c>
      <c r="AC140">
        <v>6</v>
      </c>
      <c r="AD140">
        <v>5</v>
      </c>
      <c r="AE140">
        <v>6</v>
      </c>
      <c r="AF140">
        <v>6</v>
      </c>
      <c r="AG140">
        <v>3</v>
      </c>
      <c r="AH140">
        <v>6</v>
      </c>
      <c r="AI140">
        <v>6</v>
      </c>
      <c r="AJ140">
        <v>3</v>
      </c>
      <c r="AK140">
        <v>4</v>
      </c>
      <c r="AL140">
        <v>5</v>
      </c>
      <c r="AM140">
        <v>7</v>
      </c>
      <c r="AN140">
        <v>147</v>
      </c>
      <c r="AO140">
        <v>5</v>
      </c>
      <c r="AP140">
        <v>6</v>
      </c>
      <c r="AQ140">
        <v>6</v>
      </c>
      <c r="AR140">
        <v>6</v>
      </c>
      <c r="AS140">
        <v>6</v>
      </c>
      <c r="AT140">
        <v>6</v>
      </c>
      <c r="AU140">
        <v>5</v>
      </c>
      <c r="AV140">
        <v>6</v>
      </c>
      <c r="AW140">
        <v>7</v>
      </c>
      <c r="AX140">
        <v>3</v>
      </c>
      <c r="AY140" cm="1">
        <f t="array" ref="AY140">_xlfn.IFS(AZ140="Positive",1, AZ140="Negative",1, AZ140="Neutral",0)</f>
        <v>1</v>
      </c>
      <c r="AZ140" t="str" cm="1">
        <f t="array" ref="AZ140">_xlfn.IFS(AX140=1,"Positive",AX140=2,"Neutral",AX140=3,"Negative")</f>
        <v>Negative</v>
      </c>
      <c r="BA140">
        <v>9</v>
      </c>
      <c r="BB140">
        <v>0</v>
      </c>
      <c r="BC140" s="3">
        <v>5</v>
      </c>
      <c r="BD140" s="3">
        <v>0</v>
      </c>
      <c r="BE140" s="3">
        <v>2</v>
      </c>
      <c r="BF140" s="3">
        <v>1</v>
      </c>
      <c r="BG140" s="3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 t="s">
        <v>414</v>
      </c>
      <c r="BT140" t="s">
        <v>399</v>
      </c>
      <c r="BU140" t="s">
        <v>417</v>
      </c>
      <c r="BV140" t="s">
        <v>447</v>
      </c>
    </row>
    <row r="141" spans="1:74" hidden="1" x14ac:dyDescent="0.2">
      <c r="A141">
        <v>146</v>
      </c>
      <c r="B141">
        <v>31</v>
      </c>
      <c r="C141" t="s">
        <v>108</v>
      </c>
      <c r="E141" t="s">
        <v>97</v>
      </c>
      <c r="F141">
        <v>24</v>
      </c>
      <c r="G141">
        <v>1999</v>
      </c>
      <c r="H141">
        <v>23</v>
      </c>
      <c r="I141" t="s">
        <v>64</v>
      </c>
      <c r="J141">
        <v>1</v>
      </c>
      <c r="K141" t="s">
        <v>667</v>
      </c>
      <c r="L141" t="s">
        <v>668</v>
      </c>
      <c r="M141">
        <v>2</v>
      </c>
      <c r="N141">
        <v>62</v>
      </c>
      <c r="O141" t="s">
        <v>339</v>
      </c>
      <c r="P141" t="s">
        <v>339</v>
      </c>
      <c r="Q141" t="s">
        <v>741</v>
      </c>
      <c r="R141" t="s">
        <v>742</v>
      </c>
      <c r="S141" t="s">
        <v>281</v>
      </c>
      <c r="T141" t="s">
        <v>319</v>
      </c>
      <c r="U141" t="s">
        <v>452</v>
      </c>
      <c r="V141" t="s">
        <v>343</v>
      </c>
      <c r="W141" t="s">
        <v>194</v>
      </c>
      <c r="X141" t="s">
        <v>66</v>
      </c>
      <c r="Y141" t="s">
        <v>66</v>
      </c>
      <c r="Z141">
        <v>7</v>
      </c>
      <c r="AA141">
        <v>7</v>
      </c>
      <c r="AB141">
        <v>7</v>
      </c>
      <c r="AC141">
        <v>5</v>
      </c>
      <c r="AD141">
        <v>3</v>
      </c>
      <c r="AE141">
        <v>3</v>
      </c>
      <c r="AF141">
        <v>2</v>
      </c>
      <c r="AG141">
        <v>1</v>
      </c>
      <c r="AH141">
        <v>5</v>
      </c>
      <c r="AI141">
        <v>1</v>
      </c>
      <c r="AJ141">
        <v>7</v>
      </c>
      <c r="AK141">
        <v>3</v>
      </c>
      <c r="AL141">
        <v>4</v>
      </c>
      <c r="AM141">
        <v>7</v>
      </c>
      <c r="AN141">
        <v>94</v>
      </c>
      <c r="AO141">
        <v>4</v>
      </c>
      <c r="AP141">
        <v>6</v>
      </c>
      <c r="AQ141">
        <v>7</v>
      </c>
      <c r="AR141">
        <v>6</v>
      </c>
      <c r="AS141">
        <v>6</v>
      </c>
      <c r="AT141">
        <v>6</v>
      </c>
      <c r="AU141">
        <v>6</v>
      </c>
      <c r="AV141">
        <v>6</v>
      </c>
      <c r="AW141">
        <v>6</v>
      </c>
      <c r="AX141">
        <v>3</v>
      </c>
      <c r="AY141" cm="1">
        <f t="array" ref="AY141">_xlfn.IFS(AZ141="Positive",1, AZ141="Negative",1, AZ141="Neutral",0)</f>
        <v>1</v>
      </c>
      <c r="AZ141" t="str" cm="1">
        <f t="array" ref="AZ141">_xlfn.IFS(AX141=1,"Positive",AX141=2,"Neutral",AX141=3,"Negative")</f>
        <v>Negative</v>
      </c>
      <c r="BA141">
        <v>19</v>
      </c>
      <c r="BB141">
        <v>1</v>
      </c>
      <c r="BC141" s="3">
        <v>11</v>
      </c>
      <c r="BD141" s="3">
        <v>0</v>
      </c>
      <c r="BE141" s="3">
        <v>1</v>
      </c>
      <c r="BF141" s="3">
        <v>5</v>
      </c>
      <c r="BG141" s="3">
        <v>2</v>
      </c>
      <c r="BH141">
        <v>0</v>
      </c>
      <c r="BI141">
        <v>0</v>
      </c>
      <c r="BJ141">
        <v>0</v>
      </c>
      <c r="BK141">
        <v>0</v>
      </c>
      <c r="BL141">
        <v>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 t="s">
        <v>367</v>
      </c>
      <c r="BT141" t="s">
        <v>449</v>
      </c>
      <c r="BU141" t="s">
        <v>450</v>
      </c>
      <c r="BV141" t="s">
        <v>451</v>
      </c>
    </row>
    <row r="142" spans="1:74" hidden="1" x14ac:dyDescent="0.2">
      <c r="A142">
        <v>147</v>
      </c>
      <c r="B142">
        <v>32</v>
      </c>
      <c r="C142" t="s">
        <v>109</v>
      </c>
      <c r="E142" t="s">
        <v>68</v>
      </c>
      <c r="F142">
        <v>9</v>
      </c>
      <c r="G142">
        <v>1999</v>
      </c>
      <c r="H142">
        <v>23</v>
      </c>
      <c r="I142" t="s">
        <v>69</v>
      </c>
      <c r="J142">
        <v>2</v>
      </c>
      <c r="K142" t="s">
        <v>481</v>
      </c>
      <c r="L142" t="s">
        <v>633</v>
      </c>
      <c r="M142">
        <v>8</v>
      </c>
      <c r="N142">
        <v>54</v>
      </c>
      <c r="O142" t="s">
        <v>393</v>
      </c>
      <c r="P142" t="s">
        <v>314</v>
      </c>
      <c r="Q142" t="s">
        <v>743</v>
      </c>
      <c r="R142" t="s">
        <v>711</v>
      </c>
      <c r="S142" t="s">
        <v>291</v>
      </c>
      <c r="T142" t="s">
        <v>455</v>
      </c>
      <c r="U142" t="s">
        <v>397</v>
      </c>
      <c r="V142" t="s">
        <v>351</v>
      </c>
      <c r="W142" t="s">
        <v>194</v>
      </c>
      <c r="X142" t="s">
        <v>66</v>
      </c>
      <c r="Y142" t="s">
        <v>66</v>
      </c>
      <c r="Z142">
        <v>7</v>
      </c>
      <c r="AA142">
        <v>6</v>
      </c>
      <c r="AB142">
        <v>6</v>
      </c>
      <c r="AC142">
        <v>5</v>
      </c>
      <c r="AD142">
        <v>1</v>
      </c>
      <c r="AE142">
        <v>6</v>
      </c>
      <c r="AF142">
        <v>1</v>
      </c>
      <c r="AG142">
        <v>1</v>
      </c>
      <c r="AH142">
        <v>5</v>
      </c>
      <c r="AI142">
        <v>2</v>
      </c>
      <c r="AJ142">
        <v>5</v>
      </c>
      <c r="AK142">
        <v>5</v>
      </c>
      <c r="AL142">
        <v>4</v>
      </c>
      <c r="AM142">
        <v>4</v>
      </c>
      <c r="AN142">
        <v>138</v>
      </c>
      <c r="AO142">
        <v>5</v>
      </c>
      <c r="AP142">
        <v>7</v>
      </c>
      <c r="AQ142">
        <v>6</v>
      </c>
      <c r="AR142">
        <v>6</v>
      </c>
      <c r="AS142">
        <v>7</v>
      </c>
      <c r="AT142">
        <v>6</v>
      </c>
      <c r="AU142">
        <v>6</v>
      </c>
      <c r="AV142">
        <v>5</v>
      </c>
      <c r="AW142">
        <v>3</v>
      </c>
      <c r="AX142">
        <v>3</v>
      </c>
      <c r="AY142" cm="1">
        <f t="array" ref="AY142">_xlfn.IFS(AZ142="Positive",1, AZ142="Negative",1, AZ142="Neutral",0)</f>
        <v>1</v>
      </c>
      <c r="AZ142" t="str" cm="1">
        <f t="array" ref="AZ142">_xlfn.IFS(AX142=1,"Positive",AX142=2,"Neutral",AX142=3,"Negative")</f>
        <v>Negative</v>
      </c>
      <c r="BA142">
        <v>18</v>
      </c>
      <c r="BB142">
        <v>0</v>
      </c>
      <c r="BC142" s="3">
        <v>8</v>
      </c>
      <c r="BD142" s="3">
        <v>0</v>
      </c>
      <c r="BE142" s="3">
        <v>3</v>
      </c>
      <c r="BF142" s="3">
        <v>6</v>
      </c>
      <c r="BG142" s="3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 t="s">
        <v>305</v>
      </c>
      <c r="BT142" t="s">
        <v>453</v>
      </c>
      <c r="BU142" t="s">
        <v>308</v>
      </c>
      <c r="BV142" t="s">
        <v>454</v>
      </c>
    </row>
    <row r="143" spans="1:74" hidden="1" x14ac:dyDescent="0.2">
      <c r="A143">
        <v>148</v>
      </c>
      <c r="B143">
        <v>33</v>
      </c>
      <c r="C143" t="s">
        <v>110</v>
      </c>
      <c r="E143" t="s">
        <v>63</v>
      </c>
      <c r="F143">
        <v>4</v>
      </c>
      <c r="G143">
        <v>1998</v>
      </c>
      <c r="H143">
        <v>24</v>
      </c>
      <c r="I143" t="s">
        <v>69</v>
      </c>
      <c r="J143">
        <v>2</v>
      </c>
      <c r="K143" t="s">
        <v>642</v>
      </c>
      <c r="L143" t="s">
        <v>652</v>
      </c>
      <c r="M143">
        <v>20</v>
      </c>
      <c r="N143">
        <v>46</v>
      </c>
      <c r="O143" t="s">
        <v>339</v>
      </c>
      <c r="P143" t="s">
        <v>456</v>
      </c>
      <c r="Q143" t="s">
        <v>712</v>
      </c>
      <c r="R143" t="s">
        <v>722</v>
      </c>
      <c r="S143" t="s">
        <v>301</v>
      </c>
      <c r="T143" t="s">
        <v>457</v>
      </c>
      <c r="U143" t="s">
        <v>452</v>
      </c>
      <c r="V143" t="s">
        <v>458</v>
      </c>
      <c r="W143" t="s">
        <v>194</v>
      </c>
      <c r="X143" t="s">
        <v>66</v>
      </c>
      <c r="Y143" t="s">
        <v>66</v>
      </c>
      <c r="Z143">
        <v>7</v>
      </c>
      <c r="AA143">
        <v>5</v>
      </c>
      <c r="AB143">
        <v>6</v>
      </c>
      <c r="AC143">
        <v>2</v>
      </c>
      <c r="AD143">
        <v>1</v>
      </c>
      <c r="AE143">
        <v>3</v>
      </c>
      <c r="AF143">
        <v>1</v>
      </c>
      <c r="AG143">
        <v>4</v>
      </c>
      <c r="AH143">
        <v>3</v>
      </c>
      <c r="AI143">
        <v>6</v>
      </c>
      <c r="AJ143">
        <v>2</v>
      </c>
      <c r="AK143">
        <v>4</v>
      </c>
      <c r="AL143">
        <v>3</v>
      </c>
      <c r="AM143">
        <v>2</v>
      </c>
      <c r="AN143">
        <v>240</v>
      </c>
      <c r="AO143">
        <v>3</v>
      </c>
      <c r="AP143">
        <v>2</v>
      </c>
      <c r="AQ143">
        <v>3</v>
      </c>
      <c r="AR143">
        <v>2</v>
      </c>
      <c r="AS143">
        <v>5</v>
      </c>
      <c r="AT143">
        <v>4</v>
      </c>
      <c r="AU143">
        <v>5</v>
      </c>
      <c r="AV143">
        <v>3</v>
      </c>
      <c r="AW143">
        <v>5</v>
      </c>
      <c r="AX143">
        <v>1</v>
      </c>
      <c r="AY143" cm="1">
        <f t="array" ref="AY143">_xlfn.IFS(AZ143="Positive",1, AZ143="Negative",1, AZ143="Neutral",0)</f>
        <v>1</v>
      </c>
      <c r="AZ143" t="str" cm="1">
        <f t="array" ref="AZ143">_xlfn.IFS(AX143=1,"Positive",AX143=2,"Neutral",AX143=3,"Negative")</f>
        <v>Positive</v>
      </c>
      <c r="BA143">
        <v>7</v>
      </c>
      <c r="BB143">
        <v>5</v>
      </c>
      <c r="BC143" s="3">
        <v>3</v>
      </c>
      <c r="BD143" s="3">
        <v>1</v>
      </c>
      <c r="BE143" s="3">
        <v>2</v>
      </c>
      <c r="BF143" s="3">
        <v>1</v>
      </c>
      <c r="BG143" s="3">
        <v>0</v>
      </c>
      <c r="BH143">
        <v>0</v>
      </c>
      <c r="BI143">
        <v>0</v>
      </c>
      <c r="BJ143">
        <v>3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1</v>
      </c>
      <c r="BS143" t="s">
        <v>382</v>
      </c>
      <c r="BT143" t="s">
        <v>382</v>
      </c>
      <c r="BU143" t="s">
        <v>385</v>
      </c>
      <c r="BV143" t="s">
        <v>410</v>
      </c>
    </row>
    <row r="144" spans="1:74" hidden="1" x14ac:dyDescent="0.2">
      <c r="A144">
        <v>149</v>
      </c>
      <c r="B144">
        <v>34</v>
      </c>
      <c r="C144" t="s">
        <v>111</v>
      </c>
      <c r="E144" t="s">
        <v>88</v>
      </c>
      <c r="F144">
        <v>5</v>
      </c>
      <c r="G144">
        <v>1999</v>
      </c>
      <c r="H144">
        <v>23</v>
      </c>
      <c r="I144" t="s">
        <v>69</v>
      </c>
      <c r="J144">
        <v>2</v>
      </c>
      <c r="K144" t="s">
        <v>517</v>
      </c>
      <c r="L144" t="s">
        <v>632</v>
      </c>
      <c r="M144">
        <v>9</v>
      </c>
      <c r="N144">
        <v>60</v>
      </c>
      <c r="O144" t="s">
        <v>456</v>
      </c>
      <c r="P144" t="s">
        <v>394</v>
      </c>
      <c r="Q144" t="s">
        <v>744</v>
      </c>
      <c r="R144" t="s">
        <v>732</v>
      </c>
      <c r="S144" t="s">
        <v>349</v>
      </c>
      <c r="T144" t="s">
        <v>444</v>
      </c>
      <c r="U144" t="s">
        <v>459</v>
      </c>
      <c r="V144" t="s">
        <v>398</v>
      </c>
      <c r="W144" t="s">
        <v>194</v>
      </c>
      <c r="X144" t="s">
        <v>66</v>
      </c>
      <c r="Y144" t="s">
        <v>66</v>
      </c>
      <c r="Z144">
        <v>7</v>
      </c>
      <c r="AA144">
        <v>5</v>
      </c>
      <c r="AB144">
        <v>6</v>
      </c>
      <c r="AC144">
        <v>2</v>
      </c>
      <c r="AD144">
        <v>1</v>
      </c>
      <c r="AE144">
        <v>2</v>
      </c>
      <c r="AF144">
        <v>4</v>
      </c>
      <c r="AG144">
        <v>3</v>
      </c>
      <c r="AH144">
        <v>6</v>
      </c>
      <c r="AI144">
        <v>3</v>
      </c>
      <c r="AJ144">
        <v>6</v>
      </c>
      <c r="AK144">
        <v>5</v>
      </c>
      <c r="AL144">
        <v>5</v>
      </c>
      <c r="AM144">
        <v>2</v>
      </c>
      <c r="AN144">
        <v>88</v>
      </c>
      <c r="AO144">
        <v>2</v>
      </c>
      <c r="AP144">
        <v>6</v>
      </c>
      <c r="AQ144">
        <v>6</v>
      </c>
      <c r="AR144">
        <v>4</v>
      </c>
      <c r="AS144">
        <v>5</v>
      </c>
      <c r="AT144">
        <v>6</v>
      </c>
      <c r="AU144">
        <v>5</v>
      </c>
      <c r="AV144">
        <v>6</v>
      </c>
      <c r="AW144">
        <v>6</v>
      </c>
      <c r="AX144">
        <v>3</v>
      </c>
      <c r="AY144" cm="1">
        <f t="array" ref="AY144">_xlfn.IFS(AZ144="Positive",1, AZ144="Negative",1, AZ144="Neutral",0)</f>
        <v>1</v>
      </c>
      <c r="AZ144" t="str" cm="1">
        <f t="array" ref="AZ144">_xlfn.IFS(AX144=1,"Positive",AX144=2,"Neutral",AX144=3,"Negative")</f>
        <v>Negative</v>
      </c>
      <c r="BA144">
        <v>14</v>
      </c>
      <c r="BB144">
        <v>0</v>
      </c>
      <c r="BC144" s="3">
        <v>6</v>
      </c>
      <c r="BD144" s="3">
        <v>1</v>
      </c>
      <c r="BE144" s="3">
        <v>3</v>
      </c>
      <c r="BF144" s="3">
        <v>1</v>
      </c>
      <c r="BG144" s="3">
        <v>3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 t="s">
        <v>313</v>
      </c>
      <c r="BT144" t="s">
        <v>383</v>
      </c>
      <c r="BU144" t="s">
        <v>316</v>
      </c>
      <c r="BV144" t="s">
        <v>386</v>
      </c>
    </row>
    <row r="145" spans="1:74" x14ac:dyDescent="0.2">
      <c r="A145">
        <v>150</v>
      </c>
      <c r="B145">
        <v>35</v>
      </c>
      <c r="C145" t="s">
        <v>112</v>
      </c>
      <c r="E145" t="s">
        <v>68</v>
      </c>
      <c r="F145">
        <v>5</v>
      </c>
      <c r="G145">
        <v>1998</v>
      </c>
      <c r="H145">
        <v>24</v>
      </c>
      <c r="I145" t="s">
        <v>64</v>
      </c>
      <c r="J145">
        <v>1</v>
      </c>
      <c r="K145" t="s">
        <v>416</v>
      </c>
      <c r="L145" t="s">
        <v>669</v>
      </c>
      <c r="M145">
        <v>9</v>
      </c>
      <c r="N145">
        <v>56</v>
      </c>
      <c r="O145" t="s">
        <v>288</v>
      </c>
      <c r="P145" t="s">
        <v>460</v>
      </c>
      <c r="Q145" t="s">
        <v>723</v>
      </c>
      <c r="R145" t="s">
        <v>745</v>
      </c>
      <c r="S145" t="s">
        <v>349</v>
      </c>
      <c r="T145" t="s">
        <v>423</v>
      </c>
      <c r="U145" t="s">
        <v>461</v>
      </c>
      <c r="V145" t="s">
        <v>462</v>
      </c>
      <c r="W145" t="s">
        <v>194</v>
      </c>
      <c r="X145" t="s">
        <v>66</v>
      </c>
      <c r="Y145" t="s">
        <v>66</v>
      </c>
      <c r="Z145">
        <v>7</v>
      </c>
      <c r="AA145">
        <v>3</v>
      </c>
      <c r="AB145">
        <v>4</v>
      </c>
      <c r="AC145">
        <v>1</v>
      </c>
      <c r="AD145">
        <v>1</v>
      </c>
      <c r="AE145">
        <v>2</v>
      </c>
      <c r="AF145">
        <v>6</v>
      </c>
      <c r="AG145">
        <v>5</v>
      </c>
      <c r="AH145">
        <v>3</v>
      </c>
      <c r="AI145">
        <v>1</v>
      </c>
      <c r="AJ145">
        <v>6</v>
      </c>
      <c r="AK145">
        <v>4</v>
      </c>
      <c r="AL145">
        <v>4</v>
      </c>
      <c r="AM145">
        <v>1</v>
      </c>
      <c r="AN145">
        <v>84</v>
      </c>
      <c r="AO145">
        <v>1</v>
      </c>
      <c r="AP145">
        <v>7</v>
      </c>
      <c r="AQ145">
        <v>5</v>
      </c>
      <c r="AR145">
        <v>3</v>
      </c>
      <c r="AS145">
        <v>3</v>
      </c>
      <c r="AT145">
        <v>3</v>
      </c>
      <c r="AU145">
        <v>3</v>
      </c>
      <c r="AV145">
        <v>3</v>
      </c>
      <c r="AW145">
        <v>3</v>
      </c>
      <c r="AX145">
        <v>3</v>
      </c>
      <c r="AY145" cm="1">
        <f t="array" ref="AY145">_xlfn.IFS(AZ145="Positive",1, AZ145="Negative",1, AZ145="Neutral",0)</f>
        <v>1</v>
      </c>
      <c r="AZ145" t="str" cm="1">
        <f t="array" ref="AZ145">_xlfn.IFS(AX145=1,"Positive",AX145=2,"Neutral",AX145=3,"Negative")</f>
        <v>Negative</v>
      </c>
      <c r="BA145">
        <v>0</v>
      </c>
      <c r="BB145">
        <v>4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>
        <v>0</v>
      </c>
      <c r="BI145">
        <v>0</v>
      </c>
      <c r="BJ145">
        <v>3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 t="s">
        <v>382</v>
      </c>
      <c r="BT145" t="s">
        <v>433</v>
      </c>
      <c r="BU145" t="s">
        <v>385</v>
      </c>
      <c r="BV145" t="s">
        <v>435</v>
      </c>
    </row>
    <row r="146" spans="1:74" hidden="1" x14ac:dyDescent="0.2">
      <c r="A146">
        <v>151</v>
      </c>
      <c r="B146">
        <v>36</v>
      </c>
      <c r="C146" t="s">
        <v>113</v>
      </c>
      <c r="E146" t="s">
        <v>78</v>
      </c>
      <c r="F146">
        <v>8</v>
      </c>
      <c r="G146">
        <v>1998</v>
      </c>
      <c r="H146">
        <v>24</v>
      </c>
      <c r="I146" t="s">
        <v>64</v>
      </c>
      <c r="J146">
        <v>1</v>
      </c>
      <c r="K146" t="s">
        <v>517</v>
      </c>
      <c r="L146" t="s">
        <v>670</v>
      </c>
      <c r="M146">
        <v>10</v>
      </c>
      <c r="N146">
        <v>58</v>
      </c>
      <c r="O146" t="s">
        <v>384</v>
      </c>
      <c r="P146" t="s">
        <v>376</v>
      </c>
      <c r="Q146" t="s">
        <v>744</v>
      </c>
      <c r="R146" t="s">
        <v>746</v>
      </c>
      <c r="S146" t="s">
        <v>378</v>
      </c>
      <c r="T146" t="s">
        <v>364</v>
      </c>
      <c r="U146" t="s">
        <v>387</v>
      </c>
      <c r="V146" t="s">
        <v>381</v>
      </c>
      <c r="W146" t="s">
        <v>194</v>
      </c>
      <c r="X146" t="s">
        <v>66</v>
      </c>
      <c r="Y146" t="s">
        <v>66</v>
      </c>
      <c r="Z146">
        <v>7</v>
      </c>
      <c r="AA146">
        <v>3</v>
      </c>
      <c r="AB146">
        <v>5</v>
      </c>
      <c r="AC146">
        <v>2</v>
      </c>
      <c r="AD146">
        <v>2</v>
      </c>
      <c r="AE146">
        <v>2</v>
      </c>
      <c r="AF146">
        <v>5</v>
      </c>
      <c r="AG146">
        <v>5</v>
      </c>
      <c r="AH146">
        <v>6</v>
      </c>
      <c r="AI146">
        <v>7</v>
      </c>
      <c r="AJ146">
        <v>1</v>
      </c>
      <c r="AK146">
        <v>3</v>
      </c>
      <c r="AL146">
        <v>5</v>
      </c>
      <c r="AM146">
        <v>5</v>
      </c>
      <c r="AN146">
        <v>240</v>
      </c>
      <c r="AO146">
        <v>2</v>
      </c>
      <c r="AP146">
        <v>1</v>
      </c>
      <c r="AQ146">
        <v>2</v>
      </c>
      <c r="AR146">
        <v>1</v>
      </c>
      <c r="AS146">
        <v>5</v>
      </c>
      <c r="AT146">
        <v>2</v>
      </c>
      <c r="AU146">
        <v>5</v>
      </c>
      <c r="AV146">
        <v>6</v>
      </c>
      <c r="AW146">
        <v>6</v>
      </c>
      <c r="AX146">
        <v>1</v>
      </c>
      <c r="AY146" cm="1">
        <f t="array" ref="AY146">_xlfn.IFS(AZ146="Positive",1, AZ146="Negative",1, AZ146="Neutral",0)</f>
        <v>1</v>
      </c>
      <c r="AZ146" t="str" cm="1">
        <f t="array" ref="AZ146">_xlfn.IFS(AX146=1,"Positive",AX146=2,"Neutral",AX146=3,"Negative")</f>
        <v>Positive</v>
      </c>
      <c r="BA146">
        <v>8</v>
      </c>
      <c r="BB146">
        <v>2</v>
      </c>
      <c r="BC146" s="3">
        <v>6</v>
      </c>
      <c r="BD146" s="3">
        <v>0</v>
      </c>
      <c r="BE146" s="3">
        <v>2</v>
      </c>
      <c r="BF146" s="3">
        <v>0</v>
      </c>
      <c r="BG146" s="3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2</v>
      </c>
      <c r="BS146" t="s">
        <v>463</v>
      </c>
      <c r="BT146" t="s">
        <v>464</v>
      </c>
      <c r="BU146" t="s">
        <v>465</v>
      </c>
      <c r="BV146" t="s">
        <v>466</v>
      </c>
    </row>
    <row r="147" spans="1:74" hidden="1" x14ac:dyDescent="0.2">
      <c r="A147">
        <v>152</v>
      </c>
      <c r="B147">
        <v>37</v>
      </c>
      <c r="C147" t="s">
        <v>114</v>
      </c>
      <c r="E147" t="s">
        <v>88</v>
      </c>
      <c r="F147">
        <v>25</v>
      </c>
      <c r="G147">
        <v>2000</v>
      </c>
      <c r="H147">
        <v>22</v>
      </c>
      <c r="I147" t="s">
        <v>64</v>
      </c>
      <c r="J147">
        <v>1</v>
      </c>
      <c r="K147" t="s">
        <v>416</v>
      </c>
      <c r="L147" t="s">
        <v>634</v>
      </c>
      <c r="M147">
        <v>15</v>
      </c>
      <c r="N147">
        <v>61</v>
      </c>
      <c r="O147" t="s">
        <v>468</v>
      </c>
      <c r="P147">
        <v>6</v>
      </c>
      <c r="Q147" t="s">
        <v>723</v>
      </c>
      <c r="R147" t="s">
        <v>747</v>
      </c>
      <c r="S147" t="s">
        <v>363</v>
      </c>
      <c r="T147" t="s">
        <v>292</v>
      </c>
      <c r="U147" t="s">
        <v>470</v>
      </c>
      <c r="V147" t="s">
        <v>471</v>
      </c>
      <c r="W147" t="s">
        <v>194</v>
      </c>
      <c r="X147" t="s">
        <v>66</v>
      </c>
      <c r="Y147" t="s">
        <v>66</v>
      </c>
      <c r="Z147">
        <v>7</v>
      </c>
      <c r="AA147">
        <v>3</v>
      </c>
      <c r="AB147">
        <v>6</v>
      </c>
      <c r="AC147">
        <v>4</v>
      </c>
      <c r="AD147">
        <v>1</v>
      </c>
      <c r="AE147">
        <v>2</v>
      </c>
      <c r="AF147">
        <v>3</v>
      </c>
      <c r="AG147">
        <v>1</v>
      </c>
      <c r="AH147">
        <v>1</v>
      </c>
      <c r="AI147">
        <v>4</v>
      </c>
      <c r="AJ147">
        <v>1</v>
      </c>
      <c r="AK147">
        <v>1</v>
      </c>
      <c r="AL147">
        <v>1</v>
      </c>
      <c r="AM147">
        <v>1</v>
      </c>
      <c r="AN147">
        <v>12</v>
      </c>
      <c r="AO147">
        <v>1</v>
      </c>
      <c r="AP147">
        <v>3</v>
      </c>
      <c r="AQ147">
        <v>2</v>
      </c>
      <c r="AR147">
        <v>7</v>
      </c>
      <c r="AS147">
        <v>6</v>
      </c>
      <c r="AT147">
        <v>7</v>
      </c>
      <c r="AU147">
        <v>7</v>
      </c>
      <c r="AV147">
        <v>7</v>
      </c>
      <c r="AW147">
        <v>3</v>
      </c>
      <c r="AX147">
        <v>2</v>
      </c>
      <c r="AY147" cm="1">
        <f t="array" ref="AY147">_xlfn.IFS(AZ147="Positive",1, AZ147="Negative",1, AZ147="Neutral",0)</f>
        <v>0</v>
      </c>
      <c r="AZ147" t="str" cm="1">
        <f t="array" ref="AZ147">_xlfn.IFS(AX147=1,"Positive",AX147=2,"Neutral",AX147=3,"Negative")</f>
        <v>Neutral</v>
      </c>
      <c r="BA147">
        <v>13</v>
      </c>
      <c r="BB147">
        <v>1</v>
      </c>
      <c r="BC147" s="3">
        <v>4</v>
      </c>
      <c r="BD147" s="3">
        <v>1</v>
      </c>
      <c r="BE147" s="3">
        <v>1</v>
      </c>
      <c r="BF147" s="3">
        <v>5</v>
      </c>
      <c r="BG147" s="3">
        <v>2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 t="s">
        <v>467</v>
      </c>
      <c r="BT147" t="s">
        <v>399</v>
      </c>
      <c r="BU147" t="s">
        <v>469</v>
      </c>
      <c r="BV147" t="s">
        <v>447</v>
      </c>
    </row>
    <row r="148" spans="1:74" hidden="1" x14ac:dyDescent="0.2">
      <c r="A148">
        <v>153</v>
      </c>
      <c r="B148">
        <v>38</v>
      </c>
      <c r="C148" t="s">
        <v>115</v>
      </c>
      <c r="E148" t="s">
        <v>85</v>
      </c>
      <c r="F148">
        <v>27</v>
      </c>
      <c r="G148">
        <v>1999</v>
      </c>
      <c r="H148">
        <v>23</v>
      </c>
      <c r="I148" t="s">
        <v>64</v>
      </c>
      <c r="J148">
        <v>1</v>
      </c>
      <c r="K148" t="s">
        <v>671</v>
      </c>
      <c r="L148" t="s">
        <v>670</v>
      </c>
      <c r="M148">
        <v>3</v>
      </c>
      <c r="N148">
        <v>48</v>
      </c>
      <c r="O148" t="s">
        <v>315</v>
      </c>
      <c r="P148" t="s">
        <v>405</v>
      </c>
      <c r="Q148" t="s">
        <v>748</v>
      </c>
      <c r="R148" t="s">
        <v>746</v>
      </c>
      <c r="S148" t="s">
        <v>372</v>
      </c>
      <c r="T148" t="s">
        <v>418</v>
      </c>
      <c r="U148" t="s">
        <v>474</v>
      </c>
      <c r="V148" t="s">
        <v>407</v>
      </c>
      <c r="W148" t="s">
        <v>194</v>
      </c>
      <c r="X148" t="s">
        <v>66</v>
      </c>
      <c r="Y148" t="s">
        <v>66</v>
      </c>
      <c r="Z148">
        <v>7</v>
      </c>
      <c r="AA148">
        <v>6</v>
      </c>
      <c r="AB148">
        <v>6</v>
      </c>
      <c r="AC148">
        <v>3</v>
      </c>
      <c r="AD148">
        <v>3</v>
      </c>
      <c r="AE148">
        <v>5</v>
      </c>
      <c r="AF148">
        <v>3</v>
      </c>
      <c r="AG148">
        <v>2</v>
      </c>
      <c r="AH148">
        <v>6</v>
      </c>
      <c r="AI148">
        <v>2</v>
      </c>
      <c r="AJ148">
        <v>5</v>
      </c>
      <c r="AK148">
        <v>5</v>
      </c>
      <c r="AL148">
        <v>5</v>
      </c>
      <c r="AM148">
        <v>4</v>
      </c>
      <c r="AN148">
        <v>240</v>
      </c>
      <c r="AO148">
        <v>1</v>
      </c>
      <c r="AP148">
        <v>5</v>
      </c>
      <c r="AQ148">
        <v>4</v>
      </c>
      <c r="AR148">
        <v>2</v>
      </c>
      <c r="AS148">
        <v>4</v>
      </c>
      <c r="AT148">
        <v>4</v>
      </c>
      <c r="AU148">
        <v>5</v>
      </c>
      <c r="AV148">
        <v>6</v>
      </c>
      <c r="AW148">
        <v>7</v>
      </c>
      <c r="AX148">
        <v>2</v>
      </c>
      <c r="AY148" cm="1">
        <f t="array" ref="AY148">_xlfn.IFS(AZ148="Positive",1, AZ148="Negative",1, AZ148="Neutral",0)</f>
        <v>0</v>
      </c>
      <c r="AZ148" t="str" cm="1">
        <f t="array" ref="AZ148">_xlfn.IFS(AX148=1,"Positive",AX148=2,"Neutral",AX148=3,"Negative")</f>
        <v>Neutral</v>
      </c>
      <c r="BA148">
        <v>10</v>
      </c>
      <c r="BB148">
        <v>0</v>
      </c>
      <c r="BC148" s="3">
        <v>7</v>
      </c>
      <c r="BD148" s="3">
        <v>0</v>
      </c>
      <c r="BE148" s="3">
        <v>0</v>
      </c>
      <c r="BF148" s="3">
        <v>2</v>
      </c>
      <c r="BG148" s="3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 t="s">
        <v>453</v>
      </c>
      <c r="BT148" t="s">
        <v>295</v>
      </c>
      <c r="BU148" t="s">
        <v>472</v>
      </c>
      <c r="BV148" t="s">
        <v>473</v>
      </c>
    </row>
    <row r="149" spans="1:74" hidden="1" x14ac:dyDescent="0.2">
      <c r="A149">
        <v>154</v>
      </c>
      <c r="B149">
        <v>39</v>
      </c>
      <c r="C149" t="s">
        <v>116</v>
      </c>
      <c r="E149" t="s">
        <v>71</v>
      </c>
      <c r="F149">
        <v>28</v>
      </c>
      <c r="G149">
        <v>2001</v>
      </c>
      <c r="H149">
        <v>21</v>
      </c>
      <c r="I149" t="s">
        <v>69</v>
      </c>
      <c r="J149">
        <v>2</v>
      </c>
      <c r="K149" t="s">
        <v>517</v>
      </c>
      <c r="L149" t="s">
        <v>672</v>
      </c>
      <c r="M149">
        <v>4</v>
      </c>
      <c r="N149">
        <v>63</v>
      </c>
      <c r="O149" t="s">
        <v>394</v>
      </c>
      <c r="P149" t="s">
        <v>354</v>
      </c>
      <c r="Q149" t="s">
        <v>744</v>
      </c>
      <c r="R149" t="s">
        <v>749</v>
      </c>
      <c r="S149" t="s">
        <v>396</v>
      </c>
      <c r="T149" t="s">
        <v>477</v>
      </c>
      <c r="U149" t="s">
        <v>478</v>
      </c>
      <c r="V149" t="s">
        <v>359</v>
      </c>
      <c r="W149" t="s">
        <v>194</v>
      </c>
      <c r="X149" t="s">
        <v>66</v>
      </c>
      <c r="Y149" t="s">
        <v>66</v>
      </c>
      <c r="Z149">
        <v>7</v>
      </c>
      <c r="AA149">
        <v>6</v>
      </c>
      <c r="AB149">
        <v>6</v>
      </c>
      <c r="AC149">
        <v>6</v>
      </c>
      <c r="AD149">
        <v>1</v>
      </c>
      <c r="AE149">
        <v>1</v>
      </c>
      <c r="AF149">
        <v>1</v>
      </c>
      <c r="AG149">
        <v>2</v>
      </c>
      <c r="AH149">
        <v>2</v>
      </c>
      <c r="AI149">
        <v>4</v>
      </c>
      <c r="AJ149">
        <v>4</v>
      </c>
      <c r="AK149">
        <v>3</v>
      </c>
      <c r="AL149">
        <v>2</v>
      </c>
      <c r="AM149">
        <v>5</v>
      </c>
      <c r="AN149">
        <v>46</v>
      </c>
      <c r="AO149">
        <v>1</v>
      </c>
      <c r="AP149">
        <v>4</v>
      </c>
      <c r="AQ149">
        <v>5</v>
      </c>
      <c r="AR149">
        <v>5</v>
      </c>
      <c r="AS149">
        <v>2</v>
      </c>
      <c r="AT149">
        <v>5</v>
      </c>
      <c r="AU149">
        <v>5</v>
      </c>
      <c r="AV149">
        <v>5</v>
      </c>
      <c r="AW149">
        <v>5</v>
      </c>
      <c r="AX149">
        <v>2</v>
      </c>
      <c r="AY149" cm="1">
        <f t="array" ref="AY149">_xlfn.IFS(AZ149="Positive",1, AZ149="Negative",1, AZ149="Neutral",0)</f>
        <v>0</v>
      </c>
      <c r="AZ149" t="str" cm="1">
        <f t="array" ref="AZ149">_xlfn.IFS(AX149=1,"Positive",AX149=2,"Neutral",AX149=3,"Negative")</f>
        <v>Neutral</v>
      </c>
      <c r="BA149">
        <v>15</v>
      </c>
      <c r="BB149">
        <v>1</v>
      </c>
      <c r="BC149" s="3">
        <v>7</v>
      </c>
      <c r="BD149" s="3">
        <v>0</v>
      </c>
      <c r="BE149" s="3">
        <v>4</v>
      </c>
      <c r="BF149" s="3">
        <v>2</v>
      </c>
      <c r="BG149" s="3">
        <v>2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 t="s">
        <v>399</v>
      </c>
      <c r="BT149" t="s">
        <v>475</v>
      </c>
      <c r="BU149" t="s">
        <v>400</v>
      </c>
      <c r="BV149" t="s">
        <v>476</v>
      </c>
    </row>
    <row r="150" spans="1:74" hidden="1" x14ac:dyDescent="0.2">
      <c r="A150">
        <v>155</v>
      </c>
      <c r="B150">
        <v>40</v>
      </c>
      <c r="C150" t="s">
        <v>117</v>
      </c>
      <c r="E150" t="s">
        <v>88</v>
      </c>
      <c r="F150">
        <v>15</v>
      </c>
      <c r="G150">
        <v>2001</v>
      </c>
      <c r="H150">
        <v>21</v>
      </c>
      <c r="I150" t="s">
        <v>69</v>
      </c>
      <c r="J150">
        <v>2</v>
      </c>
      <c r="K150" t="s">
        <v>673</v>
      </c>
      <c r="L150" t="s">
        <v>648</v>
      </c>
      <c r="M150">
        <v>5</v>
      </c>
      <c r="N150">
        <v>48</v>
      </c>
      <c r="O150" t="s">
        <v>393</v>
      </c>
      <c r="P150" t="s">
        <v>369</v>
      </c>
      <c r="Q150" t="s">
        <v>750</v>
      </c>
      <c r="R150" t="s">
        <v>718</v>
      </c>
      <c r="S150" t="s">
        <v>318</v>
      </c>
      <c r="T150" t="s">
        <v>418</v>
      </c>
      <c r="U150" t="s">
        <v>397</v>
      </c>
      <c r="V150" t="s">
        <v>374</v>
      </c>
      <c r="W150" t="s">
        <v>194</v>
      </c>
      <c r="X150" t="s">
        <v>66</v>
      </c>
      <c r="Y150" t="s">
        <v>66</v>
      </c>
      <c r="Z150">
        <v>7</v>
      </c>
      <c r="AA150">
        <v>2</v>
      </c>
      <c r="AB150">
        <v>3</v>
      </c>
      <c r="AC150">
        <v>1</v>
      </c>
      <c r="AD150">
        <v>4</v>
      </c>
      <c r="AE150">
        <v>1</v>
      </c>
      <c r="AF150">
        <v>1</v>
      </c>
      <c r="AG150">
        <v>4</v>
      </c>
      <c r="AH150">
        <v>5</v>
      </c>
      <c r="AI150">
        <v>7</v>
      </c>
      <c r="AJ150">
        <v>1</v>
      </c>
      <c r="AK150">
        <v>3</v>
      </c>
      <c r="AL150">
        <v>3</v>
      </c>
      <c r="AM150">
        <v>5</v>
      </c>
      <c r="AN150">
        <v>92</v>
      </c>
      <c r="AO150">
        <v>1</v>
      </c>
      <c r="AP150">
        <v>1</v>
      </c>
      <c r="AQ150">
        <v>2</v>
      </c>
      <c r="AR150">
        <v>2</v>
      </c>
      <c r="AS150">
        <v>2</v>
      </c>
      <c r="AT150">
        <v>1</v>
      </c>
      <c r="AU150">
        <v>4</v>
      </c>
      <c r="AV150">
        <v>5</v>
      </c>
      <c r="AW150">
        <v>3</v>
      </c>
      <c r="AX150">
        <v>1</v>
      </c>
      <c r="AY150" cm="1">
        <f t="array" ref="AY150">_xlfn.IFS(AZ150="Positive",1, AZ150="Negative",1, AZ150="Neutral",0)</f>
        <v>1</v>
      </c>
      <c r="AZ150" t="str" cm="1">
        <f t="array" ref="AZ150">_xlfn.IFS(AX150=1,"Positive",AX150=2,"Neutral",AX150=3,"Negative")</f>
        <v>Positive</v>
      </c>
      <c r="BA150">
        <v>5</v>
      </c>
      <c r="BB150">
        <v>4</v>
      </c>
      <c r="BC150" s="3">
        <v>3</v>
      </c>
      <c r="BD150" s="3">
        <v>0</v>
      </c>
      <c r="BE150" s="3">
        <v>1</v>
      </c>
      <c r="BF150" s="3">
        <v>0</v>
      </c>
      <c r="BG150" s="3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</v>
      </c>
      <c r="BN150">
        <v>0</v>
      </c>
      <c r="BO150">
        <v>0</v>
      </c>
      <c r="BP150">
        <v>0</v>
      </c>
      <c r="BQ150">
        <v>2</v>
      </c>
      <c r="BR150">
        <v>0</v>
      </c>
      <c r="BS150" t="s">
        <v>323</v>
      </c>
      <c r="BT150">
        <v>2</v>
      </c>
      <c r="BU150" t="s">
        <v>479</v>
      </c>
      <c r="BV150" t="s">
        <v>340</v>
      </c>
    </row>
    <row r="151" spans="1:74" hidden="1" x14ac:dyDescent="0.2">
      <c r="A151">
        <v>156</v>
      </c>
      <c r="B151">
        <v>41</v>
      </c>
      <c r="C151" t="s">
        <v>118</v>
      </c>
      <c r="E151" t="s">
        <v>88</v>
      </c>
      <c r="F151">
        <v>27</v>
      </c>
      <c r="G151">
        <v>1998</v>
      </c>
      <c r="H151">
        <v>24</v>
      </c>
      <c r="I151" t="s">
        <v>69</v>
      </c>
      <c r="J151">
        <v>2</v>
      </c>
      <c r="K151" t="s">
        <v>656</v>
      </c>
      <c r="L151" t="s">
        <v>653</v>
      </c>
      <c r="M151">
        <v>8</v>
      </c>
      <c r="N151">
        <v>59</v>
      </c>
      <c r="O151" t="s">
        <v>339</v>
      </c>
      <c r="P151" t="s">
        <v>481</v>
      </c>
      <c r="Q151" t="s">
        <v>751</v>
      </c>
      <c r="R151" t="s">
        <v>724</v>
      </c>
      <c r="S151" t="s">
        <v>291</v>
      </c>
      <c r="T151" t="s">
        <v>341</v>
      </c>
      <c r="U151" t="s">
        <v>452</v>
      </c>
      <c r="V151" t="s">
        <v>483</v>
      </c>
      <c r="W151" t="s">
        <v>194</v>
      </c>
      <c r="X151" t="s">
        <v>66</v>
      </c>
      <c r="Y151" t="s">
        <v>66</v>
      </c>
      <c r="Z151">
        <v>7</v>
      </c>
      <c r="AA151">
        <v>2</v>
      </c>
      <c r="AB151">
        <v>5</v>
      </c>
      <c r="AC151">
        <v>2</v>
      </c>
      <c r="AD151">
        <v>1</v>
      </c>
      <c r="AE151">
        <v>1</v>
      </c>
      <c r="AF151">
        <v>1</v>
      </c>
      <c r="AG151">
        <v>1</v>
      </c>
      <c r="AH151">
        <v>2</v>
      </c>
      <c r="AI151">
        <v>5</v>
      </c>
      <c r="AJ151">
        <v>1</v>
      </c>
      <c r="AK151">
        <v>2</v>
      </c>
      <c r="AL151">
        <v>2</v>
      </c>
      <c r="AM151">
        <v>1</v>
      </c>
      <c r="AN151">
        <v>84</v>
      </c>
      <c r="AO151">
        <v>5</v>
      </c>
      <c r="AP151">
        <v>3</v>
      </c>
      <c r="AQ151">
        <v>2</v>
      </c>
      <c r="AR151">
        <v>2</v>
      </c>
      <c r="AS151">
        <v>3</v>
      </c>
      <c r="AT151">
        <v>2</v>
      </c>
      <c r="AU151">
        <v>3</v>
      </c>
      <c r="AV151">
        <v>3</v>
      </c>
      <c r="AW151">
        <v>3</v>
      </c>
      <c r="AX151">
        <v>2</v>
      </c>
      <c r="AY151" cm="1">
        <f t="array" ref="AY151">_xlfn.IFS(AZ151="Positive",1, AZ151="Negative",1, AZ151="Neutral",0)</f>
        <v>0</v>
      </c>
      <c r="AZ151" t="str" cm="1">
        <f t="array" ref="AZ151">_xlfn.IFS(AX151=1,"Positive",AX151=2,"Neutral",AX151=3,"Negative")</f>
        <v>Neutral</v>
      </c>
      <c r="BA151">
        <v>6</v>
      </c>
      <c r="BB151">
        <v>0</v>
      </c>
      <c r="BC151" s="3">
        <v>3</v>
      </c>
      <c r="BD151" s="3">
        <v>1</v>
      </c>
      <c r="BE151" s="3">
        <v>1</v>
      </c>
      <c r="BF151" s="3">
        <v>1</v>
      </c>
      <c r="BG151" s="3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 t="s">
        <v>295</v>
      </c>
      <c r="BT151" t="s">
        <v>480</v>
      </c>
      <c r="BU151" t="s">
        <v>299</v>
      </c>
      <c r="BV151" t="s">
        <v>482</v>
      </c>
    </row>
    <row r="152" spans="1:74" hidden="1" x14ac:dyDescent="0.2">
      <c r="A152">
        <v>157</v>
      </c>
      <c r="B152">
        <v>42</v>
      </c>
      <c r="C152" t="s">
        <v>119</v>
      </c>
      <c r="E152" t="s">
        <v>88</v>
      </c>
      <c r="F152">
        <v>17</v>
      </c>
      <c r="G152">
        <v>2001</v>
      </c>
      <c r="H152">
        <v>21</v>
      </c>
      <c r="I152" t="s">
        <v>64</v>
      </c>
      <c r="J152">
        <v>1</v>
      </c>
      <c r="K152" t="s">
        <v>674</v>
      </c>
      <c r="L152" t="s">
        <v>636</v>
      </c>
      <c r="M152">
        <v>10</v>
      </c>
      <c r="N152">
        <v>68</v>
      </c>
      <c r="O152" t="s">
        <v>485</v>
      </c>
      <c r="P152" t="s">
        <v>389</v>
      </c>
      <c r="Q152" t="s">
        <v>752</v>
      </c>
      <c r="R152" t="s">
        <v>705</v>
      </c>
      <c r="S152" t="s">
        <v>378</v>
      </c>
      <c r="T152" t="s">
        <v>487</v>
      </c>
      <c r="U152" t="s">
        <v>488</v>
      </c>
      <c r="V152" t="s">
        <v>392</v>
      </c>
      <c r="W152" t="s">
        <v>194</v>
      </c>
      <c r="X152" t="s">
        <v>66</v>
      </c>
      <c r="Y152" t="s">
        <v>66</v>
      </c>
      <c r="Z152">
        <v>7</v>
      </c>
      <c r="AA152">
        <v>6</v>
      </c>
      <c r="AB152">
        <v>7</v>
      </c>
      <c r="AC152">
        <v>4</v>
      </c>
      <c r="AD152">
        <v>5</v>
      </c>
      <c r="AE152">
        <v>6</v>
      </c>
      <c r="AF152">
        <v>3</v>
      </c>
      <c r="AG152">
        <v>2</v>
      </c>
      <c r="AH152">
        <v>6</v>
      </c>
      <c r="AI152">
        <v>6</v>
      </c>
      <c r="AJ152">
        <v>2</v>
      </c>
      <c r="AK152">
        <v>4</v>
      </c>
      <c r="AL152">
        <v>4</v>
      </c>
      <c r="AM152">
        <v>3</v>
      </c>
      <c r="AN152">
        <v>240</v>
      </c>
      <c r="AO152">
        <v>3</v>
      </c>
      <c r="AP152">
        <v>3</v>
      </c>
      <c r="AQ152">
        <v>5</v>
      </c>
      <c r="AR152">
        <v>4</v>
      </c>
      <c r="AS152">
        <v>6</v>
      </c>
      <c r="AT152">
        <v>6</v>
      </c>
      <c r="AU152">
        <v>6</v>
      </c>
      <c r="AV152">
        <v>6</v>
      </c>
      <c r="AW152">
        <v>6</v>
      </c>
      <c r="AX152">
        <v>2</v>
      </c>
      <c r="AY152" cm="1">
        <f t="array" ref="AY152">_xlfn.IFS(AZ152="Positive",1, AZ152="Negative",1, AZ152="Neutral",0)</f>
        <v>0</v>
      </c>
      <c r="AZ152" t="str" cm="1">
        <f t="array" ref="AZ152">_xlfn.IFS(AX152=1,"Positive",AX152=2,"Neutral",AX152=3,"Negative")</f>
        <v>Neutral</v>
      </c>
      <c r="BA152">
        <v>14</v>
      </c>
      <c r="BB152">
        <v>1</v>
      </c>
      <c r="BC152" s="3">
        <v>5</v>
      </c>
      <c r="BD152" s="3">
        <v>1</v>
      </c>
      <c r="BE152" s="3">
        <v>5</v>
      </c>
      <c r="BF152" s="3">
        <v>3</v>
      </c>
      <c r="BG152" s="3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 t="s">
        <v>388</v>
      </c>
      <c r="BT152" t="s">
        <v>484</v>
      </c>
      <c r="BU152" t="s">
        <v>434</v>
      </c>
      <c r="BV152" t="s">
        <v>486</v>
      </c>
    </row>
    <row r="153" spans="1:74" hidden="1" x14ac:dyDescent="0.2">
      <c r="A153">
        <v>158</v>
      </c>
      <c r="B153">
        <v>43</v>
      </c>
      <c r="C153" t="s">
        <v>120</v>
      </c>
      <c r="E153" t="s">
        <v>85</v>
      </c>
      <c r="F153">
        <v>3</v>
      </c>
      <c r="G153">
        <v>1998</v>
      </c>
      <c r="H153">
        <v>24</v>
      </c>
      <c r="I153" t="s">
        <v>69</v>
      </c>
      <c r="J153">
        <v>2</v>
      </c>
      <c r="K153" t="s">
        <v>642</v>
      </c>
      <c r="L153" t="s">
        <v>634</v>
      </c>
      <c r="M153">
        <v>1</v>
      </c>
      <c r="N153">
        <v>49</v>
      </c>
      <c r="O153" t="s">
        <v>456</v>
      </c>
      <c r="P153" t="s">
        <v>394</v>
      </c>
      <c r="Q153" t="s">
        <v>712</v>
      </c>
      <c r="R153" t="s">
        <v>747</v>
      </c>
      <c r="S153" t="s">
        <v>335</v>
      </c>
      <c r="T153" t="s">
        <v>491</v>
      </c>
      <c r="U153" t="s">
        <v>459</v>
      </c>
      <c r="V153" t="s">
        <v>398</v>
      </c>
      <c r="W153" t="s">
        <v>194</v>
      </c>
      <c r="X153" t="s">
        <v>66</v>
      </c>
      <c r="Y153" t="s">
        <v>66</v>
      </c>
      <c r="Z153">
        <v>7</v>
      </c>
      <c r="AA153">
        <v>5</v>
      </c>
      <c r="AB153">
        <v>6</v>
      </c>
      <c r="AC153">
        <v>3</v>
      </c>
      <c r="AD153">
        <v>2</v>
      </c>
      <c r="AE153">
        <v>3</v>
      </c>
      <c r="AF153">
        <v>5</v>
      </c>
      <c r="AG153">
        <v>3</v>
      </c>
      <c r="AH153">
        <v>6</v>
      </c>
      <c r="AI153">
        <v>6</v>
      </c>
      <c r="AJ153">
        <v>2</v>
      </c>
      <c r="AK153">
        <v>6</v>
      </c>
      <c r="AL153">
        <v>3</v>
      </c>
      <c r="AM153">
        <v>6</v>
      </c>
      <c r="AN153">
        <v>89</v>
      </c>
      <c r="AO153">
        <v>5</v>
      </c>
      <c r="AP153">
        <v>2</v>
      </c>
      <c r="AQ153">
        <v>3</v>
      </c>
      <c r="AR153">
        <v>4</v>
      </c>
      <c r="AS153">
        <v>4</v>
      </c>
      <c r="AT153">
        <v>4</v>
      </c>
      <c r="AU153">
        <v>4</v>
      </c>
      <c r="AV153">
        <v>4</v>
      </c>
      <c r="AW153">
        <v>4</v>
      </c>
      <c r="AX153">
        <v>1</v>
      </c>
      <c r="AY153" cm="1">
        <f t="array" ref="AY153">_xlfn.IFS(AZ153="Positive",1, AZ153="Negative",1, AZ153="Neutral",0)</f>
        <v>1</v>
      </c>
      <c r="AZ153" t="str" cm="1">
        <f t="array" ref="AZ153">_xlfn.IFS(AX153=1,"Positive",AX153=2,"Neutral",AX153=3,"Negative")</f>
        <v>Positive</v>
      </c>
      <c r="BA153">
        <v>8</v>
      </c>
      <c r="BB153">
        <v>2</v>
      </c>
      <c r="BC153" s="3">
        <v>3</v>
      </c>
      <c r="BD153" s="3">
        <v>0</v>
      </c>
      <c r="BE153" s="3">
        <v>1</v>
      </c>
      <c r="BF153" s="3">
        <v>1</v>
      </c>
      <c r="BG153" s="3">
        <v>3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1</v>
      </c>
      <c r="BR153">
        <v>0</v>
      </c>
      <c r="BS153" t="s">
        <v>489</v>
      </c>
      <c r="BT153" t="s">
        <v>399</v>
      </c>
      <c r="BU153" t="s">
        <v>490</v>
      </c>
      <c r="BV153" t="s">
        <v>447</v>
      </c>
    </row>
    <row r="154" spans="1:74" hidden="1" x14ac:dyDescent="0.2">
      <c r="A154">
        <v>159</v>
      </c>
      <c r="B154">
        <v>44</v>
      </c>
      <c r="C154" t="s">
        <v>121</v>
      </c>
      <c r="E154" t="s">
        <v>80</v>
      </c>
      <c r="F154">
        <v>19</v>
      </c>
      <c r="G154">
        <v>1999</v>
      </c>
      <c r="H154">
        <v>23</v>
      </c>
      <c r="I154" t="s">
        <v>64</v>
      </c>
      <c r="J154">
        <v>1</v>
      </c>
      <c r="K154" t="s">
        <v>658</v>
      </c>
      <c r="L154" t="s">
        <v>634</v>
      </c>
      <c r="M154">
        <v>9</v>
      </c>
      <c r="N154">
        <v>52</v>
      </c>
      <c r="O154" t="s">
        <v>493</v>
      </c>
      <c r="P154" t="s">
        <v>315</v>
      </c>
      <c r="Q154" t="s">
        <v>729</v>
      </c>
      <c r="R154" t="s">
        <v>747</v>
      </c>
      <c r="S154" t="s">
        <v>349</v>
      </c>
      <c r="T154" t="s">
        <v>495</v>
      </c>
      <c r="U154" t="s">
        <v>496</v>
      </c>
      <c r="V154" t="s">
        <v>321</v>
      </c>
      <c r="W154" t="s">
        <v>194</v>
      </c>
      <c r="X154" t="s">
        <v>66</v>
      </c>
      <c r="Y154" t="s">
        <v>66</v>
      </c>
      <c r="Z154">
        <v>7</v>
      </c>
      <c r="AA154">
        <v>1</v>
      </c>
      <c r="AB154">
        <v>2</v>
      </c>
      <c r="AC154">
        <v>4</v>
      </c>
      <c r="AD154">
        <v>1</v>
      </c>
      <c r="AE154">
        <v>1</v>
      </c>
      <c r="AF154">
        <v>3</v>
      </c>
      <c r="AG154">
        <v>3</v>
      </c>
      <c r="AH154">
        <v>1</v>
      </c>
      <c r="AI154">
        <v>3</v>
      </c>
      <c r="AJ154">
        <v>4</v>
      </c>
      <c r="AK154">
        <v>2</v>
      </c>
      <c r="AL154">
        <v>2</v>
      </c>
      <c r="AM154">
        <v>1</v>
      </c>
      <c r="AN154">
        <v>6</v>
      </c>
      <c r="AO154">
        <v>7</v>
      </c>
      <c r="AP154">
        <v>5</v>
      </c>
      <c r="AQ154">
        <v>4</v>
      </c>
      <c r="AR154">
        <v>1</v>
      </c>
      <c r="AS154">
        <v>7</v>
      </c>
      <c r="AT154">
        <v>3</v>
      </c>
      <c r="AU154">
        <v>4</v>
      </c>
      <c r="AV154">
        <v>2</v>
      </c>
      <c r="AW154">
        <v>5</v>
      </c>
      <c r="AX154">
        <v>2</v>
      </c>
      <c r="AY154" cm="1">
        <f t="array" ref="AY154">_xlfn.IFS(AZ154="Positive",1, AZ154="Negative",1, AZ154="Neutral",0)</f>
        <v>0</v>
      </c>
      <c r="AZ154" t="str" cm="1">
        <f t="array" ref="AZ154">_xlfn.IFS(AX154=1,"Positive",AX154=2,"Neutral",AX154=3,"Negative")</f>
        <v>Neutral</v>
      </c>
      <c r="BA154">
        <v>4</v>
      </c>
      <c r="BB154">
        <v>5</v>
      </c>
      <c r="BC154" s="3">
        <v>3</v>
      </c>
      <c r="BD154" s="3">
        <v>0</v>
      </c>
      <c r="BE154" s="3">
        <v>0</v>
      </c>
      <c r="BF154" s="3">
        <v>0</v>
      </c>
      <c r="BG154" s="3">
        <v>1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1</v>
      </c>
      <c r="BN154">
        <v>0</v>
      </c>
      <c r="BO154">
        <v>1</v>
      </c>
      <c r="BP154">
        <v>0</v>
      </c>
      <c r="BQ154">
        <v>0</v>
      </c>
      <c r="BR154">
        <v>2</v>
      </c>
      <c r="BS154" t="s">
        <v>322</v>
      </c>
      <c r="BT154" t="s">
        <v>492</v>
      </c>
      <c r="BU154" t="s">
        <v>326</v>
      </c>
      <c r="BV154" t="s">
        <v>494</v>
      </c>
    </row>
    <row r="155" spans="1:74" x14ac:dyDescent="0.2">
      <c r="A155">
        <v>160</v>
      </c>
      <c r="B155">
        <v>45</v>
      </c>
      <c r="C155" t="s">
        <v>122</v>
      </c>
      <c r="E155" t="s">
        <v>76</v>
      </c>
      <c r="F155">
        <v>4</v>
      </c>
      <c r="G155">
        <v>2000</v>
      </c>
      <c r="H155">
        <v>22</v>
      </c>
      <c r="I155" t="s">
        <v>64</v>
      </c>
      <c r="J155">
        <v>1</v>
      </c>
      <c r="K155" t="s">
        <v>652</v>
      </c>
      <c r="L155" t="s">
        <v>653</v>
      </c>
      <c r="M155">
        <v>6</v>
      </c>
      <c r="N155">
        <v>62</v>
      </c>
      <c r="O155" t="s">
        <v>497</v>
      </c>
      <c r="P155" t="s">
        <v>278</v>
      </c>
      <c r="Q155" t="s">
        <v>753</v>
      </c>
      <c r="R155" t="s">
        <v>724</v>
      </c>
      <c r="S155" t="s">
        <v>403</v>
      </c>
      <c r="T155" t="s">
        <v>319</v>
      </c>
      <c r="U155" t="s">
        <v>498</v>
      </c>
      <c r="V155" t="s">
        <v>284</v>
      </c>
      <c r="W155" t="s">
        <v>194</v>
      </c>
      <c r="X155" t="s">
        <v>66</v>
      </c>
      <c r="Y155" t="s">
        <v>66</v>
      </c>
      <c r="Z155">
        <v>7</v>
      </c>
      <c r="AA155">
        <v>7</v>
      </c>
      <c r="AB155">
        <v>7</v>
      </c>
      <c r="AC155">
        <v>7</v>
      </c>
      <c r="AD155">
        <v>6</v>
      </c>
      <c r="AE155">
        <v>5</v>
      </c>
      <c r="AF155">
        <v>3</v>
      </c>
      <c r="AG155">
        <v>2</v>
      </c>
      <c r="AH155">
        <v>7</v>
      </c>
      <c r="AI155">
        <v>7</v>
      </c>
      <c r="AJ155">
        <v>3</v>
      </c>
      <c r="AK155">
        <v>7</v>
      </c>
      <c r="AL155">
        <v>6</v>
      </c>
      <c r="AM155">
        <v>6</v>
      </c>
      <c r="AN155">
        <v>240</v>
      </c>
      <c r="AO155">
        <v>5</v>
      </c>
      <c r="AP155">
        <v>2</v>
      </c>
      <c r="AQ155">
        <v>7</v>
      </c>
      <c r="AR155">
        <v>6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1</v>
      </c>
      <c r="AY155" cm="1">
        <f t="array" ref="AY155">_xlfn.IFS(AZ155="Positive",1, AZ155="Negative",1, AZ155="Neutral",0)</f>
        <v>1</v>
      </c>
      <c r="AZ155" t="str" cm="1">
        <f t="array" ref="AZ155">_xlfn.IFS(AX155=1,"Positive",AX155=2,"Neutral",AX155=3,"Negative")</f>
        <v>Positive</v>
      </c>
      <c r="BA155">
        <v>0</v>
      </c>
      <c r="BB155">
        <v>7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>
        <v>0</v>
      </c>
      <c r="BI155">
        <v>0</v>
      </c>
      <c r="BJ155">
        <v>1</v>
      </c>
      <c r="BK155">
        <v>0</v>
      </c>
      <c r="BL155">
        <v>6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 t="s">
        <v>285</v>
      </c>
      <c r="BT155" t="s">
        <v>383</v>
      </c>
      <c r="BU155" t="s">
        <v>289</v>
      </c>
      <c r="BV155" t="s">
        <v>386</v>
      </c>
    </row>
    <row r="156" spans="1:74" x14ac:dyDescent="0.2">
      <c r="A156">
        <v>161</v>
      </c>
      <c r="B156">
        <v>46</v>
      </c>
      <c r="C156" t="s">
        <v>123</v>
      </c>
      <c r="E156" t="s">
        <v>68</v>
      </c>
      <c r="F156">
        <v>22</v>
      </c>
      <c r="G156">
        <v>2000</v>
      </c>
      <c r="H156">
        <v>22</v>
      </c>
      <c r="I156" t="s">
        <v>64</v>
      </c>
      <c r="J156">
        <v>1</v>
      </c>
      <c r="K156" t="s">
        <v>674</v>
      </c>
      <c r="L156" t="s">
        <v>675</v>
      </c>
      <c r="M156">
        <v>12</v>
      </c>
      <c r="N156">
        <v>69</v>
      </c>
      <c r="O156" t="s">
        <v>456</v>
      </c>
      <c r="P156" t="s">
        <v>315</v>
      </c>
      <c r="Q156" t="s">
        <v>752</v>
      </c>
      <c r="R156" t="s">
        <v>754</v>
      </c>
      <c r="S156" t="s">
        <v>499</v>
      </c>
      <c r="T156" t="s">
        <v>357</v>
      </c>
      <c r="U156" t="s">
        <v>459</v>
      </c>
      <c r="V156" t="s">
        <v>321</v>
      </c>
      <c r="W156" t="s">
        <v>194</v>
      </c>
      <c r="X156" t="s">
        <v>66</v>
      </c>
      <c r="Y156" t="s">
        <v>66</v>
      </c>
      <c r="Z156">
        <v>7</v>
      </c>
      <c r="AA156">
        <v>5</v>
      </c>
      <c r="AB156">
        <v>6</v>
      </c>
      <c r="AC156">
        <v>5</v>
      </c>
      <c r="AD156">
        <v>6</v>
      </c>
      <c r="AE156">
        <v>6</v>
      </c>
      <c r="AF156">
        <v>2</v>
      </c>
      <c r="AG156">
        <v>1</v>
      </c>
      <c r="AH156">
        <v>4</v>
      </c>
      <c r="AI156">
        <v>5</v>
      </c>
      <c r="AJ156">
        <v>2</v>
      </c>
      <c r="AK156">
        <v>5</v>
      </c>
      <c r="AL156">
        <v>4</v>
      </c>
      <c r="AM156">
        <v>4</v>
      </c>
      <c r="AN156">
        <v>12</v>
      </c>
      <c r="AO156">
        <v>2</v>
      </c>
      <c r="AP156">
        <v>2</v>
      </c>
      <c r="AQ156">
        <v>3</v>
      </c>
      <c r="AR156">
        <v>4</v>
      </c>
      <c r="AS156">
        <v>4</v>
      </c>
      <c r="AT156">
        <v>4</v>
      </c>
      <c r="AU156">
        <v>4</v>
      </c>
      <c r="AV156">
        <v>4</v>
      </c>
      <c r="AW156">
        <v>4</v>
      </c>
      <c r="AX156">
        <v>1</v>
      </c>
      <c r="AY156" cm="1">
        <f t="array" ref="AY156">_xlfn.IFS(AZ156="Positive",1, AZ156="Negative",1, AZ156="Neutral",0)</f>
        <v>1</v>
      </c>
      <c r="AZ156" t="str" cm="1">
        <f t="array" ref="AZ156">_xlfn.IFS(AX156=1,"Positive",AX156=2,"Neutral",AX156=3,"Negative")</f>
        <v>Positive</v>
      </c>
      <c r="BA156">
        <v>0</v>
      </c>
      <c r="BB156">
        <v>4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>
        <v>0</v>
      </c>
      <c r="BI156">
        <v>0</v>
      </c>
      <c r="BJ156">
        <v>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2</v>
      </c>
      <c r="BS156" t="s">
        <v>414</v>
      </c>
      <c r="BT156" t="s">
        <v>313</v>
      </c>
      <c r="BU156" t="s">
        <v>417</v>
      </c>
      <c r="BV156" t="s">
        <v>317</v>
      </c>
    </row>
    <row r="157" spans="1:74" x14ac:dyDescent="0.2">
      <c r="A157">
        <v>162</v>
      </c>
      <c r="B157">
        <v>47</v>
      </c>
      <c r="C157" t="s">
        <v>124</v>
      </c>
      <c r="E157" t="s">
        <v>73</v>
      </c>
      <c r="F157">
        <v>22</v>
      </c>
      <c r="G157">
        <v>2001</v>
      </c>
      <c r="H157">
        <v>21</v>
      </c>
      <c r="I157" t="s">
        <v>64</v>
      </c>
      <c r="J157">
        <v>1</v>
      </c>
      <c r="K157" t="s">
        <v>676</v>
      </c>
      <c r="L157" t="s">
        <v>632</v>
      </c>
      <c r="M157">
        <v>18</v>
      </c>
      <c r="N157">
        <v>78</v>
      </c>
      <c r="O157" t="s">
        <v>500</v>
      </c>
      <c r="P157" t="s">
        <v>338</v>
      </c>
      <c r="Q157" t="s">
        <v>755</v>
      </c>
      <c r="R157" t="s">
        <v>732</v>
      </c>
      <c r="S157" t="s">
        <v>501</v>
      </c>
      <c r="T157" t="s">
        <v>502</v>
      </c>
      <c r="U157" t="s">
        <v>503</v>
      </c>
      <c r="V157" t="s">
        <v>504</v>
      </c>
      <c r="W157" t="s">
        <v>194</v>
      </c>
      <c r="X157" t="s">
        <v>66</v>
      </c>
      <c r="Y157" t="s">
        <v>66</v>
      </c>
      <c r="Z157">
        <v>7</v>
      </c>
      <c r="AA157">
        <v>5</v>
      </c>
      <c r="AB157">
        <v>7</v>
      </c>
      <c r="AC157">
        <v>3</v>
      </c>
      <c r="AD157">
        <v>4</v>
      </c>
      <c r="AE157">
        <v>6</v>
      </c>
      <c r="AF157">
        <v>3</v>
      </c>
      <c r="AG157">
        <v>2</v>
      </c>
      <c r="AH157">
        <v>5</v>
      </c>
      <c r="AI157">
        <v>5</v>
      </c>
      <c r="AJ157">
        <v>1</v>
      </c>
      <c r="AK157">
        <v>5</v>
      </c>
      <c r="AL157">
        <v>4</v>
      </c>
      <c r="AM157">
        <v>3</v>
      </c>
      <c r="AN157">
        <v>24</v>
      </c>
      <c r="AO157">
        <v>3</v>
      </c>
      <c r="AP157">
        <v>3</v>
      </c>
      <c r="AQ157">
        <v>3</v>
      </c>
      <c r="AR157">
        <v>5</v>
      </c>
      <c r="AS157">
        <v>5</v>
      </c>
      <c r="AT157">
        <v>5</v>
      </c>
      <c r="AU157">
        <v>5</v>
      </c>
      <c r="AV157">
        <v>5</v>
      </c>
      <c r="AW157">
        <v>5</v>
      </c>
      <c r="AX157">
        <v>2</v>
      </c>
      <c r="AY157" cm="1">
        <f t="array" ref="AY157">_xlfn.IFS(AZ157="Positive",1, AZ157="Negative",1, AZ157="Neutral",0)</f>
        <v>0</v>
      </c>
      <c r="AZ157" t="str" cm="1">
        <f t="array" ref="AZ157">_xlfn.IFS(AX157=1,"Positive",AX157=2,"Neutral",AX157=3,"Negative")</f>
        <v>Neutral</v>
      </c>
      <c r="BA157">
        <v>0</v>
      </c>
      <c r="BB157">
        <v>3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>
        <v>0</v>
      </c>
      <c r="BI157">
        <v>0</v>
      </c>
      <c r="BJ157">
        <v>2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1</v>
      </c>
      <c r="BR157">
        <v>0</v>
      </c>
      <c r="BS157" t="s">
        <v>322</v>
      </c>
      <c r="BT157" t="s">
        <v>453</v>
      </c>
      <c r="BU157" t="s">
        <v>326</v>
      </c>
      <c r="BV157" t="s">
        <v>454</v>
      </c>
    </row>
    <row r="158" spans="1:74" hidden="1" x14ac:dyDescent="0.2">
      <c r="A158">
        <v>163</v>
      </c>
      <c r="B158">
        <v>48</v>
      </c>
      <c r="C158" t="s">
        <v>125</v>
      </c>
      <c r="E158" t="s">
        <v>63</v>
      </c>
      <c r="F158">
        <v>6</v>
      </c>
      <c r="G158">
        <v>1999</v>
      </c>
      <c r="H158">
        <v>23</v>
      </c>
      <c r="I158" t="s">
        <v>64</v>
      </c>
      <c r="J158">
        <v>1</v>
      </c>
      <c r="K158" t="s">
        <v>657</v>
      </c>
      <c r="L158" t="s">
        <v>669</v>
      </c>
      <c r="M158">
        <v>5</v>
      </c>
      <c r="N158">
        <v>75</v>
      </c>
      <c r="O158">
        <v>7</v>
      </c>
      <c r="P158" t="s">
        <v>505</v>
      </c>
      <c r="Q158" t="s">
        <v>727</v>
      </c>
      <c r="R158" t="s">
        <v>745</v>
      </c>
      <c r="S158" t="s">
        <v>318</v>
      </c>
      <c r="T158" t="s">
        <v>507</v>
      </c>
      <c r="U158" t="s">
        <v>508</v>
      </c>
      <c r="V158" t="s">
        <v>509</v>
      </c>
      <c r="W158" t="s">
        <v>194</v>
      </c>
      <c r="X158" t="s">
        <v>66</v>
      </c>
      <c r="Y158" t="s">
        <v>66</v>
      </c>
      <c r="Z158">
        <v>7</v>
      </c>
      <c r="AA158">
        <v>7</v>
      </c>
      <c r="AB158">
        <v>7</v>
      </c>
      <c r="AC158">
        <v>7</v>
      </c>
      <c r="AD158">
        <v>3</v>
      </c>
      <c r="AE158">
        <v>7</v>
      </c>
      <c r="AF158">
        <v>1</v>
      </c>
      <c r="AG158">
        <v>4</v>
      </c>
      <c r="AH158">
        <v>7</v>
      </c>
      <c r="AI158">
        <v>7</v>
      </c>
      <c r="AJ158">
        <v>7</v>
      </c>
      <c r="AK158">
        <v>7</v>
      </c>
      <c r="AL158">
        <v>7</v>
      </c>
      <c r="AM158">
        <v>7</v>
      </c>
      <c r="AN158">
        <v>169</v>
      </c>
      <c r="AO158">
        <v>7</v>
      </c>
      <c r="AP158">
        <v>7</v>
      </c>
      <c r="AQ158">
        <v>7</v>
      </c>
      <c r="AR158">
        <v>7</v>
      </c>
      <c r="AS158">
        <v>2</v>
      </c>
      <c r="AT158">
        <v>7</v>
      </c>
      <c r="AU158">
        <v>3</v>
      </c>
      <c r="AV158">
        <v>7</v>
      </c>
      <c r="AW158">
        <v>7</v>
      </c>
      <c r="AX158">
        <v>3</v>
      </c>
      <c r="AY158" cm="1">
        <f t="array" ref="AY158">_xlfn.IFS(AZ158="Positive",1, AZ158="Negative",1, AZ158="Neutral",0)</f>
        <v>1</v>
      </c>
      <c r="AZ158" t="str" cm="1">
        <f t="array" ref="AZ158">_xlfn.IFS(AX158=1,"Positive",AX158=2,"Neutral",AX158=3,"Negative")</f>
        <v>Negative</v>
      </c>
      <c r="BA158">
        <v>29</v>
      </c>
      <c r="BB158">
        <v>0</v>
      </c>
      <c r="BC158" s="3">
        <v>17</v>
      </c>
      <c r="BD158" s="3">
        <v>0</v>
      </c>
      <c r="BE158" s="3">
        <v>3</v>
      </c>
      <c r="BF158" s="3">
        <v>9</v>
      </c>
      <c r="BG158" s="3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5</v>
      </c>
      <c r="BT158" t="s">
        <v>464</v>
      </c>
      <c r="BU158" t="s">
        <v>506</v>
      </c>
      <c r="BV158" t="s">
        <v>466</v>
      </c>
    </row>
    <row r="159" spans="1:74" s="1" customFormat="1" hidden="1" x14ac:dyDescent="0.2">
      <c r="A159">
        <v>164</v>
      </c>
      <c r="B159">
        <v>49</v>
      </c>
      <c r="C159" t="s">
        <v>126</v>
      </c>
      <c r="D159"/>
      <c r="E159" t="s">
        <v>73</v>
      </c>
      <c r="F159">
        <v>2</v>
      </c>
      <c r="G159">
        <v>1999</v>
      </c>
      <c r="H159">
        <v>23</v>
      </c>
      <c r="I159" t="s">
        <v>64</v>
      </c>
      <c r="J159">
        <v>1</v>
      </c>
      <c r="K159" t="s">
        <v>674</v>
      </c>
      <c r="L159" t="s">
        <v>677</v>
      </c>
      <c r="M159">
        <v>4</v>
      </c>
      <c r="N159">
        <v>56</v>
      </c>
      <c r="O159" t="s">
        <v>353</v>
      </c>
      <c r="P159" t="s">
        <v>361</v>
      </c>
      <c r="Q159" t="s">
        <v>752</v>
      </c>
      <c r="R159" t="s">
        <v>756</v>
      </c>
      <c r="S159" t="s">
        <v>396</v>
      </c>
      <c r="T159" t="s">
        <v>423</v>
      </c>
      <c r="U159" t="s">
        <v>358</v>
      </c>
      <c r="V159" t="s">
        <v>366</v>
      </c>
      <c r="W159" t="s">
        <v>194</v>
      </c>
      <c r="X159" t="s">
        <v>66</v>
      </c>
      <c r="Y159" t="s">
        <v>66</v>
      </c>
      <c r="Z159">
        <v>7</v>
      </c>
      <c r="AA159">
        <v>5</v>
      </c>
      <c r="AB159">
        <v>4</v>
      </c>
      <c r="AC159">
        <v>6</v>
      </c>
      <c r="AD159">
        <v>6</v>
      </c>
      <c r="AE159">
        <v>6</v>
      </c>
      <c r="AF159">
        <v>4</v>
      </c>
      <c r="AG159">
        <v>1</v>
      </c>
      <c r="AH159">
        <v>5</v>
      </c>
      <c r="AI159">
        <v>3</v>
      </c>
      <c r="AJ159">
        <v>5</v>
      </c>
      <c r="AK159">
        <v>5</v>
      </c>
      <c r="AL159">
        <v>2</v>
      </c>
      <c r="AM159">
        <v>6</v>
      </c>
      <c r="AN159">
        <v>120</v>
      </c>
      <c r="AO159">
        <v>6</v>
      </c>
      <c r="AP159">
        <v>5</v>
      </c>
      <c r="AQ159">
        <v>6</v>
      </c>
      <c r="AR159">
        <v>5</v>
      </c>
      <c r="AS159">
        <v>6</v>
      </c>
      <c r="AT159">
        <v>6</v>
      </c>
      <c r="AU159">
        <v>5</v>
      </c>
      <c r="AV159">
        <v>6</v>
      </c>
      <c r="AW159">
        <v>5</v>
      </c>
      <c r="AX159">
        <v>2</v>
      </c>
      <c r="AY159" cm="1">
        <f t="array" ref="AY159">_xlfn.IFS(AZ159="Positive",1, AZ159="Negative",1, AZ159="Neutral",0)</f>
        <v>0</v>
      </c>
      <c r="AZ159" t="str" cm="1">
        <f t="array" ref="AZ159">_xlfn.IFS(AX159=1,"Positive",AX159=2,"Neutral",AX159=3,"Negative")</f>
        <v>Neutral</v>
      </c>
      <c r="BA159">
        <v>23</v>
      </c>
      <c r="BB159">
        <v>2</v>
      </c>
      <c r="BC159" s="3">
        <v>14</v>
      </c>
      <c r="BD159" s="3">
        <v>0</v>
      </c>
      <c r="BE159" s="3">
        <v>2</v>
      </c>
      <c r="BF159" s="3">
        <v>4</v>
      </c>
      <c r="BG159" s="3">
        <v>3</v>
      </c>
      <c r="BH159">
        <v>1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 t="s">
        <v>510</v>
      </c>
      <c r="BT159" t="s">
        <v>489</v>
      </c>
      <c r="BU159" t="s">
        <v>511</v>
      </c>
      <c r="BV159" t="s">
        <v>512</v>
      </c>
    </row>
    <row r="160" spans="1:74" s="1" customFormat="1" hidden="1" x14ac:dyDescent="0.2">
      <c r="A160">
        <v>165</v>
      </c>
      <c r="B160">
        <v>50</v>
      </c>
      <c r="C160" t="s">
        <v>127</v>
      </c>
      <c r="D160"/>
      <c r="E160" t="s">
        <v>76</v>
      </c>
      <c r="F160">
        <v>7</v>
      </c>
      <c r="G160">
        <v>1999</v>
      </c>
      <c r="H160">
        <v>23</v>
      </c>
      <c r="I160" t="s">
        <v>69</v>
      </c>
      <c r="J160">
        <v>2</v>
      </c>
      <c r="K160" t="s">
        <v>678</v>
      </c>
      <c r="L160" t="s">
        <v>659</v>
      </c>
      <c r="M160">
        <v>17</v>
      </c>
      <c r="N160">
        <v>49</v>
      </c>
      <c r="O160" t="s">
        <v>314</v>
      </c>
      <c r="P160" t="s">
        <v>278</v>
      </c>
      <c r="Q160" t="s">
        <v>757</v>
      </c>
      <c r="R160" t="s">
        <v>730</v>
      </c>
      <c r="S160" t="s">
        <v>443</v>
      </c>
      <c r="T160" t="s">
        <v>491</v>
      </c>
      <c r="U160" t="s">
        <v>320</v>
      </c>
      <c r="V160" t="s">
        <v>284</v>
      </c>
      <c r="W160" t="s">
        <v>194</v>
      </c>
      <c r="X160" t="s">
        <v>66</v>
      </c>
      <c r="Y160" t="s">
        <v>66</v>
      </c>
      <c r="Z160">
        <v>7</v>
      </c>
      <c r="AA160">
        <v>7</v>
      </c>
      <c r="AB160">
        <v>7</v>
      </c>
      <c r="AC160">
        <v>7</v>
      </c>
      <c r="AD160">
        <v>7</v>
      </c>
      <c r="AE160">
        <v>7</v>
      </c>
      <c r="AF160">
        <v>7</v>
      </c>
      <c r="AG160">
        <v>4</v>
      </c>
      <c r="AH160">
        <v>6</v>
      </c>
      <c r="AI160">
        <v>7</v>
      </c>
      <c r="AJ160">
        <v>3</v>
      </c>
      <c r="AK160">
        <v>5</v>
      </c>
      <c r="AL160">
        <v>5</v>
      </c>
      <c r="AM160">
        <v>3</v>
      </c>
      <c r="AN160">
        <v>139</v>
      </c>
      <c r="AO160">
        <v>4</v>
      </c>
      <c r="AP160">
        <v>5</v>
      </c>
      <c r="AQ160">
        <v>4</v>
      </c>
      <c r="AR160">
        <v>4</v>
      </c>
      <c r="AS160">
        <v>5</v>
      </c>
      <c r="AT160">
        <v>3</v>
      </c>
      <c r="AU160">
        <v>4</v>
      </c>
      <c r="AV160">
        <v>5</v>
      </c>
      <c r="AW160">
        <v>6</v>
      </c>
      <c r="AX160">
        <v>2</v>
      </c>
      <c r="AY160" cm="1">
        <f t="array" ref="AY160">_xlfn.IFS(AZ160="Positive",1, AZ160="Negative",1, AZ160="Neutral",0)</f>
        <v>0</v>
      </c>
      <c r="AZ160" t="str" cm="1">
        <f t="array" ref="AZ160">_xlfn.IFS(AX160=1,"Positive",AX160=2,"Neutral",AX160=3,"Negative")</f>
        <v>Neutral</v>
      </c>
      <c r="BA160">
        <v>8</v>
      </c>
      <c r="BB160">
        <v>1</v>
      </c>
      <c r="BC160" s="3">
        <v>5</v>
      </c>
      <c r="BD160" s="3">
        <v>1</v>
      </c>
      <c r="BE160" s="3">
        <v>0</v>
      </c>
      <c r="BF160" s="3">
        <v>0</v>
      </c>
      <c r="BG160" s="3">
        <v>2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 t="s">
        <v>352</v>
      </c>
      <c r="BT160" t="s">
        <v>388</v>
      </c>
      <c r="BU160" t="s">
        <v>355</v>
      </c>
      <c r="BV160" t="s">
        <v>390</v>
      </c>
    </row>
    <row r="161" spans="1:74" hidden="1" x14ac:dyDescent="0.2">
      <c r="A161">
        <v>166</v>
      </c>
      <c r="B161">
        <v>51</v>
      </c>
      <c r="C161" t="s">
        <v>128</v>
      </c>
      <c r="E161" t="s">
        <v>63</v>
      </c>
      <c r="F161">
        <v>4</v>
      </c>
      <c r="G161">
        <v>2001</v>
      </c>
      <c r="H161">
        <v>21</v>
      </c>
      <c r="I161" t="s">
        <v>64</v>
      </c>
      <c r="J161">
        <v>1</v>
      </c>
      <c r="K161" t="s">
        <v>642</v>
      </c>
      <c r="L161" t="s">
        <v>679</v>
      </c>
      <c r="M161">
        <v>11</v>
      </c>
      <c r="N161">
        <v>62</v>
      </c>
      <c r="O161" t="s">
        <v>513</v>
      </c>
      <c r="P161" t="s">
        <v>405</v>
      </c>
      <c r="Q161" t="s">
        <v>712</v>
      </c>
      <c r="R161" t="s">
        <v>758</v>
      </c>
      <c r="S161" t="s">
        <v>514</v>
      </c>
      <c r="T161" t="s">
        <v>319</v>
      </c>
      <c r="U161" t="s">
        <v>515</v>
      </c>
      <c r="V161" t="s">
        <v>407</v>
      </c>
      <c r="W161" t="s">
        <v>194</v>
      </c>
      <c r="X161" t="s">
        <v>66</v>
      </c>
      <c r="Y161" t="s">
        <v>66</v>
      </c>
      <c r="Z161">
        <v>7</v>
      </c>
      <c r="AA161">
        <v>5</v>
      </c>
      <c r="AB161">
        <v>7</v>
      </c>
      <c r="AC161">
        <v>2</v>
      </c>
      <c r="AD161">
        <v>6</v>
      </c>
      <c r="AE161">
        <v>4</v>
      </c>
      <c r="AF161">
        <v>1</v>
      </c>
      <c r="AG161">
        <v>2</v>
      </c>
      <c r="AH161">
        <v>4</v>
      </c>
      <c r="AI161">
        <v>6</v>
      </c>
      <c r="AJ161">
        <v>1</v>
      </c>
      <c r="AK161">
        <v>4</v>
      </c>
      <c r="AL161">
        <v>5</v>
      </c>
      <c r="AM161">
        <v>4</v>
      </c>
      <c r="AN161">
        <v>36</v>
      </c>
      <c r="AO161">
        <v>1</v>
      </c>
      <c r="AP161">
        <v>1</v>
      </c>
      <c r="AQ161">
        <v>2</v>
      </c>
      <c r="AR161">
        <v>5</v>
      </c>
      <c r="AS161">
        <v>6</v>
      </c>
      <c r="AT161">
        <v>6</v>
      </c>
      <c r="AU161">
        <v>5</v>
      </c>
      <c r="AV161">
        <v>5</v>
      </c>
      <c r="AW161">
        <v>5</v>
      </c>
      <c r="AX161">
        <v>1</v>
      </c>
      <c r="AY161" cm="1">
        <f t="array" ref="AY161">_xlfn.IFS(AZ161="Positive",1, AZ161="Negative",1, AZ161="Neutral",0)</f>
        <v>1</v>
      </c>
      <c r="AZ161" t="str" cm="1">
        <f t="array" ref="AZ161">_xlfn.IFS(AX161=1,"Positive",AX161=2,"Neutral",AX161=3,"Negative")</f>
        <v>Positive</v>
      </c>
      <c r="BA161">
        <v>11</v>
      </c>
      <c r="BB161">
        <v>0</v>
      </c>
      <c r="BC161" s="3">
        <v>8</v>
      </c>
      <c r="BD161" s="3">
        <v>0</v>
      </c>
      <c r="BE161" s="3">
        <v>2</v>
      </c>
      <c r="BF161" s="3">
        <v>1</v>
      </c>
      <c r="BG161" s="3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 t="s">
        <v>463</v>
      </c>
      <c r="BT161" t="s">
        <v>275</v>
      </c>
      <c r="BU161" t="s">
        <v>465</v>
      </c>
      <c r="BV161" t="s">
        <v>334</v>
      </c>
    </row>
    <row r="162" spans="1:74" hidden="1" x14ac:dyDescent="0.2">
      <c r="A162">
        <v>167</v>
      </c>
      <c r="B162">
        <v>52</v>
      </c>
      <c r="C162" t="s">
        <v>129</v>
      </c>
      <c r="E162" t="s">
        <v>76</v>
      </c>
      <c r="F162">
        <v>28</v>
      </c>
      <c r="G162">
        <v>1997</v>
      </c>
      <c r="H162">
        <v>25</v>
      </c>
      <c r="I162" t="s">
        <v>69</v>
      </c>
      <c r="J162">
        <v>2</v>
      </c>
      <c r="K162" t="s">
        <v>656</v>
      </c>
      <c r="L162" t="s">
        <v>666</v>
      </c>
      <c r="M162">
        <v>6</v>
      </c>
      <c r="N162">
        <v>67</v>
      </c>
      <c r="O162" t="s">
        <v>338</v>
      </c>
      <c r="P162" t="s">
        <v>517</v>
      </c>
      <c r="Q162" t="s">
        <v>751</v>
      </c>
      <c r="R162" t="s">
        <v>740</v>
      </c>
      <c r="S162" t="s">
        <v>403</v>
      </c>
      <c r="T162" t="s">
        <v>431</v>
      </c>
      <c r="U162" t="s">
        <v>342</v>
      </c>
      <c r="V162" t="s">
        <v>519</v>
      </c>
      <c r="W162" t="s">
        <v>194</v>
      </c>
      <c r="X162" t="s">
        <v>66</v>
      </c>
      <c r="Y162" t="s">
        <v>66</v>
      </c>
      <c r="Z162">
        <v>7</v>
      </c>
      <c r="AA162">
        <v>4</v>
      </c>
      <c r="AB162">
        <v>3</v>
      </c>
      <c r="AC162">
        <v>2</v>
      </c>
      <c r="AD162">
        <v>3</v>
      </c>
      <c r="AE162">
        <v>1</v>
      </c>
      <c r="AF162">
        <v>7</v>
      </c>
      <c r="AG162">
        <v>5</v>
      </c>
      <c r="AH162">
        <v>2</v>
      </c>
      <c r="AI162">
        <v>2</v>
      </c>
      <c r="AJ162">
        <v>6</v>
      </c>
      <c r="AK162">
        <v>2</v>
      </c>
      <c r="AL162">
        <v>2</v>
      </c>
      <c r="AM162">
        <v>1</v>
      </c>
      <c r="AN162">
        <v>2</v>
      </c>
      <c r="AO162">
        <v>6</v>
      </c>
      <c r="AP162">
        <v>6</v>
      </c>
      <c r="AQ162">
        <v>3</v>
      </c>
      <c r="AR162">
        <v>2</v>
      </c>
      <c r="AS162">
        <v>2</v>
      </c>
      <c r="AT162">
        <v>4</v>
      </c>
      <c r="AU162">
        <v>2</v>
      </c>
      <c r="AV162">
        <v>4</v>
      </c>
      <c r="AW162">
        <v>3</v>
      </c>
      <c r="AX162">
        <v>3</v>
      </c>
      <c r="AY162" cm="1">
        <f t="array" ref="AY162">_xlfn.IFS(AZ162="Positive",1, AZ162="Negative",1, AZ162="Neutral",0)</f>
        <v>1</v>
      </c>
      <c r="AZ162" t="str" cm="1">
        <f t="array" ref="AZ162">_xlfn.IFS(AX162=1,"Positive",AX162=2,"Neutral",AX162=3,"Negative")</f>
        <v>Negative</v>
      </c>
      <c r="BA162">
        <v>8</v>
      </c>
      <c r="BB162">
        <v>1</v>
      </c>
      <c r="BC162" s="3">
        <v>4</v>
      </c>
      <c r="BD162" s="3">
        <v>0</v>
      </c>
      <c r="BE162" s="3">
        <v>1</v>
      </c>
      <c r="BF162" s="3">
        <v>0</v>
      </c>
      <c r="BG162" s="3">
        <v>3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 t="s">
        <v>516</v>
      </c>
      <c r="BT162" t="s">
        <v>433</v>
      </c>
      <c r="BU162" t="s">
        <v>518</v>
      </c>
      <c r="BV162" t="s">
        <v>435</v>
      </c>
    </row>
    <row r="163" spans="1:74" hidden="1" x14ac:dyDescent="0.2">
      <c r="A163">
        <v>169</v>
      </c>
      <c r="B163">
        <v>54</v>
      </c>
      <c r="C163" t="s">
        <v>131</v>
      </c>
      <c r="E163" t="s">
        <v>93</v>
      </c>
      <c r="F163">
        <v>22</v>
      </c>
      <c r="G163">
        <v>1998</v>
      </c>
      <c r="H163">
        <v>24</v>
      </c>
      <c r="I163" t="s">
        <v>64</v>
      </c>
      <c r="J163">
        <v>1</v>
      </c>
      <c r="K163" t="s">
        <v>456</v>
      </c>
      <c r="L163" t="s">
        <v>681</v>
      </c>
      <c r="M163">
        <v>9</v>
      </c>
      <c r="N163">
        <v>53</v>
      </c>
      <c r="O163" t="s">
        <v>525</v>
      </c>
      <c r="P163" t="s">
        <v>306</v>
      </c>
      <c r="Q163" t="s">
        <v>736</v>
      </c>
      <c r="R163" t="s">
        <v>760</v>
      </c>
      <c r="S163" t="s">
        <v>349</v>
      </c>
      <c r="T163" t="s">
        <v>522</v>
      </c>
      <c r="U163" t="s">
        <v>527</v>
      </c>
      <c r="V163" t="s">
        <v>528</v>
      </c>
      <c r="W163" t="s">
        <v>194</v>
      </c>
      <c r="X163" t="s">
        <v>66</v>
      </c>
      <c r="Y163" t="s">
        <v>66</v>
      </c>
      <c r="Z163">
        <v>7</v>
      </c>
      <c r="AA163">
        <v>4</v>
      </c>
      <c r="AB163">
        <v>5</v>
      </c>
      <c r="AC163">
        <v>5</v>
      </c>
      <c r="AD163">
        <v>2</v>
      </c>
      <c r="AE163">
        <v>3</v>
      </c>
      <c r="AF163">
        <v>3</v>
      </c>
      <c r="AG163">
        <v>3</v>
      </c>
      <c r="AH163">
        <v>4</v>
      </c>
      <c r="AI163">
        <v>3</v>
      </c>
      <c r="AJ163">
        <v>5</v>
      </c>
      <c r="AK163">
        <v>5</v>
      </c>
      <c r="AL163">
        <v>2</v>
      </c>
      <c r="AM163">
        <v>2</v>
      </c>
      <c r="AN163">
        <v>188</v>
      </c>
      <c r="AO163">
        <v>3</v>
      </c>
      <c r="AP163">
        <v>7</v>
      </c>
      <c r="AQ163">
        <v>7</v>
      </c>
      <c r="AR163">
        <v>7</v>
      </c>
      <c r="AS163">
        <v>4</v>
      </c>
      <c r="AT163">
        <v>5</v>
      </c>
      <c r="AU163">
        <v>4</v>
      </c>
      <c r="AV163">
        <v>5</v>
      </c>
      <c r="AW163">
        <v>5</v>
      </c>
      <c r="AX163">
        <v>3</v>
      </c>
      <c r="AY163" cm="1">
        <f t="array" ref="AY163">_xlfn.IFS(AZ163="Positive",1, AZ163="Negative",1, AZ163="Neutral",0)</f>
        <v>1</v>
      </c>
      <c r="AZ163" t="str" cm="1">
        <f t="array" ref="AZ163">_xlfn.IFS(AX163=1,"Positive",AX163=2,"Neutral",AX163=3,"Negative")</f>
        <v>Negative</v>
      </c>
      <c r="BA163">
        <v>5</v>
      </c>
      <c r="BB163">
        <v>2</v>
      </c>
      <c r="BC163" s="3">
        <v>3</v>
      </c>
      <c r="BD163" s="3">
        <v>0</v>
      </c>
      <c r="BE163" s="3">
        <v>1</v>
      </c>
      <c r="BF163" s="3">
        <v>1</v>
      </c>
      <c r="BG163" s="3">
        <v>0</v>
      </c>
      <c r="BH163">
        <v>0</v>
      </c>
      <c r="BI163">
        <v>0</v>
      </c>
      <c r="BJ163">
        <v>1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 t="s">
        <v>375</v>
      </c>
      <c r="BT163" t="s">
        <v>352</v>
      </c>
      <c r="BU163" t="s">
        <v>377</v>
      </c>
      <c r="BV163" t="s">
        <v>526</v>
      </c>
    </row>
    <row r="164" spans="1:74" hidden="1" x14ac:dyDescent="0.2">
      <c r="A164">
        <v>170</v>
      </c>
      <c r="B164">
        <v>55</v>
      </c>
      <c r="C164" t="s">
        <v>132</v>
      </c>
      <c r="E164" t="s">
        <v>80</v>
      </c>
      <c r="F164">
        <v>5</v>
      </c>
      <c r="G164">
        <v>1997</v>
      </c>
      <c r="H164">
        <v>25</v>
      </c>
      <c r="I164" t="s">
        <v>64</v>
      </c>
      <c r="J164">
        <v>1</v>
      </c>
      <c r="K164" t="s">
        <v>658</v>
      </c>
      <c r="L164" t="s">
        <v>632</v>
      </c>
      <c r="M164">
        <v>10</v>
      </c>
      <c r="N164">
        <v>62</v>
      </c>
      <c r="O164" t="s">
        <v>408</v>
      </c>
      <c r="P164" t="s">
        <v>354</v>
      </c>
      <c r="Q164" t="s">
        <v>729</v>
      </c>
      <c r="R164" t="s">
        <v>732</v>
      </c>
      <c r="S164" t="s">
        <v>378</v>
      </c>
      <c r="T164" t="s">
        <v>319</v>
      </c>
      <c r="U164" t="s">
        <v>412</v>
      </c>
      <c r="V164" t="s">
        <v>359</v>
      </c>
      <c r="W164" t="s">
        <v>194</v>
      </c>
      <c r="X164" t="s">
        <v>66</v>
      </c>
      <c r="Y164" t="s">
        <v>66</v>
      </c>
      <c r="Z164">
        <v>7</v>
      </c>
      <c r="AA164">
        <v>6</v>
      </c>
      <c r="AB164">
        <v>7</v>
      </c>
      <c r="AC164">
        <v>5</v>
      </c>
      <c r="AD164">
        <v>3</v>
      </c>
      <c r="AE164">
        <v>3</v>
      </c>
      <c r="AF164">
        <v>2</v>
      </c>
      <c r="AG164">
        <v>2</v>
      </c>
      <c r="AH164">
        <v>5</v>
      </c>
      <c r="AI164">
        <v>7</v>
      </c>
      <c r="AJ164">
        <v>1</v>
      </c>
      <c r="AK164">
        <v>5</v>
      </c>
      <c r="AL164">
        <v>5</v>
      </c>
      <c r="AM164">
        <v>5</v>
      </c>
      <c r="AN164">
        <v>3</v>
      </c>
      <c r="AO164">
        <v>1</v>
      </c>
      <c r="AP164">
        <v>1</v>
      </c>
      <c r="AQ164">
        <v>2</v>
      </c>
      <c r="AR164">
        <v>6</v>
      </c>
      <c r="AS164">
        <v>6</v>
      </c>
      <c r="AT164">
        <v>7</v>
      </c>
      <c r="AU164">
        <v>5</v>
      </c>
      <c r="AV164">
        <v>6</v>
      </c>
      <c r="AW164">
        <v>7</v>
      </c>
      <c r="AX164">
        <v>1</v>
      </c>
      <c r="AY164" cm="1">
        <f t="array" ref="AY164">_xlfn.IFS(AZ164="Positive",1, AZ164="Negative",1, AZ164="Neutral",0)</f>
        <v>1</v>
      </c>
      <c r="AZ164" t="str" cm="1">
        <f t="array" ref="AZ164">_xlfn.IFS(AX164=1,"Positive",AX164=2,"Neutral",AX164=3,"Negative")</f>
        <v>Positive</v>
      </c>
      <c r="BA164">
        <v>11</v>
      </c>
      <c r="BB164">
        <v>0</v>
      </c>
      <c r="BC164" s="3">
        <v>9</v>
      </c>
      <c r="BD164" s="3">
        <v>0</v>
      </c>
      <c r="BE164" s="3">
        <v>1</v>
      </c>
      <c r="BF164" s="3">
        <v>1</v>
      </c>
      <c r="BG164" s="3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 t="s">
        <v>382</v>
      </c>
      <c r="BT164">
        <v>3</v>
      </c>
      <c r="BU164" t="s">
        <v>385</v>
      </c>
      <c r="BV164" t="s">
        <v>309</v>
      </c>
    </row>
    <row r="165" spans="1:74" hidden="1" x14ac:dyDescent="0.2">
      <c r="A165">
        <v>171</v>
      </c>
      <c r="B165">
        <v>56</v>
      </c>
      <c r="C165" t="s">
        <v>133</v>
      </c>
      <c r="E165" t="s">
        <v>71</v>
      </c>
      <c r="F165">
        <v>16</v>
      </c>
      <c r="G165">
        <v>1999</v>
      </c>
      <c r="H165">
        <v>23</v>
      </c>
      <c r="I165" t="s">
        <v>69</v>
      </c>
      <c r="J165">
        <v>2</v>
      </c>
      <c r="K165" t="s">
        <v>661</v>
      </c>
      <c r="L165" t="s">
        <v>682</v>
      </c>
      <c r="M165">
        <v>10</v>
      </c>
      <c r="N165">
        <v>63</v>
      </c>
      <c r="O165" t="s">
        <v>529</v>
      </c>
      <c r="P165" t="s">
        <v>438</v>
      </c>
      <c r="Q165" t="s">
        <v>734</v>
      </c>
      <c r="R165" t="s">
        <v>761</v>
      </c>
      <c r="S165" t="s">
        <v>378</v>
      </c>
      <c r="T165" t="s">
        <v>477</v>
      </c>
      <c r="U165" t="s">
        <v>531</v>
      </c>
      <c r="V165" t="s">
        <v>441</v>
      </c>
      <c r="W165" t="s">
        <v>194</v>
      </c>
      <c r="X165" t="s">
        <v>66</v>
      </c>
      <c r="Y165" t="s">
        <v>66</v>
      </c>
      <c r="Z165">
        <v>7</v>
      </c>
      <c r="AA165">
        <v>4</v>
      </c>
      <c r="AB165">
        <v>7</v>
      </c>
      <c r="AC165">
        <v>3</v>
      </c>
      <c r="AD165">
        <v>1</v>
      </c>
      <c r="AE165">
        <v>1</v>
      </c>
      <c r="AF165">
        <v>1</v>
      </c>
      <c r="AG165">
        <v>5</v>
      </c>
      <c r="AH165">
        <v>5</v>
      </c>
      <c r="AI165">
        <v>4</v>
      </c>
      <c r="AJ165">
        <v>4</v>
      </c>
      <c r="AK165">
        <v>6</v>
      </c>
      <c r="AL165">
        <v>5</v>
      </c>
      <c r="AM165">
        <v>6</v>
      </c>
      <c r="AN165">
        <v>144</v>
      </c>
      <c r="AO165">
        <v>5</v>
      </c>
      <c r="AP165">
        <v>5</v>
      </c>
      <c r="AQ165">
        <v>5</v>
      </c>
      <c r="AR165">
        <v>4</v>
      </c>
      <c r="AS165">
        <v>7</v>
      </c>
      <c r="AT165">
        <v>7</v>
      </c>
      <c r="AU165">
        <v>7</v>
      </c>
      <c r="AV165">
        <v>6</v>
      </c>
      <c r="AW165">
        <v>7</v>
      </c>
      <c r="AX165">
        <v>2</v>
      </c>
      <c r="AY165" cm="1">
        <f t="array" ref="AY165">_xlfn.IFS(AZ165="Positive",1, AZ165="Negative",1, AZ165="Neutral",0)</f>
        <v>0</v>
      </c>
      <c r="AZ165" t="str" cm="1">
        <f t="array" ref="AZ165">_xlfn.IFS(AX165=1,"Positive",AX165=2,"Neutral",AX165=3,"Negative")</f>
        <v>Neutral</v>
      </c>
      <c r="BA165">
        <v>10</v>
      </c>
      <c r="BB165">
        <v>4</v>
      </c>
      <c r="BC165" s="3">
        <v>8</v>
      </c>
      <c r="BD165" s="3">
        <v>0</v>
      </c>
      <c r="BE165" s="3">
        <v>1</v>
      </c>
      <c r="BF165" s="3">
        <v>0</v>
      </c>
      <c r="BG165" s="3">
        <v>1</v>
      </c>
      <c r="BH165">
        <v>0</v>
      </c>
      <c r="BI165">
        <v>0</v>
      </c>
      <c r="BJ165">
        <v>0</v>
      </c>
      <c r="BK165">
        <v>2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1</v>
      </c>
      <c r="BS165" t="s">
        <v>285</v>
      </c>
      <c r="BT165" t="s">
        <v>414</v>
      </c>
      <c r="BU165" t="s">
        <v>289</v>
      </c>
      <c r="BV165" t="s">
        <v>530</v>
      </c>
    </row>
    <row r="166" spans="1:74" hidden="1" x14ac:dyDescent="0.2">
      <c r="A166">
        <v>172</v>
      </c>
      <c r="B166">
        <v>57</v>
      </c>
      <c r="C166" t="s">
        <v>134</v>
      </c>
      <c r="E166" t="s">
        <v>71</v>
      </c>
      <c r="F166">
        <v>2</v>
      </c>
      <c r="G166">
        <v>2000</v>
      </c>
      <c r="H166">
        <v>22</v>
      </c>
      <c r="I166" t="s">
        <v>64</v>
      </c>
      <c r="J166">
        <v>1</v>
      </c>
      <c r="K166" t="s">
        <v>683</v>
      </c>
      <c r="L166" t="s">
        <v>648</v>
      </c>
      <c r="M166">
        <v>7</v>
      </c>
      <c r="N166">
        <v>68</v>
      </c>
      <c r="O166" t="s">
        <v>532</v>
      </c>
      <c r="P166" t="s">
        <v>325</v>
      </c>
      <c r="Q166" t="s">
        <v>762</v>
      </c>
      <c r="R166" t="s">
        <v>718</v>
      </c>
      <c r="S166" t="s">
        <v>430</v>
      </c>
      <c r="T166" t="s">
        <v>487</v>
      </c>
      <c r="U166" t="s">
        <v>533</v>
      </c>
      <c r="V166" t="s">
        <v>331</v>
      </c>
      <c r="W166" t="s">
        <v>194</v>
      </c>
      <c r="X166" t="s">
        <v>66</v>
      </c>
      <c r="Y166" t="s">
        <v>66</v>
      </c>
      <c r="Z166">
        <v>7</v>
      </c>
      <c r="AA166">
        <v>6</v>
      </c>
      <c r="AB166">
        <v>7</v>
      </c>
      <c r="AC166">
        <v>4</v>
      </c>
      <c r="AD166">
        <v>7</v>
      </c>
      <c r="AE166">
        <v>6</v>
      </c>
      <c r="AF166">
        <v>1</v>
      </c>
      <c r="AG166">
        <v>2</v>
      </c>
      <c r="AH166">
        <v>4</v>
      </c>
      <c r="AI166">
        <v>5</v>
      </c>
      <c r="AJ166">
        <v>3</v>
      </c>
      <c r="AK166">
        <v>5</v>
      </c>
      <c r="AL166">
        <v>4</v>
      </c>
      <c r="AM166">
        <v>1</v>
      </c>
      <c r="AN166">
        <v>67</v>
      </c>
      <c r="AO166">
        <v>7</v>
      </c>
      <c r="AP166">
        <v>4</v>
      </c>
      <c r="AQ166">
        <v>4</v>
      </c>
      <c r="AR166">
        <v>1</v>
      </c>
      <c r="AS166">
        <v>7</v>
      </c>
      <c r="AT166">
        <v>1</v>
      </c>
      <c r="AU166">
        <v>7</v>
      </c>
      <c r="AV166">
        <v>5</v>
      </c>
      <c r="AW166">
        <v>2</v>
      </c>
      <c r="AX166">
        <v>2</v>
      </c>
      <c r="AY166" cm="1">
        <f t="array" ref="AY166">_xlfn.IFS(AZ166="Positive",1, AZ166="Negative",1, AZ166="Neutral",0)</f>
        <v>0</v>
      </c>
      <c r="AZ166" t="str" cm="1">
        <f t="array" ref="AZ166">_xlfn.IFS(AX166=1,"Positive",AX166=2,"Neutral",AX166=3,"Negative")</f>
        <v>Neutral</v>
      </c>
      <c r="BA166">
        <v>18</v>
      </c>
      <c r="BB166">
        <v>1</v>
      </c>
      <c r="BC166" s="3">
        <v>7</v>
      </c>
      <c r="BD166" s="3">
        <v>0</v>
      </c>
      <c r="BE166" s="3">
        <v>2</v>
      </c>
      <c r="BF166" s="3">
        <v>9</v>
      </c>
      <c r="BG166" s="3">
        <v>0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 t="s">
        <v>323</v>
      </c>
      <c r="BT166" t="s">
        <v>323</v>
      </c>
      <c r="BU166" t="s">
        <v>479</v>
      </c>
      <c r="BV166" t="s">
        <v>327</v>
      </c>
    </row>
    <row r="167" spans="1:74" hidden="1" x14ac:dyDescent="0.2">
      <c r="A167">
        <v>173</v>
      </c>
      <c r="B167">
        <v>58</v>
      </c>
      <c r="C167" t="s">
        <v>135</v>
      </c>
      <c r="E167" t="s">
        <v>97</v>
      </c>
      <c r="F167">
        <v>27</v>
      </c>
      <c r="G167">
        <v>2001</v>
      </c>
      <c r="H167">
        <v>21</v>
      </c>
      <c r="I167" t="s">
        <v>64</v>
      </c>
      <c r="J167">
        <v>1</v>
      </c>
      <c r="K167" t="s">
        <v>679</v>
      </c>
      <c r="L167" t="s">
        <v>668</v>
      </c>
      <c r="M167">
        <v>7</v>
      </c>
      <c r="N167">
        <v>56</v>
      </c>
      <c r="O167" t="s">
        <v>408</v>
      </c>
      <c r="P167" t="s">
        <v>277</v>
      </c>
      <c r="Q167" t="s">
        <v>763</v>
      </c>
      <c r="R167" t="s">
        <v>742</v>
      </c>
      <c r="S167" t="s">
        <v>430</v>
      </c>
      <c r="T167" t="s">
        <v>423</v>
      </c>
      <c r="U167" t="s">
        <v>412</v>
      </c>
      <c r="V167" t="s">
        <v>535</v>
      </c>
      <c r="W167" t="s">
        <v>194</v>
      </c>
      <c r="X167" t="s">
        <v>66</v>
      </c>
      <c r="Y167" t="s">
        <v>66</v>
      </c>
      <c r="Z167">
        <v>7</v>
      </c>
      <c r="AA167">
        <v>2</v>
      </c>
      <c r="AB167">
        <v>7</v>
      </c>
      <c r="AC167">
        <v>6</v>
      </c>
      <c r="AD167">
        <v>1</v>
      </c>
      <c r="AE167">
        <v>6</v>
      </c>
      <c r="AF167">
        <v>5</v>
      </c>
      <c r="AG167">
        <v>1</v>
      </c>
      <c r="AH167">
        <v>5</v>
      </c>
      <c r="AI167">
        <v>7</v>
      </c>
      <c r="AJ167">
        <v>1</v>
      </c>
      <c r="AK167">
        <v>5</v>
      </c>
      <c r="AL167">
        <v>5</v>
      </c>
      <c r="AM167">
        <v>2</v>
      </c>
      <c r="AN167">
        <v>240</v>
      </c>
      <c r="AO167">
        <v>1</v>
      </c>
      <c r="AP167">
        <v>1</v>
      </c>
      <c r="AQ167">
        <v>1</v>
      </c>
      <c r="AR167">
        <v>5</v>
      </c>
      <c r="AS167">
        <v>7</v>
      </c>
      <c r="AT167">
        <v>6</v>
      </c>
      <c r="AU167">
        <v>6</v>
      </c>
      <c r="AV167">
        <v>7</v>
      </c>
      <c r="AW167">
        <v>7</v>
      </c>
      <c r="AX167">
        <v>1</v>
      </c>
      <c r="AY167" cm="1">
        <f t="array" ref="AY167">_xlfn.IFS(AZ167="Positive",1, AZ167="Negative",1, AZ167="Neutral",0)</f>
        <v>1</v>
      </c>
      <c r="AZ167" t="str" cm="1">
        <f t="array" ref="AZ167">_xlfn.IFS(AX167=1,"Positive",AX167=2,"Neutral",AX167=3,"Negative")</f>
        <v>Positive</v>
      </c>
      <c r="BA167">
        <v>24</v>
      </c>
      <c r="BB167">
        <v>0</v>
      </c>
      <c r="BC167" s="3">
        <v>17</v>
      </c>
      <c r="BD167" s="3">
        <v>0</v>
      </c>
      <c r="BE167" s="3">
        <v>0</v>
      </c>
      <c r="BF167" s="3">
        <v>5</v>
      </c>
      <c r="BG167" s="3">
        <v>2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 t="s">
        <v>475</v>
      </c>
      <c r="BT167" t="s">
        <v>323</v>
      </c>
      <c r="BU167" t="s">
        <v>534</v>
      </c>
      <c r="BV167" t="s">
        <v>327</v>
      </c>
    </row>
    <row r="168" spans="1:74" hidden="1" x14ac:dyDescent="0.2">
      <c r="A168">
        <v>174</v>
      </c>
      <c r="B168">
        <v>59</v>
      </c>
      <c r="C168" t="s">
        <v>136</v>
      </c>
      <c r="E168" t="s">
        <v>76</v>
      </c>
      <c r="F168">
        <v>1</v>
      </c>
      <c r="G168">
        <v>2000</v>
      </c>
      <c r="H168">
        <v>22</v>
      </c>
      <c r="I168" t="s">
        <v>64</v>
      </c>
      <c r="J168">
        <v>1</v>
      </c>
      <c r="K168" t="s">
        <v>639</v>
      </c>
      <c r="L168" t="s">
        <v>666</v>
      </c>
      <c r="M168">
        <v>7</v>
      </c>
      <c r="N168">
        <v>50</v>
      </c>
      <c r="O168" t="s">
        <v>315</v>
      </c>
      <c r="P168" t="s">
        <v>460</v>
      </c>
      <c r="Q168" t="s">
        <v>708</v>
      </c>
      <c r="R168" t="s">
        <v>740</v>
      </c>
      <c r="S168" t="s">
        <v>430</v>
      </c>
      <c r="T168" t="s">
        <v>538</v>
      </c>
      <c r="U168" t="s">
        <v>474</v>
      </c>
      <c r="V168" t="s">
        <v>462</v>
      </c>
      <c r="W168" t="s">
        <v>194</v>
      </c>
      <c r="X168" t="s">
        <v>66</v>
      </c>
      <c r="Y168" t="s">
        <v>66</v>
      </c>
      <c r="Z168">
        <v>7</v>
      </c>
      <c r="AA168">
        <v>5</v>
      </c>
      <c r="AB168">
        <v>5</v>
      </c>
      <c r="AC168">
        <v>3</v>
      </c>
      <c r="AD168">
        <v>1</v>
      </c>
      <c r="AE168">
        <v>5</v>
      </c>
      <c r="AF168">
        <v>2</v>
      </c>
      <c r="AG168">
        <v>6</v>
      </c>
      <c r="AH168">
        <v>6</v>
      </c>
      <c r="AI168">
        <v>2</v>
      </c>
      <c r="AJ168">
        <v>6</v>
      </c>
      <c r="AK168">
        <v>5</v>
      </c>
      <c r="AL168">
        <v>4</v>
      </c>
      <c r="AM168">
        <v>5</v>
      </c>
      <c r="AN168">
        <v>12</v>
      </c>
      <c r="AO168">
        <v>4</v>
      </c>
      <c r="AP168">
        <v>6</v>
      </c>
      <c r="AQ168">
        <v>6</v>
      </c>
      <c r="AR168">
        <v>5</v>
      </c>
      <c r="AS168">
        <v>5</v>
      </c>
      <c r="AT168">
        <v>5</v>
      </c>
      <c r="AU168">
        <v>5</v>
      </c>
      <c r="AV168">
        <v>4</v>
      </c>
      <c r="AW168">
        <v>5</v>
      </c>
      <c r="AX168">
        <v>3</v>
      </c>
      <c r="AY168" cm="1">
        <f t="array" ref="AY168">_xlfn.IFS(AZ168="Positive",1, AZ168="Negative",1, AZ168="Neutral",0)</f>
        <v>1</v>
      </c>
      <c r="AZ168" t="str" cm="1">
        <f t="array" ref="AZ168">_xlfn.IFS(AX168=1,"Positive",AX168=2,"Neutral",AX168=3,"Negative")</f>
        <v>Negative</v>
      </c>
      <c r="BA168">
        <v>10</v>
      </c>
      <c r="BB168">
        <v>1</v>
      </c>
      <c r="BC168" s="3">
        <v>5</v>
      </c>
      <c r="BD168" s="3">
        <v>0</v>
      </c>
      <c r="BE168" s="3">
        <v>2</v>
      </c>
      <c r="BF168" s="3">
        <v>2</v>
      </c>
      <c r="BG168" s="3">
        <v>1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 t="s">
        <v>536</v>
      </c>
      <c r="BT168" t="s">
        <v>475</v>
      </c>
      <c r="BU168" t="s">
        <v>537</v>
      </c>
      <c r="BV168" t="s">
        <v>476</v>
      </c>
    </row>
    <row r="169" spans="1:74" hidden="1" x14ac:dyDescent="0.2">
      <c r="A169">
        <v>175</v>
      </c>
      <c r="B169">
        <v>60</v>
      </c>
      <c r="C169" t="s">
        <v>137</v>
      </c>
      <c r="E169" t="s">
        <v>93</v>
      </c>
      <c r="F169">
        <v>28</v>
      </c>
      <c r="G169">
        <v>2000</v>
      </c>
      <c r="H169">
        <v>22</v>
      </c>
      <c r="I169" t="s">
        <v>64</v>
      </c>
      <c r="J169">
        <v>1</v>
      </c>
      <c r="K169" t="s">
        <v>517</v>
      </c>
      <c r="L169" t="s">
        <v>684</v>
      </c>
      <c r="M169">
        <v>12</v>
      </c>
      <c r="N169">
        <v>64</v>
      </c>
      <c r="O169" t="s">
        <v>513</v>
      </c>
      <c r="P169" t="s">
        <v>539</v>
      </c>
      <c r="Q169" t="s">
        <v>744</v>
      </c>
      <c r="R169" t="s">
        <v>764</v>
      </c>
      <c r="S169" t="s">
        <v>499</v>
      </c>
      <c r="T169" t="s">
        <v>540</v>
      </c>
      <c r="U169" t="s">
        <v>515</v>
      </c>
      <c r="V169" t="s">
        <v>541</v>
      </c>
      <c r="W169" t="s">
        <v>194</v>
      </c>
      <c r="X169" t="s">
        <v>66</v>
      </c>
      <c r="Y169" t="s">
        <v>66</v>
      </c>
      <c r="Z169">
        <v>7</v>
      </c>
      <c r="AA169">
        <v>7</v>
      </c>
      <c r="AB169">
        <v>7</v>
      </c>
      <c r="AC169">
        <v>5</v>
      </c>
      <c r="AD169">
        <v>1</v>
      </c>
      <c r="AE169">
        <v>3</v>
      </c>
      <c r="AF169">
        <v>2</v>
      </c>
      <c r="AG169">
        <v>1</v>
      </c>
      <c r="AH169">
        <v>7</v>
      </c>
      <c r="AI169">
        <v>2</v>
      </c>
      <c r="AJ169">
        <v>7</v>
      </c>
      <c r="AK169">
        <v>6</v>
      </c>
      <c r="AL169">
        <v>4</v>
      </c>
      <c r="AM169">
        <v>6</v>
      </c>
      <c r="AN169">
        <v>63</v>
      </c>
      <c r="AO169">
        <v>2</v>
      </c>
      <c r="AP169">
        <v>6</v>
      </c>
      <c r="AQ169">
        <v>6</v>
      </c>
      <c r="AR169">
        <v>5</v>
      </c>
      <c r="AS169">
        <v>6</v>
      </c>
      <c r="AT169">
        <v>6</v>
      </c>
      <c r="AU169">
        <v>6</v>
      </c>
      <c r="AV169">
        <v>5</v>
      </c>
      <c r="AW169">
        <v>7</v>
      </c>
      <c r="AX169">
        <v>3</v>
      </c>
      <c r="AY169" cm="1">
        <f t="array" ref="AY169">_xlfn.IFS(AZ169="Positive",1, AZ169="Negative",1, AZ169="Neutral",0)</f>
        <v>1</v>
      </c>
      <c r="AZ169" t="str" cm="1">
        <f t="array" ref="AZ169">_xlfn.IFS(AX169=1,"Positive",AX169=2,"Neutral",AX169=3,"Negative")</f>
        <v>Negative</v>
      </c>
      <c r="BA169">
        <v>24</v>
      </c>
      <c r="BB169">
        <v>4</v>
      </c>
      <c r="BC169" s="3">
        <v>11</v>
      </c>
      <c r="BD169" s="3">
        <v>1</v>
      </c>
      <c r="BE169" s="3">
        <v>2</v>
      </c>
      <c r="BF169" s="3">
        <v>8</v>
      </c>
      <c r="BG169" s="3">
        <v>2</v>
      </c>
      <c r="BH169">
        <v>1</v>
      </c>
      <c r="BI169">
        <v>0</v>
      </c>
      <c r="BJ169">
        <v>3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 t="s">
        <v>463</v>
      </c>
      <c r="BT169" t="s">
        <v>286</v>
      </c>
      <c r="BU169" t="s">
        <v>465</v>
      </c>
      <c r="BV169" t="s">
        <v>290</v>
      </c>
    </row>
    <row r="170" spans="1:74" hidden="1" x14ac:dyDescent="0.2">
      <c r="A170">
        <v>176</v>
      </c>
      <c r="B170">
        <v>61</v>
      </c>
      <c r="C170" t="s">
        <v>138</v>
      </c>
      <c r="E170" t="s">
        <v>88</v>
      </c>
      <c r="F170">
        <v>20</v>
      </c>
      <c r="G170">
        <v>1998</v>
      </c>
      <c r="H170">
        <v>24</v>
      </c>
      <c r="I170" t="s">
        <v>69</v>
      </c>
      <c r="J170">
        <v>2</v>
      </c>
      <c r="K170" t="s">
        <v>651</v>
      </c>
      <c r="L170" t="s">
        <v>653</v>
      </c>
      <c r="M170">
        <v>8</v>
      </c>
      <c r="N170">
        <v>54</v>
      </c>
      <c r="O170" t="s">
        <v>360</v>
      </c>
      <c r="P170" t="s">
        <v>542</v>
      </c>
      <c r="Q170" t="s">
        <v>721</v>
      </c>
      <c r="R170" t="s">
        <v>724</v>
      </c>
      <c r="S170" t="s">
        <v>291</v>
      </c>
      <c r="T170" t="s">
        <v>455</v>
      </c>
      <c r="U170" t="s">
        <v>365</v>
      </c>
      <c r="V170" t="s">
        <v>543</v>
      </c>
      <c r="W170" t="s">
        <v>194</v>
      </c>
      <c r="X170" t="s">
        <v>66</v>
      </c>
      <c r="Y170" t="s">
        <v>66</v>
      </c>
      <c r="Z170">
        <v>7</v>
      </c>
      <c r="AA170">
        <v>2</v>
      </c>
      <c r="AB170">
        <v>5</v>
      </c>
      <c r="AC170">
        <v>1</v>
      </c>
      <c r="AD170">
        <v>1</v>
      </c>
      <c r="AE170">
        <v>1</v>
      </c>
      <c r="AF170">
        <v>2</v>
      </c>
      <c r="AG170">
        <v>4</v>
      </c>
      <c r="AH170">
        <v>2</v>
      </c>
      <c r="AI170">
        <v>2</v>
      </c>
      <c r="AJ170">
        <v>5</v>
      </c>
      <c r="AK170">
        <v>3</v>
      </c>
      <c r="AL170">
        <v>2</v>
      </c>
      <c r="AM170">
        <v>1</v>
      </c>
      <c r="AN170">
        <v>144</v>
      </c>
      <c r="AO170">
        <v>5</v>
      </c>
      <c r="AP170">
        <v>5</v>
      </c>
      <c r="AQ170">
        <v>2</v>
      </c>
      <c r="AR170">
        <v>3</v>
      </c>
      <c r="AS170">
        <v>5</v>
      </c>
      <c r="AT170">
        <v>2</v>
      </c>
      <c r="AU170">
        <v>4</v>
      </c>
      <c r="AV170">
        <v>5</v>
      </c>
      <c r="AW170">
        <v>3</v>
      </c>
      <c r="AX170">
        <v>2</v>
      </c>
      <c r="AY170" cm="1">
        <f t="array" ref="AY170">_xlfn.IFS(AZ170="Positive",1, AZ170="Negative",1, AZ170="Neutral",0)</f>
        <v>0</v>
      </c>
      <c r="AZ170" t="str" cm="1">
        <f t="array" ref="AZ170">_xlfn.IFS(AX170=1,"Positive",AX170=2,"Neutral",AX170=3,"Negative")</f>
        <v>Neutral</v>
      </c>
      <c r="BA170">
        <v>22</v>
      </c>
      <c r="BB170">
        <v>1</v>
      </c>
      <c r="BC170" s="3">
        <v>17</v>
      </c>
      <c r="BD170" s="3">
        <v>0</v>
      </c>
      <c r="BE170" s="3">
        <v>4</v>
      </c>
      <c r="BF170" s="3">
        <v>1</v>
      </c>
      <c r="BG170" s="3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 t="s">
        <v>510</v>
      </c>
      <c r="BT170" t="s">
        <v>480</v>
      </c>
      <c r="BU170" t="s">
        <v>511</v>
      </c>
      <c r="BV170" t="s">
        <v>482</v>
      </c>
    </row>
    <row r="171" spans="1:74" x14ac:dyDescent="0.2">
      <c r="A171">
        <v>177</v>
      </c>
      <c r="B171">
        <v>62</v>
      </c>
      <c r="C171" t="s">
        <v>139</v>
      </c>
      <c r="E171" t="s">
        <v>80</v>
      </c>
      <c r="F171">
        <v>19</v>
      </c>
      <c r="G171">
        <v>1999</v>
      </c>
      <c r="H171">
        <v>23</v>
      </c>
      <c r="I171" t="s">
        <v>64</v>
      </c>
      <c r="J171">
        <v>1</v>
      </c>
      <c r="K171" t="s">
        <v>652</v>
      </c>
      <c r="L171" t="s">
        <v>677</v>
      </c>
      <c r="M171">
        <v>15</v>
      </c>
      <c r="N171">
        <v>56</v>
      </c>
      <c r="O171" t="s">
        <v>369</v>
      </c>
      <c r="P171" t="s">
        <v>456</v>
      </c>
      <c r="Q171" t="s">
        <v>753</v>
      </c>
      <c r="R171" t="s">
        <v>756</v>
      </c>
      <c r="S171" t="s">
        <v>363</v>
      </c>
      <c r="T171" t="s">
        <v>423</v>
      </c>
      <c r="U171" t="s">
        <v>544</v>
      </c>
      <c r="V171" t="s">
        <v>458</v>
      </c>
      <c r="W171" t="s">
        <v>194</v>
      </c>
      <c r="X171" t="s">
        <v>66</v>
      </c>
      <c r="Y171" t="s">
        <v>66</v>
      </c>
      <c r="Z171">
        <v>7</v>
      </c>
      <c r="AA171">
        <v>7</v>
      </c>
      <c r="AB171">
        <v>7</v>
      </c>
      <c r="AC171">
        <v>7</v>
      </c>
      <c r="AD171">
        <v>2</v>
      </c>
      <c r="AE171">
        <v>6</v>
      </c>
      <c r="AF171">
        <v>5</v>
      </c>
      <c r="AG171">
        <v>1</v>
      </c>
      <c r="AH171">
        <v>5</v>
      </c>
      <c r="AI171">
        <v>7</v>
      </c>
      <c r="AJ171">
        <v>1</v>
      </c>
      <c r="AK171">
        <v>7</v>
      </c>
      <c r="AL171">
        <v>7</v>
      </c>
      <c r="AM171">
        <v>7</v>
      </c>
      <c r="AN171">
        <v>12</v>
      </c>
      <c r="AO171">
        <v>1</v>
      </c>
      <c r="AP171">
        <v>1</v>
      </c>
      <c r="AQ171">
        <v>7</v>
      </c>
      <c r="AR171">
        <v>7</v>
      </c>
      <c r="AS171">
        <v>7</v>
      </c>
      <c r="AT171">
        <v>7</v>
      </c>
      <c r="AU171">
        <v>7</v>
      </c>
      <c r="AV171">
        <v>7</v>
      </c>
      <c r="AW171">
        <v>7</v>
      </c>
      <c r="AX171">
        <v>1</v>
      </c>
      <c r="AY171" cm="1">
        <f t="array" ref="AY171">_xlfn.IFS(AZ171="Positive",1, AZ171="Negative",1, AZ171="Neutral",0)</f>
        <v>1</v>
      </c>
      <c r="AZ171" t="str" cm="1">
        <f t="array" ref="AZ171">_xlfn.IFS(AX171=1,"Positive",AX171=2,"Neutral",AX171=3,"Negative")</f>
        <v>Positive</v>
      </c>
      <c r="BA171">
        <v>0</v>
      </c>
      <c r="BB171">
        <v>1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 t="s">
        <v>322</v>
      </c>
      <c r="BT171" t="s">
        <v>313</v>
      </c>
      <c r="BU171" t="s">
        <v>326</v>
      </c>
      <c r="BV171" t="s">
        <v>317</v>
      </c>
    </row>
    <row r="172" spans="1:74" hidden="1" x14ac:dyDescent="0.2">
      <c r="A172">
        <v>178</v>
      </c>
      <c r="B172">
        <v>63</v>
      </c>
      <c r="C172" t="s">
        <v>140</v>
      </c>
      <c r="E172" t="s">
        <v>97</v>
      </c>
      <c r="F172">
        <v>21</v>
      </c>
      <c r="G172">
        <v>1997</v>
      </c>
      <c r="H172">
        <v>25</v>
      </c>
      <c r="I172" t="s">
        <v>64</v>
      </c>
      <c r="J172">
        <v>1</v>
      </c>
      <c r="K172" t="s">
        <v>658</v>
      </c>
      <c r="L172" t="s">
        <v>634</v>
      </c>
      <c r="M172">
        <v>15</v>
      </c>
      <c r="N172">
        <v>60</v>
      </c>
      <c r="O172" t="s">
        <v>463</v>
      </c>
      <c r="P172" t="s">
        <v>545</v>
      </c>
      <c r="Q172" t="s">
        <v>729</v>
      </c>
      <c r="R172" t="s">
        <v>747</v>
      </c>
      <c r="S172" t="s">
        <v>363</v>
      </c>
      <c r="T172" t="s">
        <v>444</v>
      </c>
      <c r="U172" t="s">
        <v>546</v>
      </c>
      <c r="V172" t="s">
        <v>547</v>
      </c>
      <c r="W172" t="s">
        <v>194</v>
      </c>
      <c r="X172" t="s">
        <v>66</v>
      </c>
      <c r="Y172" t="s">
        <v>66</v>
      </c>
      <c r="Z172">
        <v>7</v>
      </c>
      <c r="AA172">
        <v>2</v>
      </c>
      <c r="AB172">
        <v>4</v>
      </c>
      <c r="AC172">
        <v>1</v>
      </c>
      <c r="AD172">
        <v>1</v>
      </c>
      <c r="AE172">
        <v>1</v>
      </c>
      <c r="AF172">
        <v>6</v>
      </c>
      <c r="AG172">
        <v>2</v>
      </c>
      <c r="AH172">
        <v>2</v>
      </c>
      <c r="AI172">
        <v>2</v>
      </c>
      <c r="AJ172">
        <v>3</v>
      </c>
      <c r="AK172">
        <v>3</v>
      </c>
      <c r="AL172">
        <v>2</v>
      </c>
      <c r="AM172">
        <v>5</v>
      </c>
      <c r="AN172">
        <v>232</v>
      </c>
      <c r="AO172">
        <v>4</v>
      </c>
      <c r="AP172">
        <v>4</v>
      </c>
      <c r="AQ172">
        <v>4</v>
      </c>
      <c r="AR172">
        <v>3</v>
      </c>
      <c r="AS172">
        <v>5</v>
      </c>
      <c r="AT172">
        <v>5</v>
      </c>
      <c r="AU172">
        <v>5</v>
      </c>
      <c r="AV172">
        <v>3</v>
      </c>
      <c r="AW172">
        <v>4</v>
      </c>
      <c r="AX172">
        <v>2</v>
      </c>
      <c r="AY172" cm="1">
        <f t="array" ref="AY172">_xlfn.IFS(AZ172="Positive",1, AZ172="Negative",1, AZ172="Neutral",0)</f>
        <v>0</v>
      </c>
      <c r="AZ172" t="str" cm="1">
        <f t="array" ref="AZ172">_xlfn.IFS(AX172=1,"Positive",AX172=2,"Neutral",AX172=3,"Negative")</f>
        <v>Neutral</v>
      </c>
      <c r="BA172">
        <v>14</v>
      </c>
      <c r="BB172">
        <v>1</v>
      </c>
      <c r="BC172" s="3">
        <v>11</v>
      </c>
      <c r="BD172" s="3">
        <v>0</v>
      </c>
      <c r="BE172" s="3">
        <v>0</v>
      </c>
      <c r="BF172" s="3">
        <v>3</v>
      </c>
      <c r="BG172" s="3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 t="s">
        <v>322</v>
      </c>
      <c r="BT172" t="s">
        <v>399</v>
      </c>
      <c r="BU172" t="s">
        <v>326</v>
      </c>
      <c r="BV172" t="s">
        <v>447</v>
      </c>
    </row>
    <row r="173" spans="1:74" hidden="1" x14ac:dyDescent="0.2">
      <c r="A173">
        <v>179</v>
      </c>
      <c r="B173">
        <v>64</v>
      </c>
      <c r="C173" t="s">
        <v>141</v>
      </c>
      <c r="E173" t="s">
        <v>82</v>
      </c>
      <c r="F173">
        <v>5</v>
      </c>
      <c r="G173">
        <v>2000</v>
      </c>
      <c r="H173">
        <v>22</v>
      </c>
      <c r="I173" t="s">
        <v>64</v>
      </c>
      <c r="J173">
        <v>1</v>
      </c>
      <c r="K173" t="s">
        <v>678</v>
      </c>
      <c r="L173" t="s">
        <v>648</v>
      </c>
      <c r="M173">
        <v>14</v>
      </c>
      <c r="N173">
        <v>74</v>
      </c>
      <c r="O173" t="s">
        <v>542</v>
      </c>
      <c r="P173" t="s">
        <v>542</v>
      </c>
      <c r="Q173" t="s">
        <v>757</v>
      </c>
      <c r="R173" t="s">
        <v>718</v>
      </c>
      <c r="S173" t="s">
        <v>550</v>
      </c>
      <c r="T173" t="s">
        <v>551</v>
      </c>
      <c r="U173" t="s">
        <v>552</v>
      </c>
      <c r="V173" t="s">
        <v>543</v>
      </c>
      <c r="W173" t="s">
        <v>194</v>
      </c>
      <c r="X173" t="s">
        <v>66</v>
      </c>
      <c r="Y173" t="s">
        <v>66</v>
      </c>
      <c r="Z173">
        <v>7</v>
      </c>
      <c r="AA173">
        <v>4</v>
      </c>
      <c r="AB173">
        <v>6</v>
      </c>
      <c r="AC173">
        <v>6</v>
      </c>
      <c r="AD173">
        <v>2</v>
      </c>
      <c r="AE173">
        <v>6</v>
      </c>
      <c r="AF173">
        <v>4</v>
      </c>
      <c r="AG173">
        <v>6</v>
      </c>
      <c r="AH173">
        <v>3</v>
      </c>
      <c r="AI173">
        <v>6</v>
      </c>
      <c r="AJ173">
        <v>3</v>
      </c>
      <c r="AK173">
        <v>4</v>
      </c>
      <c r="AL173">
        <v>5</v>
      </c>
      <c r="AM173">
        <v>5</v>
      </c>
      <c r="AN173">
        <v>85</v>
      </c>
      <c r="AO173">
        <v>3</v>
      </c>
      <c r="AP173">
        <v>2</v>
      </c>
      <c r="AQ173">
        <v>4</v>
      </c>
      <c r="AR173">
        <v>5</v>
      </c>
      <c r="AS173">
        <v>5</v>
      </c>
      <c r="AT173">
        <v>5</v>
      </c>
      <c r="AU173">
        <v>5</v>
      </c>
      <c r="AV173">
        <v>6</v>
      </c>
      <c r="AW173">
        <v>4</v>
      </c>
      <c r="AX173">
        <v>1</v>
      </c>
      <c r="AY173" cm="1">
        <f t="array" ref="AY173">_xlfn.IFS(AZ173="Positive",1, AZ173="Negative",1, AZ173="Neutral",0)</f>
        <v>1</v>
      </c>
      <c r="AZ173" t="str" cm="1">
        <f t="array" ref="AZ173">_xlfn.IFS(AX173=1,"Positive",AX173=2,"Neutral",AX173=3,"Negative")</f>
        <v>Positive</v>
      </c>
      <c r="BA173">
        <v>15</v>
      </c>
      <c r="BB173">
        <v>0</v>
      </c>
      <c r="BC173" s="3">
        <v>8</v>
      </c>
      <c r="BD173" s="3">
        <v>1</v>
      </c>
      <c r="BE173" s="3">
        <v>4</v>
      </c>
      <c r="BF173" s="3">
        <v>1</v>
      </c>
      <c r="BG173" s="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 t="s">
        <v>425</v>
      </c>
      <c r="BT173" t="s">
        <v>548</v>
      </c>
      <c r="BU173" t="s">
        <v>428</v>
      </c>
      <c r="BV173" t="s">
        <v>549</v>
      </c>
    </row>
    <row r="174" spans="1:74" hidden="1" x14ac:dyDescent="0.2">
      <c r="A174">
        <v>180</v>
      </c>
      <c r="B174">
        <v>65</v>
      </c>
      <c r="C174" t="s">
        <v>142</v>
      </c>
      <c r="E174" t="s">
        <v>93</v>
      </c>
      <c r="F174">
        <v>3</v>
      </c>
      <c r="G174">
        <v>1998</v>
      </c>
      <c r="H174">
        <v>24</v>
      </c>
      <c r="I174" t="s">
        <v>64</v>
      </c>
      <c r="J174">
        <v>1</v>
      </c>
      <c r="K174" t="s">
        <v>657</v>
      </c>
      <c r="L174" t="s">
        <v>660</v>
      </c>
      <c r="M174">
        <v>9</v>
      </c>
      <c r="N174">
        <v>79</v>
      </c>
      <c r="O174">
        <v>6</v>
      </c>
      <c r="P174" t="s">
        <v>554</v>
      </c>
      <c r="Q174" t="s">
        <v>727</v>
      </c>
      <c r="R174" t="s">
        <v>733</v>
      </c>
      <c r="S174" t="s">
        <v>349</v>
      </c>
      <c r="T174" t="s">
        <v>557</v>
      </c>
      <c r="U174" t="s">
        <v>436</v>
      </c>
      <c r="V174" t="s">
        <v>558</v>
      </c>
      <c r="W174" t="s">
        <v>194</v>
      </c>
      <c r="X174" t="s">
        <v>66</v>
      </c>
      <c r="Y174" t="s">
        <v>66</v>
      </c>
      <c r="Z174">
        <v>7</v>
      </c>
      <c r="AA174">
        <v>7</v>
      </c>
      <c r="AB174">
        <v>7</v>
      </c>
      <c r="AC174">
        <v>1</v>
      </c>
      <c r="AD174">
        <v>7</v>
      </c>
      <c r="AE174">
        <v>6</v>
      </c>
      <c r="AF174">
        <v>1</v>
      </c>
      <c r="AG174">
        <v>1</v>
      </c>
      <c r="AH174">
        <v>7</v>
      </c>
      <c r="AI174">
        <v>5</v>
      </c>
      <c r="AJ174">
        <v>3</v>
      </c>
      <c r="AK174">
        <v>7</v>
      </c>
      <c r="AL174">
        <v>3</v>
      </c>
      <c r="AM174">
        <v>1</v>
      </c>
      <c r="AN174">
        <v>96</v>
      </c>
      <c r="AO174">
        <v>7</v>
      </c>
      <c r="AP174">
        <v>1</v>
      </c>
      <c r="AQ174">
        <v>3</v>
      </c>
      <c r="AR174">
        <v>1</v>
      </c>
      <c r="AS174">
        <v>1</v>
      </c>
      <c r="AT174">
        <v>1</v>
      </c>
      <c r="AU174">
        <v>5</v>
      </c>
      <c r="AV174">
        <v>7</v>
      </c>
      <c r="AW174">
        <v>7</v>
      </c>
      <c r="AX174">
        <v>1</v>
      </c>
      <c r="AY174" cm="1">
        <f t="array" ref="AY174">_xlfn.IFS(AZ174="Positive",1, AZ174="Negative",1, AZ174="Neutral",0)</f>
        <v>1</v>
      </c>
      <c r="AZ174" t="str" cm="1">
        <f t="array" ref="AZ174">_xlfn.IFS(AX174=1,"Positive",AX174=2,"Neutral",AX174=3,"Negative")</f>
        <v>Positive</v>
      </c>
      <c r="BA174">
        <v>25</v>
      </c>
      <c r="BB174">
        <v>2</v>
      </c>
      <c r="BC174" s="3">
        <v>22</v>
      </c>
      <c r="BD174" s="3">
        <v>0</v>
      </c>
      <c r="BE174" s="3">
        <v>2</v>
      </c>
      <c r="BF174" s="3">
        <v>0</v>
      </c>
      <c r="BG174" s="3">
        <v>1</v>
      </c>
      <c r="BH174">
        <v>0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 t="s">
        <v>553</v>
      </c>
      <c r="BT174" t="s">
        <v>536</v>
      </c>
      <c r="BU174" t="s">
        <v>555</v>
      </c>
      <c r="BV174" t="s">
        <v>556</v>
      </c>
    </row>
    <row r="175" spans="1:74" hidden="1" x14ac:dyDescent="0.2">
      <c r="A175">
        <v>181</v>
      </c>
      <c r="B175">
        <v>66</v>
      </c>
      <c r="C175" t="s">
        <v>143</v>
      </c>
      <c r="E175" t="s">
        <v>80</v>
      </c>
      <c r="F175">
        <v>13</v>
      </c>
      <c r="G175">
        <v>2002</v>
      </c>
      <c r="H175">
        <v>20</v>
      </c>
      <c r="I175" t="s">
        <v>69</v>
      </c>
      <c r="J175">
        <v>2</v>
      </c>
      <c r="K175" t="s">
        <v>644</v>
      </c>
      <c r="L175" t="s">
        <v>685</v>
      </c>
      <c r="M175">
        <v>14</v>
      </c>
      <c r="N175">
        <v>71</v>
      </c>
      <c r="O175" t="s">
        <v>389</v>
      </c>
      <c r="P175" t="s">
        <v>460</v>
      </c>
      <c r="Q175" t="s">
        <v>714</v>
      </c>
      <c r="R175" t="s">
        <v>765</v>
      </c>
      <c r="S175" t="s">
        <v>550</v>
      </c>
      <c r="T175" t="s">
        <v>329</v>
      </c>
      <c r="U175" t="s">
        <v>391</v>
      </c>
      <c r="V175" t="s">
        <v>462</v>
      </c>
      <c r="W175" t="s">
        <v>194</v>
      </c>
      <c r="X175" t="s">
        <v>66</v>
      </c>
      <c r="Y175" t="s">
        <v>66</v>
      </c>
      <c r="Z175">
        <v>7</v>
      </c>
      <c r="AA175">
        <v>4</v>
      </c>
      <c r="AB175">
        <v>3</v>
      </c>
      <c r="AC175">
        <v>5</v>
      </c>
      <c r="AD175">
        <v>4</v>
      </c>
      <c r="AE175">
        <v>5</v>
      </c>
      <c r="AF175">
        <v>4</v>
      </c>
      <c r="AG175">
        <v>4</v>
      </c>
      <c r="AH175">
        <v>6</v>
      </c>
      <c r="AI175">
        <v>4</v>
      </c>
      <c r="AJ175">
        <v>5</v>
      </c>
      <c r="AK175">
        <v>4</v>
      </c>
      <c r="AL175">
        <v>6</v>
      </c>
      <c r="AM175">
        <v>2</v>
      </c>
      <c r="AN175">
        <v>240</v>
      </c>
      <c r="AO175">
        <v>5</v>
      </c>
      <c r="AP175">
        <v>3</v>
      </c>
      <c r="AQ175">
        <v>6</v>
      </c>
      <c r="AR175">
        <v>4</v>
      </c>
      <c r="AS175">
        <v>4</v>
      </c>
      <c r="AT175">
        <v>7</v>
      </c>
      <c r="AU175">
        <v>4</v>
      </c>
      <c r="AV175">
        <v>5</v>
      </c>
      <c r="AW175">
        <v>4</v>
      </c>
      <c r="AX175">
        <v>2</v>
      </c>
      <c r="AY175" cm="1">
        <f t="array" ref="AY175">_xlfn.IFS(AZ175="Positive",1, AZ175="Negative",1, AZ175="Neutral",0)</f>
        <v>0</v>
      </c>
      <c r="AZ175" t="str" cm="1">
        <f t="array" ref="AZ175">_xlfn.IFS(AX175=1,"Positive",AX175=2,"Neutral",AX175=3,"Negative")</f>
        <v>Neutral</v>
      </c>
      <c r="BA175">
        <v>10</v>
      </c>
      <c r="BB175">
        <v>0</v>
      </c>
      <c r="BC175" s="3">
        <v>6</v>
      </c>
      <c r="BD175" s="3">
        <v>0</v>
      </c>
      <c r="BE175" s="3">
        <v>2</v>
      </c>
      <c r="BF175" s="3">
        <v>0</v>
      </c>
      <c r="BG175" s="3">
        <v>2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 t="s">
        <v>463</v>
      </c>
      <c r="BT175" t="s">
        <v>352</v>
      </c>
      <c r="BU175" t="s">
        <v>465</v>
      </c>
      <c r="BV175" t="s">
        <v>526</v>
      </c>
    </row>
    <row r="176" spans="1:74" hidden="1" x14ac:dyDescent="0.2">
      <c r="A176">
        <v>182</v>
      </c>
      <c r="B176">
        <v>67</v>
      </c>
      <c r="C176" t="s">
        <v>144</v>
      </c>
      <c r="E176" t="s">
        <v>82</v>
      </c>
      <c r="F176">
        <v>19</v>
      </c>
      <c r="G176">
        <v>2001</v>
      </c>
      <c r="H176">
        <v>21</v>
      </c>
      <c r="I176" t="s">
        <v>64</v>
      </c>
      <c r="J176">
        <v>1</v>
      </c>
      <c r="K176" t="s">
        <v>661</v>
      </c>
      <c r="L176" t="s">
        <v>647</v>
      </c>
      <c r="M176">
        <v>5</v>
      </c>
      <c r="N176">
        <v>58</v>
      </c>
      <c r="O176" t="s">
        <v>287</v>
      </c>
      <c r="P176" t="s">
        <v>315</v>
      </c>
      <c r="Q176" t="s">
        <v>734</v>
      </c>
      <c r="R176" t="s">
        <v>717</v>
      </c>
      <c r="S176" t="s">
        <v>318</v>
      </c>
      <c r="T176" t="s">
        <v>364</v>
      </c>
      <c r="U176" t="s">
        <v>293</v>
      </c>
      <c r="V176" t="s">
        <v>321</v>
      </c>
      <c r="W176" t="s">
        <v>194</v>
      </c>
      <c r="X176" t="s">
        <v>66</v>
      </c>
      <c r="Y176" t="s">
        <v>66</v>
      </c>
      <c r="Z176">
        <v>7</v>
      </c>
      <c r="AA176">
        <v>1</v>
      </c>
      <c r="AB176">
        <v>5</v>
      </c>
      <c r="AC176">
        <v>1</v>
      </c>
      <c r="AD176">
        <v>1</v>
      </c>
      <c r="AE176">
        <v>5</v>
      </c>
      <c r="AF176">
        <v>2</v>
      </c>
      <c r="AG176">
        <v>1</v>
      </c>
      <c r="AH176">
        <v>1</v>
      </c>
      <c r="AI176">
        <v>2</v>
      </c>
      <c r="AJ176">
        <v>5</v>
      </c>
      <c r="AK176">
        <v>1</v>
      </c>
      <c r="AL176">
        <v>1</v>
      </c>
      <c r="AM176">
        <v>6</v>
      </c>
      <c r="AN176">
        <v>240</v>
      </c>
      <c r="AO176">
        <v>1</v>
      </c>
      <c r="AP176">
        <v>5</v>
      </c>
      <c r="AQ176">
        <v>4</v>
      </c>
      <c r="AR176">
        <v>1</v>
      </c>
      <c r="AS176">
        <v>2</v>
      </c>
      <c r="AT176">
        <v>1</v>
      </c>
      <c r="AU176">
        <v>3</v>
      </c>
      <c r="AV176">
        <v>3</v>
      </c>
      <c r="AW176">
        <v>4</v>
      </c>
      <c r="AX176">
        <v>2</v>
      </c>
      <c r="AY176" cm="1">
        <f t="array" ref="AY176">_xlfn.IFS(AZ176="Positive",1, AZ176="Negative",1, AZ176="Neutral",0)</f>
        <v>0</v>
      </c>
      <c r="AZ176" t="str" cm="1">
        <f t="array" ref="AZ176">_xlfn.IFS(AX176=1,"Positive",AX176=2,"Neutral",AX176=3,"Negative")</f>
        <v>Neutral</v>
      </c>
      <c r="BA176">
        <v>17</v>
      </c>
      <c r="BB176">
        <v>0</v>
      </c>
      <c r="BC176" s="3">
        <v>12</v>
      </c>
      <c r="BD176" s="3">
        <v>0</v>
      </c>
      <c r="BE176" s="3">
        <v>2</v>
      </c>
      <c r="BF176" s="3">
        <v>3</v>
      </c>
      <c r="BG176" s="3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4</v>
      </c>
      <c r="BT176" t="s">
        <v>275</v>
      </c>
      <c r="BU176" t="s">
        <v>370</v>
      </c>
      <c r="BV176" t="s">
        <v>334</v>
      </c>
    </row>
    <row r="177" spans="1:74" x14ac:dyDescent="0.2">
      <c r="A177">
        <v>183</v>
      </c>
      <c r="B177">
        <v>68</v>
      </c>
      <c r="C177" t="s">
        <v>145</v>
      </c>
      <c r="E177" t="s">
        <v>68</v>
      </c>
      <c r="F177">
        <v>26</v>
      </c>
      <c r="G177">
        <v>1998</v>
      </c>
      <c r="H177">
        <v>24</v>
      </c>
      <c r="I177" t="s">
        <v>64</v>
      </c>
      <c r="J177">
        <v>1</v>
      </c>
      <c r="K177" t="s">
        <v>676</v>
      </c>
      <c r="L177" t="s">
        <v>686</v>
      </c>
      <c r="M177">
        <v>7</v>
      </c>
      <c r="N177">
        <v>67</v>
      </c>
      <c r="O177" t="s">
        <v>438</v>
      </c>
      <c r="P177" t="s">
        <v>353</v>
      </c>
      <c r="Q177" t="s">
        <v>755</v>
      </c>
      <c r="R177" t="s">
        <v>766</v>
      </c>
      <c r="S177" t="s">
        <v>430</v>
      </c>
      <c r="T177" t="s">
        <v>431</v>
      </c>
      <c r="U177" t="s">
        <v>561</v>
      </c>
      <c r="V177" t="s">
        <v>437</v>
      </c>
      <c r="W177" t="s">
        <v>194</v>
      </c>
      <c r="X177" t="s">
        <v>66</v>
      </c>
      <c r="Y177" t="s">
        <v>66</v>
      </c>
      <c r="Z177">
        <v>7</v>
      </c>
      <c r="AA177">
        <v>6</v>
      </c>
      <c r="AB177">
        <v>6</v>
      </c>
      <c r="AC177">
        <v>6</v>
      </c>
      <c r="AD177">
        <v>1</v>
      </c>
      <c r="AE177">
        <v>4</v>
      </c>
      <c r="AF177">
        <v>2</v>
      </c>
      <c r="AG177">
        <v>1</v>
      </c>
      <c r="AH177">
        <v>4</v>
      </c>
      <c r="AI177">
        <v>4</v>
      </c>
      <c r="AJ177">
        <v>1</v>
      </c>
      <c r="AK177">
        <v>4</v>
      </c>
      <c r="AL177">
        <v>1</v>
      </c>
      <c r="AM177">
        <v>1</v>
      </c>
      <c r="AN177">
        <v>1</v>
      </c>
      <c r="AO177">
        <v>7</v>
      </c>
      <c r="AP177">
        <v>4</v>
      </c>
      <c r="AQ177">
        <v>4</v>
      </c>
      <c r="AR177">
        <v>6</v>
      </c>
      <c r="AS177">
        <v>7</v>
      </c>
      <c r="AT177">
        <v>7</v>
      </c>
      <c r="AU177">
        <v>7</v>
      </c>
      <c r="AV177">
        <v>7</v>
      </c>
      <c r="AW177">
        <v>7</v>
      </c>
      <c r="AX177">
        <v>2</v>
      </c>
      <c r="AY177" cm="1">
        <f t="array" ref="AY177">_xlfn.IFS(AZ177="Positive",1, AZ177="Negative",1, AZ177="Neutral",0)</f>
        <v>0</v>
      </c>
      <c r="AZ177" t="str" cm="1">
        <f t="array" ref="AZ177">_xlfn.IFS(AX177=1,"Positive",AX177=2,"Neutral",AX177=3,"Negative")</f>
        <v>Neutral</v>
      </c>
      <c r="BA177">
        <v>0</v>
      </c>
      <c r="BB177">
        <v>1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 t="s">
        <v>305</v>
      </c>
      <c r="BT177" t="s">
        <v>559</v>
      </c>
      <c r="BU177" t="s">
        <v>308</v>
      </c>
      <c r="BV177" t="s">
        <v>560</v>
      </c>
    </row>
    <row r="178" spans="1:74" x14ac:dyDescent="0.2">
      <c r="A178">
        <v>184</v>
      </c>
      <c r="B178">
        <v>69</v>
      </c>
      <c r="C178" t="s">
        <v>146</v>
      </c>
      <c r="E178" t="s">
        <v>97</v>
      </c>
      <c r="F178">
        <v>16</v>
      </c>
      <c r="G178">
        <v>2000</v>
      </c>
      <c r="H178">
        <v>22</v>
      </c>
      <c r="I178" t="s">
        <v>69</v>
      </c>
      <c r="J178">
        <v>2</v>
      </c>
      <c r="K178" t="s">
        <v>687</v>
      </c>
      <c r="L178" t="s">
        <v>688</v>
      </c>
      <c r="M178">
        <v>13</v>
      </c>
      <c r="N178">
        <v>66</v>
      </c>
      <c r="O178">
        <v>5</v>
      </c>
      <c r="P178" t="s">
        <v>562</v>
      </c>
      <c r="Q178" t="s">
        <v>767</v>
      </c>
      <c r="R178" t="s">
        <v>768</v>
      </c>
      <c r="S178" t="s">
        <v>328</v>
      </c>
      <c r="T178" t="s">
        <v>282</v>
      </c>
      <c r="U178" t="s">
        <v>563</v>
      </c>
      <c r="V178" t="s">
        <v>564</v>
      </c>
      <c r="W178" t="s">
        <v>194</v>
      </c>
      <c r="X178" t="s">
        <v>66</v>
      </c>
      <c r="Y178" t="s">
        <v>66</v>
      </c>
      <c r="Z178">
        <v>7</v>
      </c>
      <c r="AA178">
        <v>7</v>
      </c>
      <c r="AB178">
        <v>7</v>
      </c>
      <c r="AC178">
        <v>7</v>
      </c>
      <c r="AD178">
        <v>5</v>
      </c>
      <c r="AE178">
        <v>7</v>
      </c>
      <c r="AF178">
        <v>1</v>
      </c>
      <c r="AG178">
        <v>1</v>
      </c>
      <c r="AH178">
        <v>7</v>
      </c>
      <c r="AI178">
        <v>6</v>
      </c>
      <c r="AJ178">
        <v>1</v>
      </c>
      <c r="AK178">
        <v>6</v>
      </c>
      <c r="AL178">
        <v>6</v>
      </c>
      <c r="AM178">
        <v>6</v>
      </c>
      <c r="AN178">
        <v>17</v>
      </c>
      <c r="AO178">
        <v>1</v>
      </c>
      <c r="AP178">
        <v>1</v>
      </c>
      <c r="AQ178">
        <v>2</v>
      </c>
      <c r="AR178">
        <v>3</v>
      </c>
      <c r="AS178">
        <v>6</v>
      </c>
      <c r="AT178">
        <v>5</v>
      </c>
      <c r="AU178">
        <v>6</v>
      </c>
      <c r="AV178">
        <v>6</v>
      </c>
      <c r="AW178">
        <v>7</v>
      </c>
      <c r="AX178">
        <v>1</v>
      </c>
      <c r="AY178" cm="1">
        <f t="array" ref="AY178">_xlfn.IFS(AZ178="Positive",1, AZ178="Negative",1, AZ178="Neutral",0)</f>
        <v>1</v>
      </c>
      <c r="AZ178" t="str" cm="1">
        <f t="array" ref="AZ178">_xlfn.IFS(AX178=1,"Positive",AX178=2,"Neutral",AX178=3,"Negative")</f>
        <v>Positive</v>
      </c>
      <c r="BA178">
        <v>0</v>
      </c>
      <c r="BB178">
        <v>3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>
        <v>0</v>
      </c>
      <c r="BI178">
        <v>0</v>
      </c>
      <c r="BJ178">
        <v>1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 t="s">
        <v>313</v>
      </c>
      <c r="BT178" t="s">
        <v>295</v>
      </c>
      <c r="BU178" t="s">
        <v>316</v>
      </c>
      <c r="BV178" t="s">
        <v>473</v>
      </c>
    </row>
    <row r="179" spans="1:74" hidden="1" x14ac:dyDescent="0.2">
      <c r="A179">
        <v>185</v>
      </c>
      <c r="B179">
        <v>70</v>
      </c>
      <c r="C179" t="s">
        <v>147</v>
      </c>
      <c r="E179" t="s">
        <v>85</v>
      </c>
      <c r="F179">
        <v>28</v>
      </c>
      <c r="G179">
        <v>1997</v>
      </c>
      <c r="H179">
        <v>25</v>
      </c>
      <c r="I179" t="s">
        <v>64</v>
      </c>
      <c r="J179">
        <v>1</v>
      </c>
      <c r="K179" t="s">
        <v>661</v>
      </c>
      <c r="L179" t="s">
        <v>632</v>
      </c>
      <c r="M179">
        <v>5</v>
      </c>
      <c r="N179">
        <v>64</v>
      </c>
      <c r="O179" t="s">
        <v>442</v>
      </c>
      <c r="P179" t="s">
        <v>539</v>
      </c>
      <c r="Q179" t="s">
        <v>734</v>
      </c>
      <c r="R179" t="s">
        <v>732</v>
      </c>
      <c r="S179" t="s">
        <v>318</v>
      </c>
      <c r="T179" t="s">
        <v>540</v>
      </c>
      <c r="U179" t="s">
        <v>445</v>
      </c>
      <c r="V179" t="s">
        <v>541</v>
      </c>
      <c r="W179" t="s">
        <v>194</v>
      </c>
      <c r="X179" t="s">
        <v>66</v>
      </c>
      <c r="Y179" t="s">
        <v>66</v>
      </c>
      <c r="Z179">
        <v>7</v>
      </c>
      <c r="AA179">
        <v>6</v>
      </c>
      <c r="AB179">
        <v>5</v>
      </c>
      <c r="AC179">
        <v>6</v>
      </c>
      <c r="AD179">
        <v>4</v>
      </c>
      <c r="AE179">
        <v>4</v>
      </c>
      <c r="AF179">
        <v>3</v>
      </c>
      <c r="AG179">
        <v>3</v>
      </c>
      <c r="AH179">
        <v>6</v>
      </c>
      <c r="AI179">
        <v>6</v>
      </c>
      <c r="AJ179">
        <v>2</v>
      </c>
      <c r="AK179">
        <v>4</v>
      </c>
      <c r="AL179">
        <v>5</v>
      </c>
      <c r="AM179">
        <v>3</v>
      </c>
      <c r="AN179">
        <v>141</v>
      </c>
      <c r="AO179">
        <v>2</v>
      </c>
      <c r="AP179">
        <v>5</v>
      </c>
      <c r="AQ179">
        <v>4</v>
      </c>
      <c r="AR179">
        <v>3</v>
      </c>
      <c r="AS179">
        <v>4</v>
      </c>
      <c r="AT179">
        <v>3</v>
      </c>
      <c r="AU179">
        <v>5</v>
      </c>
      <c r="AV179">
        <v>5</v>
      </c>
      <c r="AW179">
        <v>4</v>
      </c>
      <c r="AX179">
        <v>2</v>
      </c>
      <c r="AY179" cm="1">
        <f t="array" ref="AY179">_xlfn.IFS(AZ179="Positive",1, AZ179="Negative",1, AZ179="Neutral",0)</f>
        <v>0</v>
      </c>
      <c r="AZ179" t="str" cm="1">
        <f t="array" ref="AZ179">_xlfn.IFS(AX179=1,"Positive",AX179=2,"Neutral",AX179=3,"Negative")</f>
        <v>Neutral</v>
      </c>
      <c r="BA179">
        <v>11</v>
      </c>
      <c r="BB179">
        <v>0</v>
      </c>
      <c r="BC179" s="3">
        <v>6</v>
      </c>
      <c r="BD179" s="3">
        <v>1</v>
      </c>
      <c r="BE179" s="3">
        <v>3</v>
      </c>
      <c r="BF179" s="3">
        <v>1</v>
      </c>
      <c r="BG179" s="3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4</v>
      </c>
      <c r="BT179" t="s">
        <v>453</v>
      </c>
      <c r="BU179" t="s">
        <v>370</v>
      </c>
      <c r="BV179" t="s">
        <v>454</v>
      </c>
    </row>
    <row r="180" spans="1:74" hidden="1" x14ac:dyDescent="0.2">
      <c r="A180">
        <v>186</v>
      </c>
      <c r="B180">
        <v>71</v>
      </c>
      <c r="C180" t="s">
        <v>148</v>
      </c>
      <c r="E180" t="s">
        <v>85</v>
      </c>
      <c r="F180">
        <v>20</v>
      </c>
      <c r="G180">
        <v>2002</v>
      </c>
      <c r="H180">
        <v>20</v>
      </c>
      <c r="I180" t="s">
        <v>64</v>
      </c>
      <c r="J180">
        <v>1</v>
      </c>
      <c r="K180" t="s">
        <v>637</v>
      </c>
      <c r="L180" t="s">
        <v>677</v>
      </c>
      <c r="M180">
        <v>5</v>
      </c>
      <c r="N180">
        <v>67</v>
      </c>
      <c r="O180" t="s">
        <v>513</v>
      </c>
      <c r="P180" t="s">
        <v>325</v>
      </c>
      <c r="Q180" t="s">
        <v>706</v>
      </c>
      <c r="R180" t="s">
        <v>756</v>
      </c>
      <c r="S180" t="s">
        <v>318</v>
      </c>
      <c r="T180" t="s">
        <v>431</v>
      </c>
      <c r="U180" t="s">
        <v>515</v>
      </c>
      <c r="V180" t="s">
        <v>331</v>
      </c>
      <c r="W180" t="s">
        <v>194</v>
      </c>
      <c r="X180" t="s">
        <v>66</v>
      </c>
      <c r="Y180" t="s">
        <v>66</v>
      </c>
      <c r="Z180">
        <v>7</v>
      </c>
      <c r="AA180">
        <v>7</v>
      </c>
      <c r="AB180">
        <v>7</v>
      </c>
      <c r="AC180">
        <v>7</v>
      </c>
      <c r="AD180">
        <v>5</v>
      </c>
      <c r="AE180">
        <v>7</v>
      </c>
      <c r="AF180">
        <v>6</v>
      </c>
      <c r="AG180">
        <v>4</v>
      </c>
      <c r="AH180">
        <v>6</v>
      </c>
      <c r="AI180">
        <v>3</v>
      </c>
      <c r="AJ180">
        <v>5</v>
      </c>
      <c r="AK180">
        <v>5</v>
      </c>
      <c r="AL180">
        <v>6</v>
      </c>
      <c r="AM180">
        <v>7</v>
      </c>
      <c r="AN180">
        <v>34</v>
      </c>
      <c r="AO180">
        <v>4</v>
      </c>
      <c r="AP180">
        <v>5</v>
      </c>
      <c r="AQ180">
        <v>5</v>
      </c>
      <c r="AR180">
        <v>7</v>
      </c>
      <c r="AS180">
        <v>7</v>
      </c>
      <c r="AT180">
        <v>7</v>
      </c>
      <c r="AU180">
        <v>7</v>
      </c>
      <c r="AV180">
        <v>7</v>
      </c>
      <c r="AW180">
        <v>7</v>
      </c>
      <c r="AX180">
        <v>2</v>
      </c>
      <c r="AY180" cm="1">
        <f t="array" ref="AY180">_xlfn.IFS(AZ180="Positive",1, AZ180="Negative",1, AZ180="Neutral",0)</f>
        <v>0</v>
      </c>
      <c r="AZ180" t="str" cm="1">
        <f t="array" ref="AZ180">_xlfn.IFS(AX180=1,"Positive",AX180=2,"Neutral",AX180=3,"Negative")</f>
        <v>Neutral</v>
      </c>
      <c r="BA180">
        <v>25</v>
      </c>
      <c r="BB180">
        <v>1</v>
      </c>
      <c r="BC180" s="3">
        <v>9</v>
      </c>
      <c r="BD180" s="3">
        <v>1</v>
      </c>
      <c r="BE180" s="3">
        <v>2</v>
      </c>
      <c r="BF180" s="3">
        <v>2</v>
      </c>
      <c r="BG180" s="3">
        <v>11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 t="s">
        <v>322</v>
      </c>
      <c r="BT180" t="s">
        <v>453</v>
      </c>
      <c r="BU180" t="s">
        <v>326</v>
      </c>
      <c r="BV180" t="s">
        <v>454</v>
      </c>
    </row>
    <row r="181" spans="1:74" hidden="1" x14ac:dyDescent="0.2">
      <c r="A181">
        <v>187</v>
      </c>
      <c r="B181">
        <v>72</v>
      </c>
      <c r="C181" t="s">
        <v>149</v>
      </c>
      <c r="E181" t="s">
        <v>71</v>
      </c>
      <c r="F181">
        <v>26</v>
      </c>
      <c r="G181">
        <v>1999</v>
      </c>
      <c r="H181">
        <v>23</v>
      </c>
      <c r="I181" t="s">
        <v>64</v>
      </c>
      <c r="J181">
        <v>1</v>
      </c>
      <c r="K181" t="s">
        <v>416</v>
      </c>
      <c r="L181" t="s">
        <v>660</v>
      </c>
      <c r="M181">
        <v>6</v>
      </c>
      <c r="N181">
        <v>63</v>
      </c>
      <c r="O181" t="s">
        <v>565</v>
      </c>
      <c r="P181">
        <v>6</v>
      </c>
      <c r="Q181" t="s">
        <v>723</v>
      </c>
      <c r="R181" t="s">
        <v>733</v>
      </c>
      <c r="S181" t="s">
        <v>403</v>
      </c>
      <c r="T181" t="s">
        <v>477</v>
      </c>
      <c r="U181" t="s">
        <v>566</v>
      </c>
      <c r="V181" t="s">
        <v>471</v>
      </c>
      <c r="W181" t="s">
        <v>194</v>
      </c>
      <c r="X181" t="s">
        <v>66</v>
      </c>
      <c r="Y181" t="s">
        <v>66</v>
      </c>
      <c r="Z181">
        <v>7</v>
      </c>
      <c r="AA181">
        <v>6</v>
      </c>
      <c r="AB181">
        <v>6</v>
      </c>
      <c r="AC181">
        <v>4</v>
      </c>
      <c r="AD181">
        <v>1</v>
      </c>
      <c r="AE181">
        <v>2</v>
      </c>
      <c r="AF181">
        <v>1</v>
      </c>
      <c r="AG181">
        <v>1</v>
      </c>
      <c r="AH181">
        <v>7</v>
      </c>
      <c r="AI181">
        <v>7</v>
      </c>
      <c r="AJ181">
        <v>1</v>
      </c>
      <c r="AK181">
        <v>4</v>
      </c>
      <c r="AL181">
        <v>5</v>
      </c>
      <c r="AM181">
        <v>4</v>
      </c>
      <c r="AN181">
        <v>24</v>
      </c>
      <c r="AO181">
        <v>7</v>
      </c>
      <c r="AP181">
        <v>1</v>
      </c>
      <c r="AQ181">
        <v>1</v>
      </c>
      <c r="AR181">
        <v>3</v>
      </c>
      <c r="AS181">
        <v>7</v>
      </c>
      <c r="AT181">
        <v>3</v>
      </c>
      <c r="AU181">
        <v>6</v>
      </c>
      <c r="AV181">
        <v>6</v>
      </c>
      <c r="AW181">
        <v>6</v>
      </c>
      <c r="AX181">
        <v>1</v>
      </c>
      <c r="AY181" cm="1">
        <f t="array" ref="AY181">_xlfn.IFS(AZ181="Positive",1, AZ181="Negative",1, AZ181="Neutral",0)</f>
        <v>1</v>
      </c>
      <c r="AZ181" t="str" cm="1">
        <f t="array" ref="AZ181">_xlfn.IFS(AX181=1,"Positive",AX181=2,"Neutral",AX181=3,"Negative")</f>
        <v>Positive</v>
      </c>
      <c r="BA181">
        <v>6</v>
      </c>
      <c r="BB181">
        <v>0</v>
      </c>
      <c r="BC181" s="3">
        <v>5</v>
      </c>
      <c r="BD181" s="3">
        <v>0</v>
      </c>
      <c r="BE181" s="3">
        <v>0</v>
      </c>
      <c r="BF181" s="3">
        <v>1</v>
      </c>
      <c r="BG181" s="3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 t="s">
        <v>296</v>
      </c>
      <c r="BT181" t="s">
        <v>367</v>
      </c>
      <c r="BU181" t="s">
        <v>362</v>
      </c>
      <c r="BV181" t="s">
        <v>371</v>
      </c>
    </row>
    <row r="182" spans="1:74" x14ac:dyDescent="0.2">
      <c r="A182">
        <v>188</v>
      </c>
      <c r="B182">
        <v>73</v>
      </c>
      <c r="C182" t="s">
        <v>150</v>
      </c>
      <c r="E182" t="s">
        <v>71</v>
      </c>
      <c r="F182">
        <v>30</v>
      </c>
      <c r="G182">
        <v>2000</v>
      </c>
      <c r="H182">
        <v>22</v>
      </c>
      <c r="I182" t="s">
        <v>69</v>
      </c>
      <c r="J182">
        <v>2</v>
      </c>
      <c r="K182" t="s">
        <v>416</v>
      </c>
      <c r="L182" t="s">
        <v>679</v>
      </c>
      <c r="M182">
        <v>7</v>
      </c>
      <c r="N182">
        <v>47</v>
      </c>
      <c r="O182" t="s">
        <v>568</v>
      </c>
      <c r="P182">
        <v>6</v>
      </c>
      <c r="Q182" t="s">
        <v>723</v>
      </c>
      <c r="R182" t="s">
        <v>758</v>
      </c>
      <c r="S182" t="s">
        <v>430</v>
      </c>
      <c r="T182" t="s">
        <v>401</v>
      </c>
      <c r="U182" t="s">
        <v>570</v>
      </c>
      <c r="V182" t="s">
        <v>471</v>
      </c>
      <c r="W182" t="s">
        <v>194</v>
      </c>
      <c r="X182" t="s">
        <v>66</v>
      </c>
      <c r="Y182" t="s">
        <v>66</v>
      </c>
      <c r="Z182">
        <v>7</v>
      </c>
      <c r="AA182">
        <v>1</v>
      </c>
      <c r="AB182">
        <v>2</v>
      </c>
      <c r="AC182">
        <v>1</v>
      </c>
      <c r="AD182">
        <v>1</v>
      </c>
      <c r="AE182">
        <v>1</v>
      </c>
      <c r="AF182">
        <v>7</v>
      </c>
      <c r="AG182">
        <v>1</v>
      </c>
      <c r="AH182">
        <v>7</v>
      </c>
      <c r="AI182">
        <v>7</v>
      </c>
      <c r="AJ182">
        <v>3</v>
      </c>
      <c r="AK182">
        <v>3</v>
      </c>
      <c r="AL182">
        <v>5</v>
      </c>
      <c r="AM182">
        <v>1</v>
      </c>
      <c r="AN182">
        <v>120</v>
      </c>
      <c r="AO182">
        <v>5</v>
      </c>
      <c r="AP182">
        <v>4</v>
      </c>
      <c r="AQ182">
        <v>4</v>
      </c>
      <c r="AR182">
        <v>4</v>
      </c>
      <c r="AS182">
        <v>4</v>
      </c>
      <c r="AT182">
        <v>4</v>
      </c>
      <c r="AU182">
        <v>4</v>
      </c>
      <c r="AV182">
        <v>4</v>
      </c>
      <c r="AW182">
        <v>5</v>
      </c>
      <c r="AX182">
        <v>2</v>
      </c>
      <c r="AY182" cm="1">
        <f t="array" ref="AY182">_xlfn.IFS(AZ182="Positive",1, AZ182="Negative",1, AZ182="Neutral",0)</f>
        <v>0</v>
      </c>
      <c r="AZ182" t="str" cm="1">
        <f t="array" ref="AZ182">_xlfn.IFS(AX182=1,"Positive",AX182=2,"Neutral",AX182=3,"Negative")</f>
        <v>Neutral</v>
      </c>
      <c r="BA182">
        <v>0</v>
      </c>
      <c r="BB182">
        <v>5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>
        <v>0</v>
      </c>
      <c r="BI182">
        <v>0</v>
      </c>
      <c r="BJ182">
        <v>0</v>
      </c>
      <c r="BK182">
        <v>1</v>
      </c>
      <c r="BL182">
        <v>4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 t="s">
        <v>567</v>
      </c>
      <c r="BT182" t="s">
        <v>484</v>
      </c>
      <c r="BU182" t="s">
        <v>569</v>
      </c>
      <c r="BV182" t="s">
        <v>486</v>
      </c>
    </row>
    <row r="183" spans="1:74" x14ac:dyDescent="0.2">
      <c r="A183">
        <v>189</v>
      </c>
      <c r="B183">
        <v>74</v>
      </c>
      <c r="C183" t="s">
        <v>151</v>
      </c>
      <c r="E183" t="s">
        <v>73</v>
      </c>
      <c r="F183">
        <v>27</v>
      </c>
      <c r="G183">
        <v>2000</v>
      </c>
      <c r="H183">
        <v>22</v>
      </c>
      <c r="I183" t="s">
        <v>69</v>
      </c>
      <c r="J183">
        <v>2</v>
      </c>
      <c r="K183" t="s">
        <v>644</v>
      </c>
      <c r="L183" t="s">
        <v>647</v>
      </c>
      <c r="M183">
        <v>4</v>
      </c>
      <c r="N183">
        <v>61</v>
      </c>
      <c r="O183" t="s">
        <v>384</v>
      </c>
      <c r="P183" t="s">
        <v>361</v>
      </c>
      <c r="Q183" t="s">
        <v>714</v>
      </c>
      <c r="R183" t="s">
        <v>717</v>
      </c>
      <c r="S183" t="s">
        <v>396</v>
      </c>
      <c r="T183" t="s">
        <v>292</v>
      </c>
      <c r="U183" t="s">
        <v>387</v>
      </c>
      <c r="V183" t="s">
        <v>366</v>
      </c>
      <c r="W183" t="s">
        <v>194</v>
      </c>
      <c r="X183" t="s">
        <v>66</v>
      </c>
      <c r="Y183" t="s">
        <v>66</v>
      </c>
      <c r="Z183">
        <v>7</v>
      </c>
      <c r="AA183">
        <v>7</v>
      </c>
      <c r="AB183">
        <v>6</v>
      </c>
      <c r="AC183">
        <v>7</v>
      </c>
      <c r="AD183">
        <v>6</v>
      </c>
      <c r="AE183">
        <v>7</v>
      </c>
      <c r="AF183">
        <v>2</v>
      </c>
      <c r="AG183">
        <v>1</v>
      </c>
      <c r="AH183">
        <v>7</v>
      </c>
      <c r="AI183">
        <v>6</v>
      </c>
      <c r="AJ183">
        <v>2</v>
      </c>
      <c r="AK183">
        <v>7</v>
      </c>
      <c r="AL183">
        <v>6</v>
      </c>
      <c r="AM183">
        <v>6</v>
      </c>
      <c r="AN183">
        <v>110</v>
      </c>
      <c r="AO183">
        <v>1</v>
      </c>
      <c r="AP183">
        <v>1</v>
      </c>
      <c r="AQ183">
        <v>6</v>
      </c>
      <c r="AR183">
        <v>3</v>
      </c>
      <c r="AS183">
        <v>6</v>
      </c>
      <c r="AT183">
        <v>7</v>
      </c>
      <c r="AU183">
        <v>7</v>
      </c>
      <c r="AV183">
        <v>5</v>
      </c>
      <c r="AW183">
        <v>7</v>
      </c>
      <c r="AX183">
        <v>1</v>
      </c>
      <c r="AY183" cm="1">
        <f t="array" ref="AY183">_xlfn.IFS(AZ183="Positive",1, AZ183="Negative",1, AZ183="Neutral",0)</f>
        <v>1</v>
      </c>
      <c r="AZ183" t="str" cm="1">
        <f t="array" ref="AZ183">_xlfn.IFS(AX183=1,"Positive",AX183=2,"Neutral",AX183=3,"Negative")</f>
        <v>Positive</v>
      </c>
      <c r="BA183">
        <v>0</v>
      </c>
      <c r="BB183">
        <v>8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>
        <v>0</v>
      </c>
      <c r="BI183">
        <v>0</v>
      </c>
      <c r="BJ183">
        <v>4</v>
      </c>
      <c r="BK183">
        <v>0</v>
      </c>
      <c r="BL183">
        <v>2</v>
      </c>
      <c r="BM183">
        <v>0</v>
      </c>
      <c r="BN183">
        <v>0</v>
      </c>
      <c r="BO183">
        <v>0</v>
      </c>
      <c r="BP183">
        <v>0</v>
      </c>
      <c r="BQ183">
        <v>2</v>
      </c>
      <c r="BR183">
        <v>0</v>
      </c>
      <c r="BS183" t="s">
        <v>414</v>
      </c>
      <c r="BT183" t="s">
        <v>475</v>
      </c>
      <c r="BU183" t="s">
        <v>417</v>
      </c>
      <c r="BV183" t="s">
        <v>476</v>
      </c>
    </row>
    <row r="184" spans="1:74" hidden="1" x14ac:dyDescent="0.2">
      <c r="A184">
        <v>190</v>
      </c>
      <c r="B184">
        <v>75</v>
      </c>
      <c r="C184" t="s">
        <v>152</v>
      </c>
      <c r="E184" t="s">
        <v>88</v>
      </c>
      <c r="F184">
        <v>27</v>
      </c>
      <c r="G184">
        <v>2000</v>
      </c>
      <c r="H184">
        <v>22</v>
      </c>
      <c r="I184" t="s">
        <v>69</v>
      </c>
      <c r="J184">
        <v>2</v>
      </c>
      <c r="K184" t="s">
        <v>652</v>
      </c>
      <c r="L184" t="s">
        <v>689</v>
      </c>
      <c r="M184">
        <v>11</v>
      </c>
      <c r="N184">
        <v>43</v>
      </c>
      <c r="O184" t="s">
        <v>571</v>
      </c>
      <c r="P184" t="s">
        <v>572</v>
      </c>
      <c r="Q184" t="s">
        <v>753</v>
      </c>
      <c r="R184" t="s">
        <v>769</v>
      </c>
      <c r="S184" t="s">
        <v>514</v>
      </c>
      <c r="T184" t="s">
        <v>336</v>
      </c>
      <c r="U184" t="s">
        <v>573</v>
      </c>
      <c r="V184" t="s">
        <v>574</v>
      </c>
      <c r="W184" t="s">
        <v>194</v>
      </c>
      <c r="X184" t="s">
        <v>66</v>
      </c>
      <c r="Y184" t="s">
        <v>66</v>
      </c>
      <c r="Z184">
        <v>7</v>
      </c>
      <c r="AA184">
        <v>5</v>
      </c>
      <c r="AB184">
        <v>7</v>
      </c>
      <c r="AC184">
        <v>7</v>
      </c>
      <c r="AD184">
        <v>1</v>
      </c>
      <c r="AE184">
        <v>1</v>
      </c>
      <c r="AF184">
        <v>1</v>
      </c>
      <c r="AG184">
        <v>1</v>
      </c>
      <c r="AH184">
        <v>7</v>
      </c>
      <c r="AI184">
        <v>7</v>
      </c>
      <c r="AJ184">
        <v>1</v>
      </c>
      <c r="AK184">
        <v>4</v>
      </c>
      <c r="AL184">
        <v>1</v>
      </c>
      <c r="AM184">
        <v>7</v>
      </c>
      <c r="AN184">
        <v>2</v>
      </c>
      <c r="AO184">
        <v>1</v>
      </c>
      <c r="AP184">
        <v>1</v>
      </c>
      <c r="AQ184">
        <v>1</v>
      </c>
      <c r="AR184">
        <v>7</v>
      </c>
      <c r="AS184">
        <v>7</v>
      </c>
      <c r="AT184">
        <v>7</v>
      </c>
      <c r="AU184">
        <v>1</v>
      </c>
      <c r="AV184">
        <v>7</v>
      </c>
      <c r="AW184">
        <v>7</v>
      </c>
      <c r="AX184">
        <v>1</v>
      </c>
      <c r="AY184" cm="1">
        <f t="array" ref="AY184">_xlfn.IFS(AZ184="Positive",1, AZ184="Negative",1, AZ184="Neutral",0)</f>
        <v>1</v>
      </c>
      <c r="AZ184" t="str" cm="1">
        <f t="array" ref="AZ184">_xlfn.IFS(AX184=1,"Positive",AX184=2,"Neutral",AX184=3,"Negative")</f>
        <v>Positive</v>
      </c>
      <c r="BA184">
        <v>13</v>
      </c>
      <c r="BB184">
        <v>1</v>
      </c>
      <c r="BC184" s="3">
        <v>8</v>
      </c>
      <c r="BD184" s="3">
        <v>0</v>
      </c>
      <c r="BE184" s="3">
        <v>2</v>
      </c>
      <c r="BF184" s="3">
        <v>2</v>
      </c>
      <c r="BG184" s="3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 t="s">
        <v>399</v>
      </c>
      <c r="BT184">
        <v>3</v>
      </c>
      <c r="BU184" t="s">
        <v>400</v>
      </c>
      <c r="BV184" t="s">
        <v>309</v>
      </c>
    </row>
    <row r="185" spans="1:74" hidden="1" x14ac:dyDescent="0.2">
      <c r="A185">
        <v>191</v>
      </c>
      <c r="B185">
        <v>76</v>
      </c>
      <c r="C185" t="s">
        <v>153</v>
      </c>
      <c r="E185" t="s">
        <v>82</v>
      </c>
      <c r="F185">
        <v>15</v>
      </c>
      <c r="G185">
        <v>1999</v>
      </c>
      <c r="H185">
        <v>23</v>
      </c>
      <c r="I185" t="s">
        <v>64</v>
      </c>
      <c r="J185">
        <v>1</v>
      </c>
      <c r="K185" t="s">
        <v>658</v>
      </c>
      <c r="L185" t="s">
        <v>669</v>
      </c>
      <c r="M185">
        <v>11</v>
      </c>
      <c r="N185">
        <v>57</v>
      </c>
      <c r="O185" t="s">
        <v>346</v>
      </c>
      <c r="P185" t="s">
        <v>369</v>
      </c>
      <c r="Q185" t="s">
        <v>729</v>
      </c>
      <c r="R185" t="s">
        <v>745</v>
      </c>
      <c r="S185" t="s">
        <v>514</v>
      </c>
      <c r="T185" t="s">
        <v>575</v>
      </c>
      <c r="U185" t="s">
        <v>350</v>
      </c>
      <c r="V185" t="s">
        <v>374</v>
      </c>
      <c r="W185" t="s">
        <v>194</v>
      </c>
      <c r="X185" t="s">
        <v>66</v>
      </c>
      <c r="Y185" t="s">
        <v>66</v>
      </c>
      <c r="Z185">
        <v>7</v>
      </c>
      <c r="AA185">
        <v>6</v>
      </c>
      <c r="AB185">
        <v>6</v>
      </c>
      <c r="AC185">
        <v>2</v>
      </c>
      <c r="AD185">
        <v>6</v>
      </c>
      <c r="AE185">
        <v>6</v>
      </c>
      <c r="AF185">
        <v>1</v>
      </c>
      <c r="AG185">
        <v>5</v>
      </c>
      <c r="AH185">
        <v>5</v>
      </c>
      <c r="AI185">
        <v>2</v>
      </c>
      <c r="AJ185">
        <v>6</v>
      </c>
      <c r="AK185">
        <v>6</v>
      </c>
      <c r="AL185">
        <v>5</v>
      </c>
      <c r="AM185">
        <v>4</v>
      </c>
      <c r="AN185">
        <v>120</v>
      </c>
      <c r="AO185">
        <v>6</v>
      </c>
      <c r="AP185">
        <v>6</v>
      </c>
      <c r="AQ185">
        <v>5</v>
      </c>
      <c r="AR185">
        <v>5</v>
      </c>
      <c r="AS185">
        <v>3</v>
      </c>
      <c r="AT185">
        <v>6</v>
      </c>
      <c r="AU185">
        <v>5</v>
      </c>
      <c r="AV185">
        <v>5</v>
      </c>
      <c r="AW185">
        <v>6</v>
      </c>
      <c r="AX185">
        <v>3</v>
      </c>
      <c r="AY185" cm="1">
        <f t="array" ref="AY185">_xlfn.IFS(AZ185="Positive",1, AZ185="Negative",1, AZ185="Neutral",0)</f>
        <v>1</v>
      </c>
      <c r="AZ185" t="str" cm="1">
        <f t="array" ref="AZ185">_xlfn.IFS(AX185=1,"Positive",AX185=2,"Neutral",AX185=3,"Negative")</f>
        <v>Negative</v>
      </c>
      <c r="BA185">
        <v>22</v>
      </c>
      <c r="BB185">
        <v>1</v>
      </c>
      <c r="BC185" s="3">
        <v>14</v>
      </c>
      <c r="BD185" s="3">
        <v>0</v>
      </c>
      <c r="BE185" s="3">
        <v>4</v>
      </c>
      <c r="BF185" s="3">
        <v>3</v>
      </c>
      <c r="BG185" s="3">
        <v>1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 t="s">
        <v>467</v>
      </c>
      <c r="BT185" t="s">
        <v>484</v>
      </c>
      <c r="BU185" t="s">
        <v>469</v>
      </c>
      <c r="BV185" t="s">
        <v>486</v>
      </c>
    </row>
    <row r="186" spans="1:74" hidden="1" x14ac:dyDescent="0.2">
      <c r="A186">
        <v>192</v>
      </c>
      <c r="B186">
        <v>77</v>
      </c>
      <c r="C186" t="s">
        <v>154</v>
      </c>
      <c r="E186" t="s">
        <v>73</v>
      </c>
      <c r="F186">
        <v>8</v>
      </c>
      <c r="G186">
        <v>2000</v>
      </c>
      <c r="H186">
        <v>22</v>
      </c>
      <c r="I186" t="s">
        <v>64</v>
      </c>
      <c r="J186">
        <v>1</v>
      </c>
      <c r="K186" t="s">
        <v>690</v>
      </c>
      <c r="L186" t="s">
        <v>650</v>
      </c>
      <c r="M186">
        <v>11</v>
      </c>
      <c r="N186">
        <v>56</v>
      </c>
      <c r="O186" t="s">
        <v>278</v>
      </c>
      <c r="P186" t="s">
        <v>307</v>
      </c>
      <c r="Q186" t="s">
        <v>770</v>
      </c>
      <c r="R186" t="s">
        <v>720</v>
      </c>
      <c r="S186" t="s">
        <v>514</v>
      </c>
      <c r="T186" t="s">
        <v>423</v>
      </c>
      <c r="U186" t="s">
        <v>380</v>
      </c>
      <c r="V186" t="s">
        <v>312</v>
      </c>
      <c r="W186" t="s">
        <v>194</v>
      </c>
      <c r="X186" t="s">
        <v>66</v>
      </c>
      <c r="Y186" t="s">
        <v>66</v>
      </c>
      <c r="Z186">
        <v>7</v>
      </c>
      <c r="AA186">
        <v>5</v>
      </c>
      <c r="AB186">
        <v>5</v>
      </c>
      <c r="AC186">
        <v>2</v>
      </c>
      <c r="AD186">
        <v>5</v>
      </c>
      <c r="AE186">
        <v>4</v>
      </c>
      <c r="AF186">
        <v>2</v>
      </c>
      <c r="AG186">
        <v>3</v>
      </c>
      <c r="AH186">
        <v>4</v>
      </c>
      <c r="AI186">
        <v>7</v>
      </c>
      <c r="AJ186">
        <v>1</v>
      </c>
      <c r="AK186">
        <v>4</v>
      </c>
      <c r="AL186">
        <v>5</v>
      </c>
      <c r="AM186">
        <v>2</v>
      </c>
      <c r="AN186">
        <v>129</v>
      </c>
      <c r="AO186">
        <v>3</v>
      </c>
      <c r="AP186">
        <v>3</v>
      </c>
      <c r="AQ186">
        <v>2</v>
      </c>
      <c r="AR186">
        <v>2</v>
      </c>
      <c r="AS186">
        <v>5</v>
      </c>
      <c r="AT186">
        <v>3</v>
      </c>
      <c r="AU186">
        <v>5</v>
      </c>
      <c r="AV186">
        <v>4</v>
      </c>
      <c r="AW186">
        <v>5</v>
      </c>
      <c r="AX186">
        <v>2</v>
      </c>
      <c r="AY186" cm="1">
        <f t="array" ref="AY186">_xlfn.IFS(AZ186="Positive",1, AZ186="Negative",1, AZ186="Neutral",0)</f>
        <v>0</v>
      </c>
      <c r="AZ186" t="str" cm="1">
        <f t="array" ref="AZ186">_xlfn.IFS(AX186=1,"Positive",AX186=2,"Neutral",AX186=3,"Negative")</f>
        <v>Neutral</v>
      </c>
      <c r="BA186">
        <v>18</v>
      </c>
      <c r="BB186">
        <v>0</v>
      </c>
      <c r="BC186" s="3">
        <v>11</v>
      </c>
      <c r="BD186" s="3">
        <v>1</v>
      </c>
      <c r="BE186" s="3">
        <v>4</v>
      </c>
      <c r="BF186" s="3">
        <v>2</v>
      </c>
      <c r="BG186" s="3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 t="s">
        <v>313</v>
      </c>
      <c r="BT186" t="s">
        <v>576</v>
      </c>
      <c r="BU186" t="s">
        <v>316</v>
      </c>
      <c r="BV186" t="s">
        <v>577</v>
      </c>
    </row>
    <row r="187" spans="1:74" hidden="1" x14ac:dyDescent="0.2">
      <c r="A187">
        <v>193</v>
      </c>
      <c r="B187">
        <v>78</v>
      </c>
      <c r="C187" t="s">
        <v>155</v>
      </c>
      <c r="E187" t="s">
        <v>93</v>
      </c>
      <c r="F187">
        <v>7</v>
      </c>
      <c r="G187">
        <v>1999</v>
      </c>
      <c r="H187">
        <v>23</v>
      </c>
      <c r="I187" t="s">
        <v>64</v>
      </c>
      <c r="J187">
        <v>1</v>
      </c>
      <c r="K187" t="s">
        <v>664</v>
      </c>
      <c r="L187" t="s">
        <v>691</v>
      </c>
      <c r="M187">
        <v>4</v>
      </c>
      <c r="N187">
        <v>76</v>
      </c>
      <c r="O187" t="s">
        <v>562</v>
      </c>
      <c r="P187" t="s">
        <v>278</v>
      </c>
      <c r="Q187" t="s">
        <v>738</v>
      </c>
      <c r="R187" t="s">
        <v>771</v>
      </c>
      <c r="S187" t="s">
        <v>396</v>
      </c>
      <c r="T187" t="s">
        <v>580</v>
      </c>
      <c r="U187" t="s">
        <v>581</v>
      </c>
      <c r="V187" t="s">
        <v>284</v>
      </c>
      <c r="W187" t="s">
        <v>194</v>
      </c>
      <c r="X187" t="s">
        <v>66</v>
      </c>
      <c r="Y187" t="s">
        <v>66</v>
      </c>
      <c r="Z187">
        <v>7</v>
      </c>
      <c r="AA187">
        <v>5</v>
      </c>
      <c r="AB187">
        <v>6</v>
      </c>
      <c r="AC187">
        <v>6</v>
      </c>
      <c r="AD187">
        <v>2</v>
      </c>
      <c r="AE187">
        <v>3</v>
      </c>
      <c r="AF187">
        <v>2</v>
      </c>
      <c r="AG187">
        <v>2</v>
      </c>
      <c r="AH187">
        <v>4</v>
      </c>
      <c r="AI187">
        <v>4</v>
      </c>
      <c r="AJ187">
        <v>1</v>
      </c>
      <c r="AK187">
        <v>2</v>
      </c>
      <c r="AL187">
        <v>2</v>
      </c>
      <c r="AM187">
        <v>2</v>
      </c>
      <c r="AN187">
        <v>45</v>
      </c>
      <c r="AO187">
        <v>4</v>
      </c>
      <c r="AP187">
        <v>2</v>
      </c>
      <c r="AQ187">
        <v>1</v>
      </c>
      <c r="AR187">
        <v>5</v>
      </c>
      <c r="AS187">
        <v>5</v>
      </c>
      <c r="AT187">
        <v>5</v>
      </c>
      <c r="AU187">
        <v>6</v>
      </c>
      <c r="AV187">
        <v>6</v>
      </c>
      <c r="AW187">
        <v>6</v>
      </c>
      <c r="AX187">
        <v>1</v>
      </c>
      <c r="AY187" cm="1">
        <f t="array" ref="AY187">_xlfn.IFS(AZ187="Positive",1, AZ187="Negative",1, AZ187="Neutral",0)</f>
        <v>1</v>
      </c>
      <c r="AZ187" t="str" cm="1">
        <f t="array" ref="AZ187">_xlfn.IFS(AX187=1,"Positive",AX187=2,"Neutral",AX187=3,"Negative")</f>
        <v>Positive</v>
      </c>
      <c r="BA187">
        <v>4</v>
      </c>
      <c r="BB187">
        <v>0</v>
      </c>
      <c r="BC187" s="3">
        <v>2</v>
      </c>
      <c r="BD187" s="3">
        <v>0</v>
      </c>
      <c r="BE187" s="3">
        <v>0</v>
      </c>
      <c r="BF187" s="3">
        <v>2</v>
      </c>
      <c r="BG187" s="3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 t="s">
        <v>305</v>
      </c>
      <c r="BT187" t="s">
        <v>578</v>
      </c>
      <c r="BU187" t="s">
        <v>308</v>
      </c>
      <c r="BV187" t="s">
        <v>579</v>
      </c>
    </row>
    <row r="188" spans="1:74" hidden="1" x14ac:dyDescent="0.2">
      <c r="A188">
        <v>194</v>
      </c>
      <c r="B188">
        <v>79</v>
      </c>
      <c r="C188" t="s">
        <v>156</v>
      </c>
      <c r="E188" t="s">
        <v>93</v>
      </c>
      <c r="F188">
        <v>7</v>
      </c>
      <c r="G188">
        <v>1999</v>
      </c>
      <c r="H188">
        <v>23</v>
      </c>
      <c r="I188" t="s">
        <v>69</v>
      </c>
      <c r="J188">
        <v>2</v>
      </c>
      <c r="K188" t="s">
        <v>637</v>
      </c>
      <c r="L188" t="s">
        <v>679</v>
      </c>
      <c r="M188">
        <v>10</v>
      </c>
      <c r="N188">
        <v>62</v>
      </c>
      <c r="O188" t="s">
        <v>460</v>
      </c>
      <c r="P188" t="s">
        <v>288</v>
      </c>
      <c r="Q188" t="s">
        <v>706</v>
      </c>
      <c r="R188" t="s">
        <v>758</v>
      </c>
      <c r="S188" t="s">
        <v>378</v>
      </c>
      <c r="T188" t="s">
        <v>319</v>
      </c>
      <c r="U188" t="s">
        <v>582</v>
      </c>
      <c r="V188" t="s">
        <v>294</v>
      </c>
      <c r="W188" t="s">
        <v>194</v>
      </c>
      <c r="X188" t="s">
        <v>66</v>
      </c>
      <c r="Y188" t="s">
        <v>66</v>
      </c>
      <c r="Z188">
        <v>7</v>
      </c>
      <c r="AA188">
        <v>6</v>
      </c>
      <c r="AB188">
        <v>7</v>
      </c>
      <c r="AC188">
        <v>3</v>
      </c>
      <c r="AD188">
        <v>6</v>
      </c>
      <c r="AE188">
        <v>2</v>
      </c>
      <c r="AF188">
        <v>2</v>
      </c>
      <c r="AG188">
        <v>2</v>
      </c>
      <c r="AH188">
        <v>7</v>
      </c>
      <c r="AI188">
        <v>5</v>
      </c>
      <c r="AJ188">
        <v>1</v>
      </c>
      <c r="AK188">
        <v>4</v>
      </c>
      <c r="AL188">
        <v>2</v>
      </c>
      <c r="AM188">
        <v>4</v>
      </c>
      <c r="AN188">
        <v>106</v>
      </c>
      <c r="AO188">
        <v>4</v>
      </c>
      <c r="AP188">
        <v>5</v>
      </c>
      <c r="AQ188">
        <v>3</v>
      </c>
      <c r="AR188">
        <v>2</v>
      </c>
      <c r="AS188">
        <v>4</v>
      </c>
      <c r="AT188">
        <v>4</v>
      </c>
      <c r="AU188">
        <v>4</v>
      </c>
      <c r="AV188">
        <v>5</v>
      </c>
      <c r="AW188">
        <v>4</v>
      </c>
      <c r="AX188">
        <v>2</v>
      </c>
      <c r="AY188" cm="1">
        <f t="array" ref="AY188">_xlfn.IFS(AZ188="Positive",1, AZ188="Negative",1, AZ188="Neutral",0)</f>
        <v>0</v>
      </c>
      <c r="AZ188" t="str" cm="1">
        <f t="array" ref="AZ188">_xlfn.IFS(AX188=1,"Positive",AX188=2,"Neutral",AX188=3,"Negative")</f>
        <v>Neutral</v>
      </c>
      <c r="BA188">
        <v>30</v>
      </c>
      <c r="BB188">
        <v>1</v>
      </c>
      <c r="BC188" s="3">
        <v>20</v>
      </c>
      <c r="BD188" s="3">
        <v>0</v>
      </c>
      <c r="BE188" s="3">
        <v>5</v>
      </c>
      <c r="BF188" s="3">
        <v>5</v>
      </c>
      <c r="BG188" s="3">
        <v>0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 t="s">
        <v>567</v>
      </c>
      <c r="BT188">
        <v>2</v>
      </c>
      <c r="BU188" t="s">
        <v>569</v>
      </c>
      <c r="BV188" t="s">
        <v>340</v>
      </c>
    </row>
    <row r="189" spans="1:74" x14ac:dyDescent="0.2">
      <c r="A189">
        <v>195</v>
      </c>
      <c r="B189">
        <v>80</v>
      </c>
      <c r="C189" t="s">
        <v>157</v>
      </c>
      <c r="E189" t="s">
        <v>73</v>
      </c>
      <c r="F189">
        <v>10</v>
      </c>
      <c r="G189">
        <v>1999</v>
      </c>
      <c r="H189">
        <v>23</v>
      </c>
      <c r="I189" t="s">
        <v>64</v>
      </c>
      <c r="J189">
        <v>1</v>
      </c>
      <c r="K189" t="s">
        <v>651</v>
      </c>
      <c r="L189" t="s">
        <v>692</v>
      </c>
      <c r="M189">
        <v>11</v>
      </c>
      <c r="N189">
        <v>72</v>
      </c>
      <c r="O189" t="s">
        <v>408</v>
      </c>
      <c r="P189" t="s">
        <v>583</v>
      </c>
      <c r="Q189" t="s">
        <v>721</v>
      </c>
      <c r="R189" t="s">
        <v>772</v>
      </c>
      <c r="S189" t="s">
        <v>514</v>
      </c>
      <c r="T189" t="s">
        <v>379</v>
      </c>
      <c r="U189" t="s">
        <v>412</v>
      </c>
      <c r="V189" t="s">
        <v>584</v>
      </c>
      <c r="W189" t="s">
        <v>194</v>
      </c>
      <c r="X189" t="s">
        <v>66</v>
      </c>
      <c r="Y189" t="s">
        <v>66</v>
      </c>
      <c r="Z189">
        <v>7</v>
      </c>
      <c r="AA189">
        <v>7</v>
      </c>
      <c r="AB189">
        <v>7</v>
      </c>
      <c r="AC189">
        <v>7</v>
      </c>
      <c r="AD189">
        <v>7</v>
      </c>
      <c r="AE189">
        <v>7</v>
      </c>
      <c r="AF189">
        <v>7</v>
      </c>
      <c r="AG189">
        <v>1</v>
      </c>
      <c r="AH189">
        <v>7</v>
      </c>
      <c r="AI189">
        <v>7</v>
      </c>
      <c r="AJ189">
        <v>1</v>
      </c>
      <c r="AK189">
        <v>7</v>
      </c>
      <c r="AL189">
        <v>7</v>
      </c>
      <c r="AM189">
        <v>7</v>
      </c>
      <c r="AN189">
        <v>177</v>
      </c>
      <c r="AO189">
        <v>6</v>
      </c>
      <c r="AP189">
        <v>1</v>
      </c>
      <c r="AQ189">
        <v>4</v>
      </c>
      <c r="AR189">
        <v>6</v>
      </c>
      <c r="AS189">
        <v>6</v>
      </c>
      <c r="AT189">
        <v>6</v>
      </c>
      <c r="AU189">
        <v>6</v>
      </c>
      <c r="AV189">
        <v>7</v>
      </c>
      <c r="AW189">
        <v>7</v>
      </c>
      <c r="AX189">
        <v>1</v>
      </c>
      <c r="AY189" cm="1">
        <f t="array" ref="AY189">_xlfn.IFS(AZ189="Positive",1, AZ189="Negative",1, AZ189="Neutral",0)</f>
        <v>1</v>
      </c>
      <c r="AZ189" t="str" cm="1">
        <f t="array" ref="AZ189">_xlfn.IFS(AX189=1,"Positive",AX189=2,"Neutral",AX189=3,"Negative")</f>
        <v>Positive</v>
      </c>
      <c r="BA189">
        <v>0</v>
      </c>
      <c r="BB189">
        <v>3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>
        <v>0</v>
      </c>
      <c r="BI189">
        <v>0</v>
      </c>
      <c r="BJ189">
        <v>0</v>
      </c>
      <c r="BK189">
        <v>0</v>
      </c>
      <c r="BL189">
        <v>3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4</v>
      </c>
      <c r="BT189" t="s">
        <v>492</v>
      </c>
      <c r="BU189" t="s">
        <v>370</v>
      </c>
      <c r="BV189" t="s">
        <v>494</v>
      </c>
    </row>
    <row r="190" spans="1:74" x14ac:dyDescent="0.2">
      <c r="A190">
        <v>196</v>
      </c>
      <c r="B190">
        <v>81</v>
      </c>
      <c r="C190" t="s">
        <v>158</v>
      </c>
      <c r="E190" t="s">
        <v>97</v>
      </c>
      <c r="F190">
        <v>10</v>
      </c>
      <c r="G190">
        <v>2000</v>
      </c>
      <c r="H190">
        <v>22</v>
      </c>
      <c r="I190" t="s">
        <v>69</v>
      </c>
      <c r="J190">
        <v>2</v>
      </c>
      <c r="K190" t="s">
        <v>517</v>
      </c>
      <c r="L190" t="s">
        <v>693</v>
      </c>
      <c r="M190">
        <v>2</v>
      </c>
      <c r="N190">
        <v>49</v>
      </c>
      <c r="O190" t="s">
        <v>585</v>
      </c>
      <c r="P190" t="s">
        <v>277</v>
      </c>
      <c r="Q190" t="s">
        <v>744</v>
      </c>
      <c r="R190" t="s">
        <v>773</v>
      </c>
      <c r="S190" t="s">
        <v>281</v>
      </c>
      <c r="T190" t="s">
        <v>491</v>
      </c>
      <c r="U190" t="s">
        <v>587</v>
      </c>
      <c r="V190" t="s">
        <v>535</v>
      </c>
      <c r="W190" t="s">
        <v>194</v>
      </c>
      <c r="X190" t="s">
        <v>66</v>
      </c>
      <c r="Y190" t="s">
        <v>66</v>
      </c>
      <c r="Z190">
        <v>7</v>
      </c>
      <c r="AA190">
        <v>3</v>
      </c>
      <c r="AB190">
        <v>7</v>
      </c>
      <c r="AC190">
        <v>4</v>
      </c>
      <c r="AD190">
        <v>1</v>
      </c>
      <c r="AE190">
        <v>2</v>
      </c>
      <c r="AF190">
        <v>7</v>
      </c>
      <c r="AG190">
        <v>1</v>
      </c>
      <c r="AH190">
        <v>3</v>
      </c>
      <c r="AI190">
        <v>6</v>
      </c>
      <c r="AJ190">
        <v>1</v>
      </c>
      <c r="AK190">
        <v>4</v>
      </c>
      <c r="AL190">
        <v>4</v>
      </c>
      <c r="AM190">
        <v>3</v>
      </c>
      <c r="AN190">
        <v>144</v>
      </c>
      <c r="AO190">
        <v>2</v>
      </c>
      <c r="AP190">
        <v>4</v>
      </c>
      <c r="AQ190">
        <v>3</v>
      </c>
      <c r="AR190">
        <v>7</v>
      </c>
      <c r="AS190">
        <v>7</v>
      </c>
      <c r="AT190">
        <v>4</v>
      </c>
      <c r="AU190">
        <v>7</v>
      </c>
      <c r="AV190">
        <v>3</v>
      </c>
      <c r="AW190">
        <v>5</v>
      </c>
      <c r="AX190">
        <v>2</v>
      </c>
      <c r="AY190" cm="1">
        <f t="array" ref="AY190">_xlfn.IFS(AZ190="Positive",1, AZ190="Negative",1, AZ190="Neutral",0)</f>
        <v>0</v>
      </c>
      <c r="AZ190" t="str" cm="1">
        <f t="array" ref="AZ190">_xlfn.IFS(AX190=1,"Positive",AX190=2,"Neutral",AX190=3,"Negative")</f>
        <v>Neutral</v>
      </c>
      <c r="BA190">
        <v>0</v>
      </c>
      <c r="BB190">
        <v>8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>
        <v>0</v>
      </c>
      <c r="BI190">
        <v>0</v>
      </c>
      <c r="BJ190">
        <v>6</v>
      </c>
      <c r="BK190">
        <v>0</v>
      </c>
      <c r="BL190">
        <v>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1</v>
      </c>
      <c r="BS190" t="s">
        <v>492</v>
      </c>
      <c r="BT190" t="s">
        <v>345</v>
      </c>
      <c r="BU190" t="s">
        <v>586</v>
      </c>
      <c r="BV190" t="s">
        <v>348</v>
      </c>
    </row>
    <row r="191" spans="1:74" hidden="1" x14ac:dyDescent="0.2">
      <c r="A191">
        <v>197</v>
      </c>
      <c r="B191">
        <v>82</v>
      </c>
      <c r="C191" t="s">
        <v>159</v>
      </c>
      <c r="E191" t="s">
        <v>78</v>
      </c>
      <c r="F191">
        <v>11</v>
      </c>
      <c r="G191">
        <v>2000</v>
      </c>
      <c r="H191">
        <v>22</v>
      </c>
      <c r="I191" t="s">
        <v>69</v>
      </c>
      <c r="J191">
        <v>2</v>
      </c>
      <c r="K191" t="s">
        <v>694</v>
      </c>
      <c r="L191" t="s">
        <v>660</v>
      </c>
      <c r="M191">
        <v>16</v>
      </c>
      <c r="N191">
        <v>55</v>
      </c>
      <c r="O191" t="s">
        <v>572</v>
      </c>
      <c r="P191" t="s">
        <v>338</v>
      </c>
      <c r="Q191" t="s">
        <v>774</v>
      </c>
      <c r="R191" t="s">
        <v>733</v>
      </c>
      <c r="S191" t="s">
        <v>588</v>
      </c>
      <c r="T191" t="s">
        <v>404</v>
      </c>
      <c r="U191" t="s">
        <v>589</v>
      </c>
      <c r="V191" t="s">
        <v>504</v>
      </c>
      <c r="W191" t="s">
        <v>194</v>
      </c>
      <c r="X191" t="s">
        <v>66</v>
      </c>
      <c r="Y191" t="s">
        <v>66</v>
      </c>
      <c r="Z191">
        <v>7</v>
      </c>
      <c r="AA191">
        <v>3</v>
      </c>
      <c r="AB191">
        <v>4</v>
      </c>
      <c r="AC191">
        <v>2</v>
      </c>
      <c r="AD191">
        <v>1</v>
      </c>
      <c r="AE191">
        <v>4</v>
      </c>
      <c r="AF191">
        <v>2</v>
      </c>
      <c r="AG191">
        <v>6</v>
      </c>
      <c r="AH191">
        <v>3</v>
      </c>
      <c r="AI191">
        <v>2</v>
      </c>
      <c r="AJ191">
        <v>4</v>
      </c>
      <c r="AK191">
        <v>3</v>
      </c>
      <c r="AL191">
        <v>2</v>
      </c>
      <c r="AM191">
        <v>5</v>
      </c>
      <c r="AN191">
        <v>122</v>
      </c>
      <c r="AO191">
        <v>3</v>
      </c>
      <c r="AP191">
        <v>5</v>
      </c>
      <c r="AQ191">
        <v>4</v>
      </c>
      <c r="AR191">
        <v>3</v>
      </c>
      <c r="AS191">
        <v>2</v>
      </c>
      <c r="AT191">
        <v>2</v>
      </c>
      <c r="AU191">
        <v>3</v>
      </c>
      <c r="AV191">
        <v>3</v>
      </c>
      <c r="AW191">
        <v>2</v>
      </c>
      <c r="AX191">
        <v>2</v>
      </c>
      <c r="AY191" cm="1">
        <f t="array" ref="AY191">_xlfn.IFS(AZ191="Positive",1, AZ191="Negative",1, AZ191="Neutral",0)</f>
        <v>0</v>
      </c>
      <c r="AZ191" t="str" cm="1">
        <f t="array" ref="AZ191">_xlfn.IFS(AX191=1,"Positive",AX191=2,"Neutral",AX191=3,"Negative")</f>
        <v>Neutral</v>
      </c>
      <c r="BA191">
        <v>8</v>
      </c>
      <c r="BB191">
        <v>0</v>
      </c>
      <c r="BC191" s="3">
        <v>6</v>
      </c>
      <c r="BD191" s="3">
        <v>0</v>
      </c>
      <c r="BE191" s="3">
        <v>1</v>
      </c>
      <c r="BF191" s="3">
        <v>1</v>
      </c>
      <c r="BG191" s="3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 t="s">
        <v>295</v>
      </c>
      <c r="BT191" t="s">
        <v>367</v>
      </c>
      <c r="BU191" t="s">
        <v>299</v>
      </c>
      <c r="BV191" t="s">
        <v>371</v>
      </c>
    </row>
    <row r="192" spans="1:74" hidden="1" x14ac:dyDescent="0.2">
      <c r="A192">
        <v>198</v>
      </c>
      <c r="B192">
        <v>83</v>
      </c>
      <c r="C192" t="s">
        <v>160</v>
      </c>
      <c r="E192" t="s">
        <v>68</v>
      </c>
      <c r="F192">
        <v>23</v>
      </c>
      <c r="G192">
        <v>1998</v>
      </c>
      <c r="H192">
        <v>24</v>
      </c>
      <c r="I192" t="s">
        <v>69</v>
      </c>
      <c r="J192">
        <v>2</v>
      </c>
      <c r="K192" t="s">
        <v>694</v>
      </c>
      <c r="L192" t="s">
        <v>662</v>
      </c>
      <c r="M192">
        <v>10</v>
      </c>
      <c r="N192">
        <v>68</v>
      </c>
      <c r="O192" t="s">
        <v>565</v>
      </c>
      <c r="P192" t="s">
        <v>314</v>
      </c>
      <c r="Q192" t="s">
        <v>774</v>
      </c>
      <c r="R192" t="s">
        <v>735</v>
      </c>
      <c r="S192" t="s">
        <v>378</v>
      </c>
      <c r="T192" t="s">
        <v>487</v>
      </c>
      <c r="U192" t="s">
        <v>566</v>
      </c>
      <c r="V192" t="s">
        <v>351</v>
      </c>
      <c r="W192" t="s">
        <v>194</v>
      </c>
      <c r="X192" t="s">
        <v>66</v>
      </c>
      <c r="Y192" t="s">
        <v>66</v>
      </c>
      <c r="Z192">
        <v>7</v>
      </c>
      <c r="AA192">
        <v>4</v>
      </c>
      <c r="AB192">
        <v>7</v>
      </c>
      <c r="AC192">
        <v>3</v>
      </c>
      <c r="AD192">
        <v>5</v>
      </c>
      <c r="AE192">
        <v>5</v>
      </c>
      <c r="AF192">
        <v>1</v>
      </c>
      <c r="AG192">
        <v>1</v>
      </c>
      <c r="AH192">
        <v>4</v>
      </c>
      <c r="AI192">
        <v>5</v>
      </c>
      <c r="AJ192">
        <v>1</v>
      </c>
      <c r="AK192">
        <v>4</v>
      </c>
      <c r="AL192">
        <v>2</v>
      </c>
      <c r="AM192">
        <v>3</v>
      </c>
      <c r="AN192">
        <v>170</v>
      </c>
      <c r="AO192">
        <v>1</v>
      </c>
      <c r="AP192">
        <v>2</v>
      </c>
      <c r="AQ192">
        <v>2</v>
      </c>
      <c r="AR192">
        <v>2</v>
      </c>
      <c r="AS192">
        <v>5</v>
      </c>
      <c r="AT192">
        <v>2</v>
      </c>
      <c r="AU192">
        <v>4</v>
      </c>
      <c r="AV192">
        <v>6</v>
      </c>
      <c r="AW192">
        <v>4</v>
      </c>
      <c r="AX192">
        <v>1</v>
      </c>
      <c r="AY192" cm="1">
        <f t="array" ref="AY192">_xlfn.IFS(AZ192="Positive",1, AZ192="Negative",1, AZ192="Neutral",0)</f>
        <v>1</v>
      </c>
      <c r="AZ192" t="str" cm="1">
        <f t="array" ref="AZ192">_xlfn.IFS(AX192=1,"Positive",AX192=2,"Neutral",AX192=3,"Negative")</f>
        <v>Positive</v>
      </c>
      <c r="BA192">
        <v>8</v>
      </c>
      <c r="BB192">
        <v>8</v>
      </c>
      <c r="BC192" s="3">
        <v>5</v>
      </c>
      <c r="BD192" s="3">
        <v>0</v>
      </c>
      <c r="BE192" s="3">
        <v>1</v>
      </c>
      <c r="BF192" s="3">
        <v>1</v>
      </c>
      <c r="BG192" s="3">
        <v>1</v>
      </c>
      <c r="BH192">
        <v>0</v>
      </c>
      <c r="BI192">
        <v>0</v>
      </c>
      <c r="BJ192">
        <v>1</v>
      </c>
      <c r="BK192">
        <v>0</v>
      </c>
      <c r="BL192">
        <v>3</v>
      </c>
      <c r="BM192">
        <v>0</v>
      </c>
      <c r="BN192">
        <v>0</v>
      </c>
      <c r="BO192">
        <v>0</v>
      </c>
      <c r="BP192">
        <v>0</v>
      </c>
      <c r="BQ192">
        <v>4</v>
      </c>
      <c r="BR192">
        <v>0</v>
      </c>
      <c r="BS192" t="s">
        <v>295</v>
      </c>
      <c r="BT192">
        <v>4</v>
      </c>
      <c r="BU192" t="s">
        <v>299</v>
      </c>
      <c r="BV192" t="s">
        <v>590</v>
      </c>
    </row>
    <row r="193" spans="1:74" hidden="1" x14ac:dyDescent="0.2">
      <c r="A193">
        <v>199</v>
      </c>
      <c r="B193">
        <v>84</v>
      </c>
      <c r="C193" t="s">
        <v>161</v>
      </c>
      <c r="E193" t="s">
        <v>71</v>
      </c>
      <c r="F193">
        <v>7</v>
      </c>
      <c r="G193">
        <v>2001</v>
      </c>
      <c r="H193">
        <v>21</v>
      </c>
      <c r="I193" t="s">
        <v>69</v>
      </c>
      <c r="J193">
        <v>2</v>
      </c>
      <c r="K193" t="s">
        <v>667</v>
      </c>
      <c r="L193" t="s">
        <v>689</v>
      </c>
      <c r="M193">
        <v>12</v>
      </c>
      <c r="N193">
        <v>46</v>
      </c>
      <c r="O193" t="s">
        <v>481</v>
      </c>
      <c r="P193" t="s">
        <v>369</v>
      </c>
      <c r="Q193" t="s">
        <v>741</v>
      </c>
      <c r="R193" t="s">
        <v>769</v>
      </c>
      <c r="S193" t="s">
        <v>499</v>
      </c>
      <c r="T193" t="s">
        <v>457</v>
      </c>
      <c r="U193" t="s">
        <v>593</v>
      </c>
      <c r="V193" t="s">
        <v>374</v>
      </c>
      <c r="W193" t="s">
        <v>194</v>
      </c>
      <c r="X193" t="s">
        <v>66</v>
      </c>
      <c r="Y193" t="s">
        <v>66</v>
      </c>
      <c r="Z193">
        <v>7</v>
      </c>
      <c r="AA193">
        <v>4</v>
      </c>
      <c r="AB193">
        <v>6</v>
      </c>
      <c r="AC193">
        <v>3</v>
      </c>
      <c r="AD193">
        <v>2</v>
      </c>
      <c r="AE193">
        <v>6</v>
      </c>
      <c r="AF193">
        <v>2</v>
      </c>
      <c r="AG193">
        <v>4</v>
      </c>
      <c r="AH193">
        <v>4</v>
      </c>
      <c r="AI193">
        <v>3</v>
      </c>
      <c r="AJ193">
        <v>6</v>
      </c>
      <c r="AK193">
        <v>4</v>
      </c>
      <c r="AL193">
        <v>3</v>
      </c>
      <c r="AM193">
        <v>4</v>
      </c>
      <c r="AN193">
        <v>100</v>
      </c>
      <c r="AO193">
        <v>1</v>
      </c>
      <c r="AP193">
        <v>6</v>
      </c>
      <c r="AQ193">
        <v>5</v>
      </c>
      <c r="AR193">
        <v>3</v>
      </c>
      <c r="AS193">
        <v>5</v>
      </c>
      <c r="AT193">
        <v>3</v>
      </c>
      <c r="AU193">
        <v>6</v>
      </c>
      <c r="AV193">
        <v>7</v>
      </c>
      <c r="AW193">
        <v>6</v>
      </c>
      <c r="AX193">
        <v>3</v>
      </c>
      <c r="AY193" cm="1">
        <f t="array" ref="AY193">_xlfn.IFS(AZ193="Positive",1, AZ193="Negative",1, AZ193="Neutral",0)</f>
        <v>1</v>
      </c>
      <c r="AZ193" t="str" cm="1">
        <f t="array" ref="AZ193">_xlfn.IFS(AX193=1,"Positive",AX193=2,"Neutral",AX193=3,"Negative")</f>
        <v>Negative</v>
      </c>
      <c r="BA193">
        <v>10</v>
      </c>
      <c r="BB193">
        <v>0</v>
      </c>
      <c r="BC193" s="3">
        <v>7</v>
      </c>
      <c r="BD193" s="3">
        <v>0</v>
      </c>
      <c r="BE193" s="3">
        <v>3</v>
      </c>
      <c r="BF193" s="3">
        <v>0</v>
      </c>
      <c r="BG193" s="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 t="s">
        <v>464</v>
      </c>
      <c r="BT193" t="s">
        <v>516</v>
      </c>
      <c r="BU193" t="s">
        <v>591</v>
      </c>
      <c r="BV193" t="s">
        <v>592</v>
      </c>
    </row>
    <row r="194" spans="1:74" hidden="1" x14ac:dyDescent="0.2">
      <c r="A194">
        <v>200</v>
      </c>
      <c r="B194">
        <v>85</v>
      </c>
      <c r="C194" t="s">
        <v>162</v>
      </c>
      <c r="E194" t="s">
        <v>97</v>
      </c>
      <c r="F194">
        <v>9</v>
      </c>
      <c r="G194">
        <v>1999</v>
      </c>
      <c r="H194">
        <v>23</v>
      </c>
      <c r="I194" t="s">
        <v>64</v>
      </c>
      <c r="J194">
        <v>1</v>
      </c>
      <c r="K194" t="s">
        <v>661</v>
      </c>
      <c r="L194" t="s">
        <v>647</v>
      </c>
      <c r="M194">
        <v>7</v>
      </c>
      <c r="N194">
        <v>75</v>
      </c>
      <c r="O194" t="s">
        <v>542</v>
      </c>
      <c r="P194" t="s">
        <v>542</v>
      </c>
      <c r="Q194" t="s">
        <v>734</v>
      </c>
      <c r="R194" t="s">
        <v>717</v>
      </c>
      <c r="S194" t="s">
        <v>430</v>
      </c>
      <c r="T194" t="s">
        <v>507</v>
      </c>
      <c r="U194" t="s">
        <v>552</v>
      </c>
      <c r="V194" t="s">
        <v>543</v>
      </c>
      <c r="W194" t="s">
        <v>194</v>
      </c>
      <c r="X194" t="s">
        <v>66</v>
      </c>
      <c r="Y194" t="s">
        <v>66</v>
      </c>
      <c r="Z194">
        <v>7</v>
      </c>
      <c r="AA194">
        <v>4</v>
      </c>
      <c r="AB194">
        <v>7</v>
      </c>
      <c r="AC194">
        <v>3</v>
      </c>
      <c r="AD194">
        <v>1</v>
      </c>
      <c r="AE194">
        <v>5</v>
      </c>
      <c r="AF194">
        <v>3</v>
      </c>
      <c r="AG194">
        <v>2</v>
      </c>
      <c r="AH194">
        <v>4</v>
      </c>
      <c r="AI194">
        <v>6</v>
      </c>
      <c r="AJ194">
        <v>3</v>
      </c>
      <c r="AK194">
        <v>4</v>
      </c>
      <c r="AL194">
        <v>6</v>
      </c>
      <c r="AM194">
        <v>1</v>
      </c>
      <c r="AN194">
        <v>1</v>
      </c>
      <c r="AO194">
        <v>2</v>
      </c>
      <c r="AP194">
        <v>2</v>
      </c>
      <c r="AQ194">
        <v>5</v>
      </c>
      <c r="AR194">
        <v>6</v>
      </c>
      <c r="AS194">
        <v>6</v>
      </c>
      <c r="AT194">
        <v>6</v>
      </c>
      <c r="AU194">
        <v>6</v>
      </c>
      <c r="AV194">
        <v>4</v>
      </c>
      <c r="AW194">
        <v>7</v>
      </c>
      <c r="AX194">
        <v>1</v>
      </c>
      <c r="AY194" cm="1">
        <f t="array" ref="AY194">_xlfn.IFS(AZ194="Positive",1, AZ194="Negative",1, AZ194="Neutral",0)</f>
        <v>1</v>
      </c>
      <c r="AZ194" t="str" cm="1">
        <f t="array" ref="AZ194">_xlfn.IFS(AX194=1,"Positive",AX194=2,"Neutral",AX194=3,"Negative")</f>
        <v>Positive</v>
      </c>
      <c r="BA194">
        <v>7</v>
      </c>
      <c r="BB194">
        <v>4</v>
      </c>
      <c r="BC194" s="3">
        <v>3</v>
      </c>
      <c r="BD194" s="3">
        <v>0</v>
      </c>
      <c r="BE194" s="3">
        <v>3</v>
      </c>
      <c r="BF194" s="3">
        <v>0</v>
      </c>
      <c r="BG194" s="3">
        <v>1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1</v>
      </c>
      <c r="BN194">
        <v>1</v>
      </c>
      <c r="BO194">
        <v>0</v>
      </c>
      <c r="BP194">
        <v>0</v>
      </c>
      <c r="BQ194">
        <v>0</v>
      </c>
      <c r="BR194">
        <v>1</v>
      </c>
      <c r="BS194" t="s">
        <v>567</v>
      </c>
      <c r="BT194" t="s">
        <v>475</v>
      </c>
      <c r="BU194" t="s">
        <v>569</v>
      </c>
      <c r="BV194" t="s">
        <v>476</v>
      </c>
    </row>
    <row r="195" spans="1:74" x14ac:dyDescent="0.2">
      <c r="A195">
        <v>201</v>
      </c>
      <c r="B195">
        <v>86</v>
      </c>
      <c r="C195" t="s">
        <v>163</v>
      </c>
      <c r="E195" t="s">
        <v>71</v>
      </c>
      <c r="F195">
        <v>10</v>
      </c>
      <c r="G195">
        <v>2000</v>
      </c>
      <c r="H195">
        <v>22</v>
      </c>
      <c r="I195" t="s">
        <v>164</v>
      </c>
      <c r="J195">
        <v>3</v>
      </c>
      <c r="K195" t="s">
        <v>694</v>
      </c>
      <c r="L195" t="s">
        <v>688</v>
      </c>
      <c r="M195">
        <v>5</v>
      </c>
      <c r="N195">
        <v>63</v>
      </c>
      <c r="O195" t="s">
        <v>353</v>
      </c>
      <c r="P195" t="s">
        <v>307</v>
      </c>
      <c r="Q195" t="s">
        <v>774</v>
      </c>
      <c r="R195" t="s">
        <v>768</v>
      </c>
      <c r="S195" t="s">
        <v>318</v>
      </c>
      <c r="T195" t="s">
        <v>477</v>
      </c>
      <c r="U195" t="s">
        <v>358</v>
      </c>
      <c r="V195" t="s">
        <v>312</v>
      </c>
      <c r="W195" t="s">
        <v>194</v>
      </c>
      <c r="X195" t="s">
        <v>66</v>
      </c>
      <c r="Y195" t="s">
        <v>66</v>
      </c>
      <c r="Z195">
        <v>7</v>
      </c>
      <c r="AA195">
        <v>7</v>
      </c>
      <c r="AB195">
        <v>7</v>
      </c>
      <c r="AC195">
        <v>4</v>
      </c>
      <c r="AD195">
        <v>2</v>
      </c>
      <c r="AE195">
        <v>7</v>
      </c>
      <c r="AF195">
        <v>3</v>
      </c>
      <c r="AG195">
        <v>2</v>
      </c>
      <c r="AH195">
        <v>7</v>
      </c>
      <c r="AI195">
        <v>5</v>
      </c>
      <c r="AJ195">
        <v>1</v>
      </c>
      <c r="AK195">
        <v>6</v>
      </c>
      <c r="AL195">
        <v>5</v>
      </c>
      <c r="AM195">
        <v>4</v>
      </c>
      <c r="AN195">
        <v>85</v>
      </c>
      <c r="AO195">
        <v>1</v>
      </c>
      <c r="AP195">
        <v>1</v>
      </c>
      <c r="AQ195">
        <v>1</v>
      </c>
      <c r="AR195">
        <v>5</v>
      </c>
      <c r="AS195">
        <v>1</v>
      </c>
      <c r="AT195">
        <v>4</v>
      </c>
      <c r="AU195">
        <v>6</v>
      </c>
      <c r="AV195">
        <v>6</v>
      </c>
      <c r="AW195">
        <v>6</v>
      </c>
      <c r="AX195">
        <v>1</v>
      </c>
      <c r="AY195" cm="1">
        <f t="array" ref="AY195">_xlfn.IFS(AZ195="Positive",1, AZ195="Negative",1, AZ195="Neutral",0)</f>
        <v>1</v>
      </c>
      <c r="AZ195" t="str" cm="1">
        <f t="array" ref="AZ195">_xlfn.IFS(AX195=1,"Positive",AX195=2,"Neutral",AX195=3,"Negative")</f>
        <v>Positive</v>
      </c>
      <c r="BA195">
        <v>0</v>
      </c>
      <c r="BB195">
        <v>1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 t="s">
        <v>295</v>
      </c>
      <c r="BT195" t="s">
        <v>480</v>
      </c>
      <c r="BU195" t="s">
        <v>299</v>
      </c>
      <c r="BV195" t="s">
        <v>482</v>
      </c>
    </row>
    <row r="196" spans="1:74" hidden="1" x14ac:dyDescent="0.2">
      <c r="A196">
        <v>202</v>
      </c>
      <c r="B196">
        <v>87</v>
      </c>
      <c r="C196" t="s">
        <v>165</v>
      </c>
      <c r="E196" t="s">
        <v>68</v>
      </c>
      <c r="F196">
        <v>8</v>
      </c>
      <c r="G196">
        <v>1999</v>
      </c>
      <c r="H196">
        <v>23</v>
      </c>
      <c r="I196" t="s">
        <v>64</v>
      </c>
      <c r="J196">
        <v>1</v>
      </c>
      <c r="K196" t="s">
        <v>678</v>
      </c>
      <c r="L196" t="s">
        <v>654</v>
      </c>
      <c r="M196">
        <v>14</v>
      </c>
      <c r="N196">
        <v>57</v>
      </c>
      <c r="O196">
        <v>7</v>
      </c>
      <c r="P196">
        <v>7</v>
      </c>
      <c r="Q196" t="s">
        <v>757</v>
      </c>
      <c r="R196" t="s">
        <v>728</v>
      </c>
      <c r="S196" t="s">
        <v>550</v>
      </c>
      <c r="T196" t="s">
        <v>575</v>
      </c>
      <c r="U196" t="s">
        <v>508</v>
      </c>
      <c r="V196" t="s">
        <v>594</v>
      </c>
      <c r="W196" t="s">
        <v>194</v>
      </c>
      <c r="X196" t="s">
        <v>66</v>
      </c>
      <c r="Y196" t="s">
        <v>66</v>
      </c>
      <c r="Z196">
        <v>7</v>
      </c>
      <c r="AA196">
        <v>7</v>
      </c>
      <c r="AB196">
        <v>7</v>
      </c>
      <c r="AC196">
        <v>5</v>
      </c>
      <c r="AD196">
        <v>3</v>
      </c>
      <c r="AE196">
        <v>7</v>
      </c>
      <c r="AF196">
        <v>1</v>
      </c>
      <c r="AG196">
        <v>1</v>
      </c>
      <c r="AH196">
        <v>7</v>
      </c>
      <c r="AI196">
        <v>6</v>
      </c>
      <c r="AJ196">
        <v>2</v>
      </c>
      <c r="AK196">
        <v>6</v>
      </c>
      <c r="AL196">
        <v>4</v>
      </c>
      <c r="AM196">
        <v>5</v>
      </c>
      <c r="AN196">
        <v>1</v>
      </c>
      <c r="AO196">
        <v>5</v>
      </c>
      <c r="AP196">
        <v>4</v>
      </c>
      <c r="AQ196">
        <v>5</v>
      </c>
      <c r="AR196">
        <v>7</v>
      </c>
      <c r="AS196">
        <v>7</v>
      </c>
      <c r="AT196">
        <v>7</v>
      </c>
      <c r="AU196">
        <v>7</v>
      </c>
      <c r="AV196">
        <v>7</v>
      </c>
      <c r="AW196">
        <v>7</v>
      </c>
      <c r="AX196">
        <v>2</v>
      </c>
      <c r="AY196" cm="1">
        <f t="array" ref="AY196">_xlfn.IFS(AZ196="Positive",1, AZ196="Negative",1, AZ196="Neutral",0)</f>
        <v>0</v>
      </c>
      <c r="AZ196" t="str" cm="1">
        <f t="array" ref="AZ196">_xlfn.IFS(AX196=1,"Positive",AX196=2,"Neutral",AX196=3,"Negative")</f>
        <v>Neutral</v>
      </c>
      <c r="BA196">
        <v>11</v>
      </c>
      <c r="BB196">
        <v>0</v>
      </c>
      <c r="BC196" s="3">
        <v>6</v>
      </c>
      <c r="BD196" s="3">
        <v>1</v>
      </c>
      <c r="BE196" s="3">
        <v>2</v>
      </c>
      <c r="BF196" s="3">
        <v>1</v>
      </c>
      <c r="BG196" s="3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 t="s">
        <v>405</v>
      </c>
      <c r="BT196" t="s">
        <v>276</v>
      </c>
      <c r="BU196" t="s">
        <v>406</v>
      </c>
      <c r="BV196" t="s">
        <v>280</v>
      </c>
    </row>
    <row r="197" spans="1:74" x14ac:dyDescent="0.2">
      <c r="A197">
        <v>203</v>
      </c>
      <c r="B197">
        <v>88</v>
      </c>
      <c r="C197" t="s">
        <v>166</v>
      </c>
      <c r="E197" t="s">
        <v>82</v>
      </c>
      <c r="F197">
        <v>1</v>
      </c>
      <c r="G197">
        <v>2000</v>
      </c>
      <c r="H197">
        <v>22</v>
      </c>
      <c r="I197" t="s">
        <v>64</v>
      </c>
      <c r="J197">
        <v>1</v>
      </c>
      <c r="K197" t="s">
        <v>644</v>
      </c>
      <c r="L197" t="s">
        <v>679</v>
      </c>
      <c r="M197">
        <v>11</v>
      </c>
      <c r="N197">
        <v>59</v>
      </c>
      <c r="O197" t="s">
        <v>394</v>
      </c>
      <c r="P197" t="s">
        <v>481</v>
      </c>
      <c r="Q197" t="s">
        <v>714</v>
      </c>
      <c r="R197" t="s">
        <v>758</v>
      </c>
      <c r="S197" t="s">
        <v>514</v>
      </c>
      <c r="T197" t="s">
        <v>341</v>
      </c>
      <c r="U197" t="s">
        <v>478</v>
      </c>
      <c r="V197" t="s">
        <v>483</v>
      </c>
      <c r="W197" t="s">
        <v>194</v>
      </c>
      <c r="X197" t="s">
        <v>66</v>
      </c>
      <c r="Y197" t="s">
        <v>66</v>
      </c>
      <c r="Z197">
        <v>7</v>
      </c>
      <c r="AA197">
        <v>6</v>
      </c>
      <c r="AB197">
        <v>4</v>
      </c>
      <c r="AC197">
        <v>2</v>
      </c>
      <c r="AD197">
        <v>1</v>
      </c>
      <c r="AE197">
        <v>1</v>
      </c>
      <c r="AF197">
        <v>6</v>
      </c>
      <c r="AG197">
        <v>4</v>
      </c>
      <c r="AH197">
        <v>3</v>
      </c>
      <c r="AI197">
        <v>4</v>
      </c>
      <c r="AJ197">
        <v>4</v>
      </c>
      <c r="AK197">
        <v>4</v>
      </c>
      <c r="AL197">
        <v>2</v>
      </c>
      <c r="AM197">
        <v>1</v>
      </c>
      <c r="AN197">
        <v>24</v>
      </c>
      <c r="AO197">
        <v>1</v>
      </c>
      <c r="AP197">
        <v>3</v>
      </c>
      <c r="AQ197">
        <v>2</v>
      </c>
      <c r="AR197">
        <v>1</v>
      </c>
      <c r="AS197">
        <v>2</v>
      </c>
      <c r="AT197">
        <v>2</v>
      </c>
      <c r="AU197">
        <v>2</v>
      </c>
      <c r="AV197">
        <v>2</v>
      </c>
      <c r="AW197">
        <v>2</v>
      </c>
      <c r="AX197">
        <v>2</v>
      </c>
      <c r="AY197" cm="1">
        <f t="array" ref="AY197">_xlfn.IFS(AZ197="Positive",1, AZ197="Negative",1, AZ197="Neutral",0)</f>
        <v>0</v>
      </c>
      <c r="AZ197" t="str" cm="1">
        <f t="array" ref="AZ197">_xlfn.IFS(AX197=1,"Positive",AX197=2,"Neutral",AX197=3,"Negative")</f>
        <v>Neutral</v>
      </c>
      <c r="BA197">
        <v>0</v>
      </c>
      <c r="BB197">
        <v>5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>
        <v>0</v>
      </c>
      <c r="BI197">
        <v>1</v>
      </c>
      <c r="BJ197">
        <v>3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 t="s">
        <v>296</v>
      </c>
      <c r="BT197" t="s">
        <v>595</v>
      </c>
      <c r="BU197" t="s">
        <v>362</v>
      </c>
      <c r="BV197" t="s">
        <v>596</v>
      </c>
    </row>
    <row r="198" spans="1:74" hidden="1" x14ac:dyDescent="0.2">
      <c r="A198">
        <v>204</v>
      </c>
      <c r="B198">
        <v>89</v>
      </c>
      <c r="C198" t="s">
        <v>167</v>
      </c>
      <c r="E198" t="s">
        <v>88</v>
      </c>
      <c r="F198">
        <v>1</v>
      </c>
      <c r="G198">
        <v>2000</v>
      </c>
      <c r="H198">
        <v>22</v>
      </c>
      <c r="I198" t="s">
        <v>64</v>
      </c>
      <c r="J198">
        <v>1</v>
      </c>
      <c r="K198" t="s">
        <v>655</v>
      </c>
      <c r="L198" t="s">
        <v>647</v>
      </c>
      <c r="M198">
        <v>4</v>
      </c>
      <c r="N198">
        <v>69</v>
      </c>
      <c r="O198" t="s">
        <v>325</v>
      </c>
      <c r="P198" t="s">
        <v>307</v>
      </c>
      <c r="Q198" t="s">
        <v>725</v>
      </c>
      <c r="R198" t="s">
        <v>717</v>
      </c>
      <c r="S198" t="s">
        <v>396</v>
      </c>
      <c r="T198" t="s">
        <v>357</v>
      </c>
      <c r="U198" t="s">
        <v>597</v>
      </c>
      <c r="V198" t="s">
        <v>312</v>
      </c>
      <c r="W198" t="s">
        <v>194</v>
      </c>
      <c r="X198" t="s">
        <v>66</v>
      </c>
      <c r="Y198" t="s">
        <v>66</v>
      </c>
      <c r="Z198">
        <v>7</v>
      </c>
      <c r="AA198">
        <v>5</v>
      </c>
      <c r="AB198">
        <v>5</v>
      </c>
      <c r="AC198">
        <v>3</v>
      </c>
      <c r="AD198">
        <v>5</v>
      </c>
      <c r="AE198">
        <v>1</v>
      </c>
      <c r="AF198">
        <v>4</v>
      </c>
      <c r="AG198">
        <v>1</v>
      </c>
      <c r="AH198">
        <v>7</v>
      </c>
      <c r="AI198">
        <v>7</v>
      </c>
      <c r="AJ198">
        <v>1</v>
      </c>
      <c r="AK198">
        <v>6</v>
      </c>
      <c r="AL198">
        <v>5</v>
      </c>
      <c r="AM198">
        <v>7</v>
      </c>
      <c r="AN198">
        <v>34</v>
      </c>
      <c r="AO198">
        <v>2</v>
      </c>
      <c r="AP198">
        <v>1</v>
      </c>
      <c r="AQ198">
        <v>3</v>
      </c>
      <c r="AR198">
        <v>4</v>
      </c>
      <c r="AS198">
        <v>6</v>
      </c>
      <c r="AT198">
        <v>5</v>
      </c>
      <c r="AU198">
        <v>6</v>
      </c>
      <c r="AV198">
        <v>5</v>
      </c>
      <c r="AW198">
        <v>7</v>
      </c>
      <c r="AX198">
        <v>1</v>
      </c>
      <c r="AY198" cm="1">
        <f t="array" ref="AY198">_xlfn.IFS(AZ198="Positive",1, AZ198="Negative",1, AZ198="Neutral",0)</f>
        <v>1</v>
      </c>
      <c r="AZ198" t="str" cm="1">
        <f t="array" ref="AZ198">_xlfn.IFS(AX198=1,"Positive",AX198=2,"Neutral",AX198=3,"Negative")</f>
        <v>Positive</v>
      </c>
      <c r="BA198">
        <v>4</v>
      </c>
      <c r="BB198">
        <v>1</v>
      </c>
      <c r="BC198" s="3">
        <v>4</v>
      </c>
      <c r="BD198" s="3">
        <v>0</v>
      </c>
      <c r="BE198" s="3">
        <v>0</v>
      </c>
      <c r="BF198" s="3">
        <v>0</v>
      </c>
      <c r="BG198" s="3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0</v>
      </c>
      <c r="BS198" t="s">
        <v>567</v>
      </c>
      <c r="BT198" t="s">
        <v>475</v>
      </c>
      <c r="BU198" t="s">
        <v>569</v>
      </c>
      <c r="BV198" t="s">
        <v>476</v>
      </c>
    </row>
    <row r="199" spans="1:74" hidden="1" x14ac:dyDescent="0.2">
      <c r="A199">
        <v>205</v>
      </c>
      <c r="B199">
        <v>90</v>
      </c>
      <c r="C199" t="s">
        <v>168</v>
      </c>
      <c r="E199" t="s">
        <v>88</v>
      </c>
      <c r="F199">
        <v>18</v>
      </c>
      <c r="G199">
        <v>1999</v>
      </c>
      <c r="H199">
        <v>23</v>
      </c>
      <c r="I199" t="s">
        <v>64</v>
      </c>
      <c r="J199">
        <v>1</v>
      </c>
      <c r="K199" t="s">
        <v>637</v>
      </c>
      <c r="L199" t="s">
        <v>647</v>
      </c>
      <c r="M199">
        <v>16</v>
      </c>
      <c r="N199">
        <v>53</v>
      </c>
      <c r="O199" t="s">
        <v>598</v>
      </c>
      <c r="P199" t="s">
        <v>481</v>
      </c>
      <c r="Q199" t="s">
        <v>706</v>
      </c>
      <c r="R199" t="s">
        <v>717</v>
      </c>
      <c r="S199" t="s">
        <v>588</v>
      </c>
      <c r="T199" t="s">
        <v>522</v>
      </c>
      <c r="U199" t="s">
        <v>599</v>
      </c>
      <c r="V199" t="s">
        <v>483</v>
      </c>
      <c r="W199" t="s">
        <v>194</v>
      </c>
      <c r="X199" t="s">
        <v>66</v>
      </c>
      <c r="Y199" t="s">
        <v>66</v>
      </c>
      <c r="Z199">
        <v>7</v>
      </c>
      <c r="AA199">
        <v>7</v>
      </c>
      <c r="AB199">
        <v>7</v>
      </c>
      <c r="AC199">
        <v>7</v>
      </c>
      <c r="AD199">
        <v>3</v>
      </c>
      <c r="AE199">
        <v>6</v>
      </c>
      <c r="AF199">
        <v>1</v>
      </c>
      <c r="AG199">
        <v>1</v>
      </c>
      <c r="AH199">
        <v>7</v>
      </c>
      <c r="AI199">
        <v>7</v>
      </c>
      <c r="AJ199">
        <v>1</v>
      </c>
      <c r="AK199">
        <v>7</v>
      </c>
      <c r="AL199">
        <v>5</v>
      </c>
      <c r="AM199">
        <v>6</v>
      </c>
      <c r="AN199">
        <v>12</v>
      </c>
      <c r="AO199">
        <v>1</v>
      </c>
      <c r="AP199">
        <v>1</v>
      </c>
      <c r="AQ199">
        <v>1</v>
      </c>
      <c r="AR199">
        <v>3</v>
      </c>
      <c r="AS199">
        <v>6</v>
      </c>
      <c r="AT199">
        <v>5</v>
      </c>
      <c r="AU199">
        <v>5</v>
      </c>
      <c r="AV199">
        <v>6</v>
      </c>
      <c r="AW199">
        <v>6</v>
      </c>
      <c r="AX199">
        <v>1</v>
      </c>
      <c r="AY199" cm="1">
        <f t="array" ref="AY199">_xlfn.IFS(AZ199="Positive",1, AZ199="Negative",1, AZ199="Neutral",0)</f>
        <v>1</v>
      </c>
      <c r="AZ199" t="str" cm="1">
        <f t="array" ref="AZ199">_xlfn.IFS(AX199=1,"Positive",AX199=2,"Neutral",AX199=3,"Negative")</f>
        <v>Positive</v>
      </c>
      <c r="BA199">
        <v>6</v>
      </c>
      <c r="BB199">
        <v>0</v>
      </c>
      <c r="BC199" s="3">
        <v>4</v>
      </c>
      <c r="BD199" s="3">
        <v>0</v>
      </c>
      <c r="BE199" s="3">
        <v>0</v>
      </c>
      <c r="BF199" s="3">
        <v>2</v>
      </c>
      <c r="BG199" s="3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 t="s">
        <v>285</v>
      </c>
      <c r="BT199" t="s">
        <v>548</v>
      </c>
      <c r="BU199" t="s">
        <v>289</v>
      </c>
      <c r="BV199" t="s">
        <v>549</v>
      </c>
    </row>
    <row r="200" spans="1:74" hidden="1" x14ac:dyDescent="0.2">
      <c r="A200">
        <v>207</v>
      </c>
      <c r="B200">
        <v>92</v>
      </c>
      <c r="C200" t="s">
        <v>170</v>
      </c>
      <c r="E200" t="s">
        <v>68</v>
      </c>
      <c r="F200">
        <v>24</v>
      </c>
      <c r="G200">
        <v>1999</v>
      </c>
      <c r="H200">
        <v>23</v>
      </c>
      <c r="I200" t="s">
        <v>69</v>
      </c>
      <c r="J200">
        <v>2</v>
      </c>
      <c r="K200" t="s">
        <v>687</v>
      </c>
      <c r="L200" t="s">
        <v>669</v>
      </c>
      <c r="M200">
        <v>6</v>
      </c>
      <c r="N200">
        <v>50</v>
      </c>
      <c r="O200" t="s">
        <v>360</v>
      </c>
      <c r="P200" t="s">
        <v>442</v>
      </c>
      <c r="Q200" t="s">
        <v>767</v>
      </c>
      <c r="R200" t="s">
        <v>745</v>
      </c>
      <c r="S200" t="s">
        <v>403</v>
      </c>
      <c r="T200" t="s">
        <v>538</v>
      </c>
      <c r="U200" t="s">
        <v>365</v>
      </c>
      <c r="V200" t="s">
        <v>602</v>
      </c>
      <c r="W200" t="s">
        <v>194</v>
      </c>
      <c r="X200" t="s">
        <v>66</v>
      </c>
      <c r="Y200" t="s">
        <v>66</v>
      </c>
      <c r="Z200">
        <v>7</v>
      </c>
      <c r="AA200">
        <v>6</v>
      </c>
      <c r="AB200">
        <v>7</v>
      </c>
      <c r="AC200">
        <v>7</v>
      </c>
      <c r="AD200">
        <v>7</v>
      </c>
      <c r="AE200">
        <v>4</v>
      </c>
      <c r="AF200">
        <v>1</v>
      </c>
      <c r="AG200">
        <v>1</v>
      </c>
      <c r="AH200">
        <v>6</v>
      </c>
      <c r="AI200">
        <v>7</v>
      </c>
      <c r="AJ200">
        <v>1</v>
      </c>
      <c r="AK200">
        <v>6</v>
      </c>
      <c r="AL200">
        <v>5</v>
      </c>
      <c r="AM200">
        <v>6</v>
      </c>
      <c r="AN200">
        <v>6</v>
      </c>
      <c r="AO200">
        <v>1</v>
      </c>
      <c r="AP200">
        <v>1</v>
      </c>
      <c r="AQ200">
        <v>3</v>
      </c>
      <c r="AR200">
        <v>7</v>
      </c>
      <c r="AS200">
        <v>7</v>
      </c>
      <c r="AT200">
        <v>7</v>
      </c>
      <c r="AU200">
        <v>7</v>
      </c>
      <c r="AV200">
        <v>7</v>
      </c>
      <c r="AW200">
        <v>7</v>
      </c>
      <c r="AX200">
        <v>1</v>
      </c>
      <c r="AY200" cm="1">
        <f t="array" ref="AY200">_xlfn.IFS(AZ200="Positive",1, AZ200="Negative",1, AZ200="Neutral",0)</f>
        <v>1</v>
      </c>
      <c r="AZ200" t="str" cm="1">
        <f t="array" ref="AZ200">_xlfn.IFS(AX200=1,"Positive",AX200=2,"Neutral",AX200=3,"Negative")</f>
        <v>Positive</v>
      </c>
      <c r="BA200">
        <v>12</v>
      </c>
      <c r="BB200">
        <v>0</v>
      </c>
      <c r="BC200" s="3">
        <v>7</v>
      </c>
      <c r="BD200" s="3">
        <v>1</v>
      </c>
      <c r="BE200" s="3">
        <v>4</v>
      </c>
      <c r="BF200" s="3">
        <v>0</v>
      </c>
      <c r="BG200" s="3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 t="s">
        <v>467</v>
      </c>
      <c r="BT200" t="s">
        <v>475</v>
      </c>
      <c r="BU200" t="s">
        <v>469</v>
      </c>
      <c r="BV200" t="s">
        <v>476</v>
      </c>
    </row>
    <row r="201" spans="1:74" x14ac:dyDescent="0.2">
      <c r="A201">
        <v>208</v>
      </c>
      <c r="B201">
        <v>93</v>
      </c>
      <c r="C201" t="s">
        <v>171</v>
      </c>
      <c r="E201" t="s">
        <v>82</v>
      </c>
      <c r="F201">
        <v>4</v>
      </c>
      <c r="G201">
        <v>1998</v>
      </c>
      <c r="H201">
        <v>24</v>
      </c>
      <c r="I201" t="s">
        <v>64</v>
      </c>
      <c r="J201">
        <v>1</v>
      </c>
      <c r="K201" t="s">
        <v>695</v>
      </c>
      <c r="L201" t="s">
        <v>675</v>
      </c>
      <c r="M201">
        <v>9</v>
      </c>
      <c r="N201">
        <v>62</v>
      </c>
      <c r="O201" t="s">
        <v>324</v>
      </c>
      <c r="P201" t="s">
        <v>389</v>
      </c>
      <c r="Q201" t="s">
        <v>781</v>
      </c>
      <c r="R201" t="s">
        <v>754</v>
      </c>
      <c r="S201" t="s">
        <v>349</v>
      </c>
      <c r="T201" t="s">
        <v>319</v>
      </c>
      <c r="U201" t="s">
        <v>330</v>
      </c>
      <c r="V201" t="s">
        <v>392</v>
      </c>
      <c r="W201" t="s">
        <v>194</v>
      </c>
      <c r="X201" t="s">
        <v>66</v>
      </c>
      <c r="Y201" t="s">
        <v>66</v>
      </c>
      <c r="Z201">
        <v>7</v>
      </c>
      <c r="AA201">
        <v>3</v>
      </c>
      <c r="AB201">
        <v>4</v>
      </c>
      <c r="AC201">
        <v>6</v>
      </c>
      <c r="AD201">
        <v>6</v>
      </c>
      <c r="AE201">
        <v>6</v>
      </c>
      <c r="AF201">
        <v>6</v>
      </c>
      <c r="AG201">
        <v>3</v>
      </c>
      <c r="AH201">
        <v>3</v>
      </c>
      <c r="AI201">
        <v>6</v>
      </c>
      <c r="AJ201">
        <v>2</v>
      </c>
      <c r="AK201">
        <v>5</v>
      </c>
      <c r="AL201">
        <v>5</v>
      </c>
      <c r="AM201">
        <v>5</v>
      </c>
      <c r="AN201">
        <v>1</v>
      </c>
      <c r="AO201">
        <v>7</v>
      </c>
      <c r="AP201">
        <v>2</v>
      </c>
      <c r="AQ201">
        <v>2</v>
      </c>
      <c r="AR201">
        <v>2</v>
      </c>
      <c r="AS201">
        <v>2</v>
      </c>
      <c r="AT201">
        <v>2</v>
      </c>
      <c r="AU201">
        <v>5</v>
      </c>
      <c r="AV201">
        <v>5</v>
      </c>
      <c r="AW201">
        <v>5</v>
      </c>
      <c r="AX201">
        <v>1</v>
      </c>
      <c r="AY201" cm="1">
        <f t="array" ref="AY201">_xlfn.IFS(AZ201="Positive",1, AZ201="Negative",1, AZ201="Neutral",0)</f>
        <v>1</v>
      </c>
      <c r="AZ201" t="str" cm="1">
        <f t="array" ref="AZ201">_xlfn.IFS(AX201=1,"Positive",AX201=2,"Neutral",AX201=3,"Negative")</f>
        <v>Positive</v>
      </c>
      <c r="BA201">
        <v>0</v>
      </c>
      <c r="BB201">
        <v>4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>
        <v>0</v>
      </c>
      <c r="BI201">
        <v>0</v>
      </c>
      <c r="BJ201">
        <v>4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 t="s">
        <v>276</v>
      </c>
      <c r="BT201" t="s">
        <v>492</v>
      </c>
      <c r="BU201" t="s">
        <v>631</v>
      </c>
      <c r="BV201" t="s">
        <v>494</v>
      </c>
    </row>
    <row r="202" spans="1:74" hidden="1" x14ac:dyDescent="0.2">
      <c r="A202">
        <v>209</v>
      </c>
      <c r="B202">
        <v>94</v>
      </c>
      <c r="C202" t="s">
        <v>172</v>
      </c>
      <c r="E202" t="s">
        <v>80</v>
      </c>
      <c r="F202">
        <v>15</v>
      </c>
      <c r="G202">
        <v>1999</v>
      </c>
      <c r="H202">
        <v>23</v>
      </c>
      <c r="I202" t="s">
        <v>64</v>
      </c>
      <c r="J202">
        <v>1</v>
      </c>
      <c r="K202" t="s">
        <v>655</v>
      </c>
      <c r="L202" t="s">
        <v>665</v>
      </c>
      <c r="M202">
        <v>10</v>
      </c>
      <c r="N202">
        <v>56</v>
      </c>
      <c r="O202" t="s">
        <v>306</v>
      </c>
      <c r="P202" t="s">
        <v>603</v>
      </c>
      <c r="Q202" t="s">
        <v>725</v>
      </c>
      <c r="R202" t="s">
        <v>739</v>
      </c>
      <c r="S202" t="s">
        <v>378</v>
      </c>
      <c r="T202" t="s">
        <v>423</v>
      </c>
      <c r="U202" t="s">
        <v>311</v>
      </c>
      <c r="V202" t="s">
        <v>604</v>
      </c>
      <c r="W202" t="s">
        <v>194</v>
      </c>
      <c r="X202" t="s">
        <v>66</v>
      </c>
      <c r="Y202" t="s">
        <v>66</v>
      </c>
      <c r="Z202">
        <v>7</v>
      </c>
      <c r="AA202">
        <v>5</v>
      </c>
      <c r="AB202">
        <v>6</v>
      </c>
      <c r="AC202">
        <v>5</v>
      </c>
      <c r="AD202">
        <v>1</v>
      </c>
      <c r="AE202">
        <v>1</v>
      </c>
      <c r="AF202">
        <v>2</v>
      </c>
      <c r="AG202">
        <v>1</v>
      </c>
      <c r="AH202">
        <v>3</v>
      </c>
      <c r="AI202">
        <v>6</v>
      </c>
      <c r="AJ202">
        <v>1</v>
      </c>
      <c r="AK202">
        <v>5</v>
      </c>
      <c r="AL202">
        <v>5</v>
      </c>
      <c r="AM202">
        <v>5</v>
      </c>
      <c r="AN202">
        <v>108</v>
      </c>
      <c r="AO202">
        <v>3</v>
      </c>
      <c r="AP202">
        <v>2</v>
      </c>
      <c r="AQ202">
        <v>2</v>
      </c>
      <c r="AR202">
        <v>5</v>
      </c>
      <c r="AS202">
        <v>6</v>
      </c>
      <c r="AT202">
        <v>5</v>
      </c>
      <c r="AU202">
        <v>6</v>
      </c>
      <c r="AV202">
        <v>5</v>
      </c>
      <c r="AW202">
        <v>5</v>
      </c>
      <c r="AX202">
        <v>1</v>
      </c>
      <c r="AY202" cm="1">
        <f t="array" ref="AY202">_xlfn.IFS(AZ202="Positive",1, AZ202="Negative",1, AZ202="Neutral",0)</f>
        <v>1</v>
      </c>
      <c r="AZ202" t="str" cm="1">
        <f t="array" ref="AZ202">_xlfn.IFS(AX202=1,"Positive",AX202=2,"Neutral",AX202=3,"Negative")</f>
        <v>Positive</v>
      </c>
      <c r="BA202">
        <v>4</v>
      </c>
      <c r="BB202">
        <v>1</v>
      </c>
      <c r="BC202" s="3">
        <v>1</v>
      </c>
      <c r="BD202" s="3">
        <v>0</v>
      </c>
      <c r="BE202" s="3">
        <v>3</v>
      </c>
      <c r="BF202" s="3">
        <v>0</v>
      </c>
      <c r="BG202" s="3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4</v>
      </c>
      <c r="BT202" t="s">
        <v>322</v>
      </c>
      <c r="BU202" t="s">
        <v>370</v>
      </c>
      <c r="BV202" t="s">
        <v>422</v>
      </c>
    </row>
    <row r="203" spans="1:74" hidden="1" x14ac:dyDescent="0.2">
      <c r="A203">
        <v>210</v>
      </c>
      <c r="B203">
        <v>95</v>
      </c>
      <c r="C203" t="s">
        <v>173</v>
      </c>
      <c r="E203" t="s">
        <v>71</v>
      </c>
      <c r="F203">
        <v>29</v>
      </c>
      <c r="G203">
        <v>1999</v>
      </c>
      <c r="H203">
        <v>23</v>
      </c>
      <c r="I203" t="s">
        <v>64</v>
      </c>
      <c r="J203">
        <v>1</v>
      </c>
      <c r="K203" t="s">
        <v>696</v>
      </c>
      <c r="L203" t="s">
        <v>697</v>
      </c>
      <c r="M203">
        <v>8</v>
      </c>
      <c r="N203">
        <v>54</v>
      </c>
      <c r="O203" t="s">
        <v>485</v>
      </c>
      <c r="P203" t="s">
        <v>338</v>
      </c>
      <c r="Q203" t="s">
        <v>775</v>
      </c>
      <c r="R203" t="s">
        <v>776</v>
      </c>
      <c r="S203" t="s">
        <v>291</v>
      </c>
      <c r="T203" t="s">
        <v>455</v>
      </c>
      <c r="U203" t="s">
        <v>488</v>
      </c>
      <c r="V203" t="s">
        <v>504</v>
      </c>
      <c r="W203" t="s">
        <v>194</v>
      </c>
      <c r="X203" t="s">
        <v>66</v>
      </c>
      <c r="Y203" t="s">
        <v>66</v>
      </c>
      <c r="Z203">
        <v>7</v>
      </c>
      <c r="AA203">
        <v>6</v>
      </c>
      <c r="AB203">
        <v>6</v>
      </c>
      <c r="AC203">
        <v>6</v>
      </c>
      <c r="AD203">
        <v>4</v>
      </c>
      <c r="AE203">
        <v>6</v>
      </c>
      <c r="AF203">
        <v>4</v>
      </c>
      <c r="AG203">
        <v>2</v>
      </c>
      <c r="AH203">
        <v>6</v>
      </c>
      <c r="AI203">
        <v>6</v>
      </c>
      <c r="AJ203">
        <v>2</v>
      </c>
      <c r="AK203">
        <v>6</v>
      </c>
      <c r="AL203">
        <v>5</v>
      </c>
      <c r="AM203">
        <v>6</v>
      </c>
      <c r="AN203">
        <v>36</v>
      </c>
      <c r="AO203">
        <v>2</v>
      </c>
      <c r="AP203">
        <v>1</v>
      </c>
      <c r="AQ203">
        <v>4</v>
      </c>
      <c r="AR203">
        <v>5</v>
      </c>
      <c r="AS203">
        <v>3</v>
      </c>
      <c r="AT203">
        <v>6</v>
      </c>
      <c r="AU203">
        <v>5</v>
      </c>
      <c r="AV203">
        <v>5</v>
      </c>
      <c r="AW203">
        <v>6</v>
      </c>
      <c r="AX203">
        <v>1</v>
      </c>
      <c r="AY203" cm="1">
        <f t="array" ref="AY203">_xlfn.IFS(AZ203="Positive",1, AZ203="Negative",1, AZ203="Neutral",0)</f>
        <v>1</v>
      </c>
      <c r="AZ203" t="str" cm="1">
        <f t="array" ref="AZ203">_xlfn.IFS(AX203=1,"Positive",AX203=2,"Neutral",AX203=3,"Negative")</f>
        <v>Positive</v>
      </c>
      <c r="BA203">
        <v>11</v>
      </c>
      <c r="BB203">
        <v>1</v>
      </c>
      <c r="BC203" s="3">
        <v>6</v>
      </c>
      <c r="BD203" s="3">
        <v>1</v>
      </c>
      <c r="BE203" s="3">
        <v>3</v>
      </c>
      <c r="BF203" s="3">
        <v>1</v>
      </c>
      <c r="BG203" s="3">
        <v>0</v>
      </c>
      <c r="BH203">
        <v>0</v>
      </c>
      <c r="BI203">
        <v>0</v>
      </c>
      <c r="BJ203">
        <v>0</v>
      </c>
      <c r="BK203">
        <v>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2</v>
      </c>
      <c r="BT203" t="s">
        <v>605</v>
      </c>
      <c r="BU203" t="s">
        <v>333</v>
      </c>
      <c r="BV203" t="s">
        <v>606</v>
      </c>
    </row>
    <row r="204" spans="1:74" x14ac:dyDescent="0.2">
      <c r="A204">
        <v>211</v>
      </c>
      <c r="B204">
        <v>96</v>
      </c>
      <c r="C204" t="s">
        <v>174</v>
      </c>
      <c r="E204" t="s">
        <v>71</v>
      </c>
      <c r="F204">
        <v>22</v>
      </c>
      <c r="G204">
        <v>1999</v>
      </c>
      <c r="H204">
        <v>23</v>
      </c>
      <c r="I204" t="s">
        <v>64</v>
      </c>
      <c r="J204">
        <v>1</v>
      </c>
      <c r="K204" t="s">
        <v>658</v>
      </c>
      <c r="L204" t="s">
        <v>698</v>
      </c>
      <c r="M204">
        <v>2</v>
      </c>
      <c r="N204">
        <v>61</v>
      </c>
      <c r="O204" t="s">
        <v>607</v>
      </c>
      <c r="P204" t="s">
        <v>608</v>
      </c>
      <c r="Q204" t="s">
        <v>729</v>
      </c>
      <c r="R204" t="s">
        <v>777</v>
      </c>
      <c r="S204" t="s">
        <v>281</v>
      </c>
      <c r="T204" t="s">
        <v>292</v>
      </c>
      <c r="U204" t="s">
        <v>609</v>
      </c>
      <c r="V204" t="s">
        <v>610</v>
      </c>
      <c r="W204" t="s">
        <v>194</v>
      </c>
      <c r="X204" t="s">
        <v>66</v>
      </c>
      <c r="Y204" t="s">
        <v>66</v>
      </c>
      <c r="Z204">
        <v>7</v>
      </c>
      <c r="AA204">
        <v>2</v>
      </c>
      <c r="AB204">
        <v>5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4</v>
      </c>
      <c r="AI204">
        <v>1</v>
      </c>
      <c r="AJ204">
        <v>3</v>
      </c>
      <c r="AK204">
        <v>1</v>
      </c>
      <c r="AL204">
        <v>1</v>
      </c>
      <c r="AM204">
        <v>4</v>
      </c>
      <c r="AN204">
        <v>72</v>
      </c>
      <c r="AO204">
        <v>1</v>
      </c>
      <c r="AP204">
        <v>5</v>
      </c>
      <c r="AQ204">
        <v>5</v>
      </c>
      <c r="AR204">
        <v>5</v>
      </c>
      <c r="AS204">
        <v>5</v>
      </c>
      <c r="AT204">
        <v>3</v>
      </c>
      <c r="AU204">
        <v>2</v>
      </c>
      <c r="AV204">
        <v>5</v>
      </c>
      <c r="AW204">
        <v>5</v>
      </c>
      <c r="AX204">
        <v>2</v>
      </c>
      <c r="AY204" cm="1">
        <f t="array" ref="AY204">_xlfn.IFS(AZ204="Positive",1, AZ204="Negative",1, AZ204="Neutral",0)</f>
        <v>0</v>
      </c>
      <c r="AZ204" t="str" cm="1">
        <f t="array" ref="AZ204">_xlfn.IFS(AX204=1,"Positive",AX204=2,"Neutral",AX204=3,"Negative")</f>
        <v>Neutral</v>
      </c>
      <c r="BA204">
        <v>0</v>
      </c>
      <c r="BB204">
        <v>1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 t="s">
        <v>399</v>
      </c>
      <c r="BT204" t="s">
        <v>559</v>
      </c>
      <c r="BU204" t="s">
        <v>400</v>
      </c>
      <c r="BV204" t="s">
        <v>560</v>
      </c>
    </row>
    <row r="205" spans="1:74" hidden="1" x14ac:dyDescent="0.2">
      <c r="A205">
        <v>214</v>
      </c>
      <c r="B205">
        <v>99</v>
      </c>
      <c r="C205" t="s">
        <v>177</v>
      </c>
      <c r="E205" t="s">
        <v>97</v>
      </c>
      <c r="F205">
        <v>14</v>
      </c>
      <c r="G205">
        <v>2001</v>
      </c>
      <c r="H205">
        <v>21</v>
      </c>
      <c r="I205" t="s">
        <v>64</v>
      </c>
      <c r="J205">
        <v>1</v>
      </c>
      <c r="K205" t="s">
        <v>655</v>
      </c>
      <c r="L205" t="s">
        <v>670</v>
      </c>
      <c r="M205">
        <v>8</v>
      </c>
      <c r="N205">
        <v>49</v>
      </c>
      <c r="O205" t="s">
        <v>600</v>
      </c>
      <c r="P205" t="s">
        <v>277</v>
      </c>
      <c r="Q205" t="s">
        <v>725</v>
      </c>
      <c r="R205" t="s">
        <v>746</v>
      </c>
      <c r="S205" t="s">
        <v>291</v>
      </c>
      <c r="T205" t="s">
        <v>491</v>
      </c>
      <c r="U205" t="s">
        <v>601</v>
      </c>
      <c r="V205" t="s">
        <v>535</v>
      </c>
      <c r="W205" t="s">
        <v>194</v>
      </c>
      <c r="X205" t="s">
        <v>66</v>
      </c>
      <c r="Y205" t="s">
        <v>66</v>
      </c>
      <c r="Z205">
        <v>7</v>
      </c>
      <c r="AA205">
        <v>5</v>
      </c>
      <c r="AB205">
        <v>7</v>
      </c>
      <c r="AC205">
        <v>5</v>
      </c>
      <c r="AD205">
        <v>4</v>
      </c>
      <c r="AE205">
        <v>2</v>
      </c>
      <c r="AF205">
        <v>2</v>
      </c>
      <c r="AG205">
        <v>1</v>
      </c>
      <c r="AH205">
        <v>6</v>
      </c>
      <c r="AI205">
        <v>7</v>
      </c>
      <c r="AJ205">
        <v>1</v>
      </c>
      <c r="AK205">
        <v>5</v>
      </c>
      <c r="AL205">
        <v>5</v>
      </c>
      <c r="AM205">
        <v>4</v>
      </c>
      <c r="AN205">
        <v>218</v>
      </c>
      <c r="AO205">
        <v>7</v>
      </c>
      <c r="AP205">
        <v>2</v>
      </c>
      <c r="AQ205">
        <v>5</v>
      </c>
      <c r="AR205">
        <v>3</v>
      </c>
      <c r="AS205">
        <v>6</v>
      </c>
      <c r="AT205">
        <v>4</v>
      </c>
      <c r="AU205">
        <v>7</v>
      </c>
      <c r="AV205">
        <v>7</v>
      </c>
      <c r="AW205">
        <v>2</v>
      </c>
      <c r="AX205">
        <v>1</v>
      </c>
      <c r="AY205" cm="1">
        <f t="array" ref="AY205">_xlfn.IFS(AZ205="Positive",1, AZ205="Negative",1, AZ205="Neutral",0)</f>
        <v>1</v>
      </c>
      <c r="AZ205" t="str" cm="1">
        <f t="array" ref="AZ205">_xlfn.IFS(AX205=1,"Positive",AX205=2,"Neutral",AX205=3,"Negative")</f>
        <v>Positive</v>
      </c>
      <c r="BA205">
        <v>5</v>
      </c>
      <c r="BB205">
        <v>0</v>
      </c>
      <c r="BC205" s="3">
        <v>4</v>
      </c>
      <c r="BD205" s="3">
        <v>0</v>
      </c>
      <c r="BE205" s="3">
        <v>1</v>
      </c>
      <c r="BF205" s="3">
        <v>0</v>
      </c>
      <c r="BG205" s="3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4</v>
      </c>
      <c r="BT205" t="s">
        <v>295</v>
      </c>
      <c r="BU205" t="s">
        <v>370</v>
      </c>
      <c r="BV205" t="s">
        <v>473</v>
      </c>
    </row>
    <row r="206" spans="1:74" hidden="1" x14ac:dyDescent="0.2">
      <c r="A206">
        <v>215</v>
      </c>
      <c r="B206">
        <v>100</v>
      </c>
      <c r="C206" t="s">
        <v>178</v>
      </c>
      <c r="E206" t="s">
        <v>88</v>
      </c>
      <c r="F206">
        <v>28</v>
      </c>
      <c r="G206">
        <v>1998</v>
      </c>
      <c r="H206">
        <v>24</v>
      </c>
      <c r="I206" t="s">
        <v>64</v>
      </c>
      <c r="J206">
        <v>1</v>
      </c>
      <c r="K206" t="s">
        <v>700</v>
      </c>
      <c r="L206" t="s">
        <v>645</v>
      </c>
      <c r="M206">
        <v>6</v>
      </c>
      <c r="N206">
        <v>47</v>
      </c>
      <c r="O206" t="s">
        <v>354</v>
      </c>
      <c r="P206" t="s">
        <v>361</v>
      </c>
      <c r="Q206" t="s">
        <v>779</v>
      </c>
      <c r="R206" t="s">
        <v>715</v>
      </c>
      <c r="S206" t="s">
        <v>403</v>
      </c>
      <c r="T206" t="s">
        <v>401</v>
      </c>
      <c r="U206" t="s">
        <v>616</v>
      </c>
      <c r="V206" t="s">
        <v>366</v>
      </c>
      <c r="W206" t="s">
        <v>194</v>
      </c>
      <c r="X206" t="s">
        <v>66</v>
      </c>
      <c r="Y206" t="s">
        <v>66</v>
      </c>
      <c r="Z206">
        <v>7</v>
      </c>
      <c r="AA206">
        <v>5</v>
      </c>
      <c r="AB206">
        <v>6</v>
      </c>
      <c r="AC206">
        <v>3</v>
      </c>
      <c r="AD206">
        <v>1</v>
      </c>
      <c r="AE206">
        <v>1</v>
      </c>
      <c r="AF206">
        <v>1</v>
      </c>
      <c r="AG206">
        <v>3</v>
      </c>
      <c r="AH206">
        <v>3</v>
      </c>
      <c r="AI206">
        <v>6</v>
      </c>
      <c r="AJ206">
        <v>1</v>
      </c>
      <c r="AK206">
        <v>5</v>
      </c>
      <c r="AL206">
        <v>4</v>
      </c>
      <c r="AM206">
        <v>6</v>
      </c>
      <c r="AN206">
        <v>46</v>
      </c>
      <c r="AO206">
        <v>4</v>
      </c>
      <c r="AP206">
        <v>2</v>
      </c>
      <c r="AQ206">
        <v>5</v>
      </c>
      <c r="AR206">
        <v>2</v>
      </c>
      <c r="AS206">
        <v>6</v>
      </c>
      <c r="AT206">
        <v>3</v>
      </c>
      <c r="AU206">
        <v>6</v>
      </c>
      <c r="AV206">
        <v>6</v>
      </c>
      <c r="AW206">
        <v>5</v>
      </c>
      <c r="AX206">
        <v>1</v>
      </c>
      <c r="AY206" cm="1">
        <f t="array" ref="AY206">_xlfn.IFS(AZ206="Positive",1, AZ206="Negative",1, AZ206="Neutral",0)</f>
        <v>1</v>
      </c>
      <c r="AZ206" t="str" cm="1">
        <f t="array" ref="AZ206">_xlfn.IFS(AX206=1,"Positive",AX206=2,"Neutral",AX206=3,"Negative")</f>
        <v>Positive</v>
      </c>
      <c r="BA206">
        <v>5</v>
      </c>
      <c r="BB206">
        <v>0</v>
      </c>
      <c r="BC206" s="3">
        <v>3</v>
      </c>
      <c r="BD206" s="3">
        <v>0</v>
      </c>
      <c r="BE206" s="3">
        <v>2</v>
      </c>
      <c r="BF206" s="3">
        <v>0</v>
      </c>
      <c r="BG206" s="3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 t="s">
        <v>453</v>
      </c>
      <c r="BT206" t="s">
        <v>426</v>
      </c>
      <c r="BU206" t="s">
        <v>472</v>
      </c>
      <c r="BV206" t="s">
        <v>429</v>
      </c>
    </row>
    <row r="207" spans="1:74" hidden="1" x14ac:dyDescent="0.2">
      <c r="A207">
        <v>216</v>
      </c>
      <c r="B207">
        <v>101</v>
      </c>
      <c r="C207" t="s">
        <v>179</v>
      </c>
      <c r="E207" t="s">
        <v>71</v>
      </c>
      <c r="F207">
        <v>11</v>
      </c>
      <c r="G207">
        <v>1999</v>
      </c>
      <c r="H207">
        <v>23</v>
      </c>
      <c r="I207" t="s">
        <v>69</v>
      </c>
      <c r="J207">
        <v>2</v>
      </c>
      <c r="K207" t="s">
        <v>652</v>
      </c>
      <c r="L207" t="s">
        <v>670</v>
      </c>
      <c r="M207">
        <v>4</v>
      </c>
      <c r="N207">
        <v>63</v>
      </c>
      <c r="O207">
        <v>5</v>
      </c>
      <c r="P207" t="s">
        <v>481</v>
      </c>
      <c r="Q207" t="s">
        <v>753</v>
      </c>
      <c r="R207" t="s">
        <v>746</v>
      </c>
      <c r="S207" t="s">
        <v>396</v>
      </c>
      <c r="T207" t="s">
        <v>477</v>
      </c>
      <c r="U207" t="s">
        <v>563</v>
      </c>
      <c r="V207" t="s">
        <v>483</v>
      </c>
      <c r="W207" t="s">
        <v>194</v>
      </c>
      <c r="X207" t="s">
        <v>66</v>
      </c>
      <c r="Y207" t="s">
        <v>66</v>
      </c>
      <c r="Z207">
        <v>7</v>
      </c>
      <c r="AA207">
        <v>5</v>
      </c>
      <c r="AB207">
        <v>5</v>
      </c>
      <c r="AC207">
        <v>2</v>
      </c>
      <c r="AD207">
        <v>1</v>
      </c>
      <c r="AE207">
        <v>4</v>
      </c>
      <c r="AF207">
        <v>3</v>
      </c>
      <c r="AG207">
        <v>5</v>
      </c>
      <c r="AH207">
        <v>4</v>
      </c>
      <c r="AI207">
        <v>7</v>
      </c>
      <c r="AJ207">
        <v>1</v>
      </c>
      <c r="AK207">
        <v>3</v>
      </c>
      <c r="AL207">
        <v>3</v>
      </c>
      <c r="AM207">
        <v>3</v>
      </c>
      <c r="AN207">
        <v>114</v>
      </c>
      <c r="AO207">
        <v>5</v>
      </c>
      <c r="AP207">
        <v>2</v>
      </c>
      <c r="AQ207">
        <v>4</v>
      </c>
      <c r="AR207">
        <v>4</v>
      </c>
      <c r="AS207">
        <v>3</v>
      </c>
      <c r="AT207">
        <v>4</v>
      </c>
      <c r="AU207">
        <v>4</v>
      </c>
      <c r="AV207">
        <v>3</v>
      </c>
      <c r="AW207">
        <v>3</v>
      </c>
      <c r="AX207">
        <v>1</v>
      </c>
      <c r="AY207" cm="1">
        <f t="array" ref="AY207">_xlfn.IFS(AZ207="Positive",1, AZ207="Negative",1, AZ207="Neutral",0)</f>
        <v>1</v>
      </c>
      <c r="AZ207" t="str" cm="1">
        <f t="array" ref="AZ207">_xlfn.IFS(AX207=1,"Positive",AX207=2,"Neutral",AX207=3,"Negative")</f>
        <v>Positive</v>
      </c>
      <c r="BA207">
        <v>12</v>
      </c>
      <c r="BB207">
        <v>3</v>
      </c>
      <c r="BC207" s="3">
        <v>7</v>
      </c>
      <c r="BD207" s="3">
        <v>0</v>
      </c>
      <c r="BE207" s="3">
        <v>1</v>
      </c>
      <c r="BF207" s="3">
        <v>3</v>
      </c>
      <c r="BG207" s="3">
        <v>1</v>
      </c>
      <c r="BH207">
        <v>0</v>
      </c>
      <c r="BI207">
        <v>0</v>
      </c>
      <c r="BJ207">
        <v>0</v>
      </c>
      <c r="BK207">
        <v>0</v>
      </c>
      <c r="BL207">
        <v>2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0</v>
      </c>
      <c r="BS207" t="s">
        <v>399</v>
      </c>
      <c r="BT207" t="s">
        <v>367</v>
      </c>
      <c r="BU207" t="s">
        <v>400</v>
      </c>
      <c r="BV207" t="s">
        <v>371</v>
      </c>
    </row>
    <row r="208" spans="1:74" hidden="1" x14ac:dyDescent="0.2">
      <c r="A208">
        <v>217</v>
      </c>
      <c r="B208">
        <v>102</v>
      </c>
      <c r="C208" t="s">
        <v>180</v>
      </c>
      <c r="E208" t="s">
        <v>71</v>
      </c>
      <c r="F208">
        <v>12</v>
      </c>
      <c r="G208">
        <v>1999</v>
      </c>
      <c r="H208">
        <v>23</v>
      </c>
      <c r="I208" t="s">
        <v>64</v>
      </c>
      <c r="J208">
        <v>1</v>
      </c>
      <c r="K208" t="s">
        <v>637</v>
      </c>
      <c r="L208" t="s">
        <v>669</v>
      </c>
      <c r="M208">
        <v>6</v>
      </c>
      <c r="N208">
        <v>54</v>
      </c>
      <c r="O208" t="s">
        <v>314</v>
      </c>
      <c r="P208">
        <v>5</v>
      </c>
      <c r="Q208" t="s">
        <v>706</v>
      </c>
      <c r="R208" t="s">
        <v>745</v>
      </c>
      <c r="S208" t="s">
        <v>403</v>
      </c>
      <c r="T208" t="s">
        <v>455</v>
      </c>
      <c r="U208" t="s">
        <v>320</v>
      </c>
      <c r="V208" t="s">
        <v>524</v>
      </c>
      <c r="W208" t="s">
        <v>194</v>
      </c>
      <c r="X208" t="s">
        <v>66</v>
      </c>
      <c r="Y208" t="s">
        <v>66</v>
      </c>
      <c r="Z208">
        <v>7</v>
      </c>
      <c r="AA208">
        <v>3</v>
      </c>
      <c r="AB208">
        <v>6</v>
      </c>
      <c r="AC208">
        <v>3</v>
      </c>
      <c r="AD208">
        <v>2</v>
      </c>
      <c r="AE208">
        <v>6</v>
      </c>
      <c r="AF208">
        <v>1</v>
      </c>
      <c r="AG208">
        <v>1</v>
      </c>
      <c r="AH208">
        <v>5</v>
      </c>
      <c r="AI208">
        <v>4</v>
      </c>
      <c r="AJ208">
        <v>4</v>
      </c>
      <c r="AK208">
        <v>4</v>
      </c>
      <c r="AL208">
        <v>5</v>
      </c>
      <c r="AM208">
        <v>5</v>
      </c>
      <c r="AN208">
        <v>60</v>
      </c>
      <c r="AO208">
        <v>1</v>
      </c>
      <c r="AP208">
        <v>3</v>
      </c>
      <c r="AQ208">
        <v>3</v>
      </c>
      <c r="AR208">
        <v>5</v>
      </c>
      <c r="AS208">
        <v>4</v>
      </c>
      <c r="AT208">
        <v>5</v>
      </c>
      <c r="AU208">
        <v>5</v>
      </c>
      <c r="AV208">
        <v>6</v>
      </c>
      <c r="AW208">
        <v>6</v>
      </c>
      <c r="AX208">
        <v>2</v>
      </c>
      <c r="AY208" cm="1">
        <f t="array" ref="AY208">_xlfn.IFS(AZ208="Positive",1, AZ208="Negative",1, AZ208="Neutral",0)</f>
        <v>0</v>
      </c>
      <c r="AZ208" t="str" cm="1">
        <f t="array" ref="AZ208">_xlfn.IFS(AX208=1,"Positive",AX208=2,"Neutral",AX208=3,"Negative")</f>
        <v>Neutral</v>
      </c>
      <c r="BA208">
        <v>8</v>
      </c>
      <c r="BB208">
        <v>8</v>
      </c>
      <c r="BC208" s="3">
        <v>5</v>
      </c>
      <c r="BD208" s="3">
        <v>1</v>
      </c>
      <c r="BE208" s="3">
        <v>2</v>
      </c>
      <c r="BF208" s="3">
        <v>0</v>
      </c>
      <c r="BG208" s="3">
        <v>0</v>
      </c>
      <c r="BH208">
        <v>0</v>
      </c>
      <c r="BI208">
        <v>0</v>
      </c>
      <c r="BJ208">
        <v>2</v>
      </c>
      <c r="BK208">
        <v>4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2</v>
      </c>
      <c r="BR208">
        <v>0</v>
      </c>
      <c r="BS208" t="s">
        <v>382</v>
      </c>
      <c r="BT208" t="s">
        <v>475</v>
      </c>
      <c r="BU208" t="s">
        <v>385</v>
      </c>
      <c r="BV208" t="s">
        <v>476</v>
      </c>
    </row>
    <row r="209" spans="1:74" hidden="1" x14ac:dyDescent="0.2">
      <c r="A209">
        <v>218</v>
      </c>
      <c r="B209">
        <v>103</v>
      </c>
      <c r="C209" t="s">
        <v>181</v>
      </c>
      <c r="E209" t="s">
        <v>73</v>
      </c>
      <c r="F209">
        <v>2</v>
      </c>
      <c r="G209">
        <v>1999</v>
      </c>
      <c r="H209">
        <v>23</v>
      </c>
      <c r="I209" t="s">
        <v>64</v>
      </c>
      <c r="J209">
        <v>1</v>
      </c>
      <c r="K209" t="s">
        <v>678</v>
      </c>
      <c r="L209" t="s">
        <v>638</v>
      </c>
      <c r="M209">
        <v>12</v>
      </c>
      <c r="N209">
        <v>61</v>
      </c>
      <c r="O209" t="s">
        <v>562</v>
      </c>
      <c r="P209" t="s">
        <v>405</v>
      </c>
      <c r="Q209" t="s">
        <v>757</v>
      </c>
      <c r="R209" t="s">
        <v>707</v>
      </c>
      <c r="S209" t="s">
        <v>499</v>
      </c>
      <c r="T209" t="s">
        <v>292</v>
      </c>
      <c r="U209" t="s">
        <v>581</v>
      </c>
      <c r="V209" t="s">
        <v>407</v>
      </c>
      <c r="W209" t="s">
        <v>194</v>
      </c>
      <c r="X209" t="s">
        <v>66</v>
      </c>
      <c r="Y209" t="s">
        <v>66</v>
      </c>
      <c r="Z209">
        <v>7</v>
      </c>
      <c r="AA209">
        <v>6</v>
      </c>
      <c r="AB209">
        <v>5</v>
      </c>
      <c r="AC209">
        <v>4</v>
      </c>
      <c r="AD209">
        <v>1</v>
      </c>
      <c r="AE209">
        <v>7</v>
      </c>
      <c r="AF209">
        <v>1</v>
      </c>
      <c r="AG209">
        <v>2</v>
      </c>
      <c r="AH209">
        <v>5</v>
      </c>
      <c r="AI209">
        <v>4</v>
      </c>
      <c r="AJ209">
        <v>4</v>
      </c>
      <c r="AK209">
        <v>5</v>
      </c>
      <c r="AL209">
        <v>4</v>
      </c>
      <c r="AM209">
        <v>5</v>
      </c>
      <c r="AN209">
        <v>72</v>
      </c>
      <c r="AO209">
        <v>4</v>
      </c>
      <c r="AP209">
        <v>4</v>
      </c>
      <c r="AQ209">
        <v>5</v>
      </c>
      <c r="AR209">
        <v>3</v>
      </c>
      <c r="AS209">
        <v>4</v>
      </c>
      <c r="AT209">
        <v>4</v>
      </c>
      <c r="AU209">
        <v>5</v>
      </c>
      <c r="AV209">
        <v>6</v>
      </c>
      <c r="AW209">
        <v>7</v>
      </c>
      <c r="AX209">
        <v>2</v>
      </c>
      <c r="AY209" cm="1">
        <f t="array" ref="AY209">_xlfn.IFS(AZ209="Positive",1, AZ209="Negative",1, AZ209="Neutral",0)</f>
        <v>0</v>
      </c>
      <c r="AZ209" t="str" cm="1">
        <f t="array" ref="AZ209">_xlfn.IFS(AX209=1,"Positive",AX209=2,"Neutral",AX209=3,"Negative")</f>
        <v>Neutral</v>
      </c>
      <c r="BA209">
        <v>7</v>
      </c>
      <c r="BB209">
        <v>3</v>
      </c>
      <c r="BC209" s="3">
        <v>6</v>
      </c>
      <c r="BD209" s="3">
        <v>0</v>
      </c>
      <c r="BE209" s="3">
        <v>0</v>
      </c>
      <c r="BF209" s="3">
        <v>0</v>
      </c>
      <c r="BG209" s="3">
        <v>1</v>
      </c>
      <c r="BH209">
        <v>0</v>
      </c>
      <c r="BI209">
        <v>0</v>
      </c>
      <c r="BJ209">
        <v>1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</v>
      </c>
      <c r="BS209" t="s">
        <v>375</v>
      </c>
      <c r="BT209" t="s">
        <v>578</v>
      </c>
      <c r="BU209" t="s">
        <v>377</v>
      </c>
      <c r="BV209" t="s">
        <v>579</v>
      </c>
    </row>
    <row r="210" spans="1:74" x14ac:dyDescent="0.2">
      <c r="A210">
        <v>219</v>
      </c>
      <c r="B210">
        <v>104</v>
      </c>
      <c r="C210" t="s">
        <v>182</v>
      </c>
      <c r="E210" t="s">
        <v>71</v>
      </c>
      <c r="F210">
        <v>13</v>
      </c>
      <c r="G210">
        <v>2003</v>
      </c>
      <c r="H210">
        <v>19</v>
      </c>
      <c r="I210" t="s">
        <v>164</v>
      </c>
      <c r="J210">
        <v>3</v>
      </c>
      <c r="K210" t="s">
        <v>683</v>
      </c>
      <c r="L210" t="s">
        <v>660</v>
      </c>
      <c r="M210">
        <v>11</v>
      </c>
      <c r="N210">
        <v>52</v>
      </c>
      <c r="O210" t="s">
        <v>384</v>
      </c>
      <c r="P210" t="s">
        <v>583</v>
      </c>
      <c r="Q210" t="s">
        <v>762</v>
      </c>
      <c r="R210" t="s">
        <v>733</v>
      </c>
      <c r="S210" t="s">
        <v>514</v>
      </c>
      <c r="T210" t="s">
        <v>495</v>
      </c>
      <c r="U210" t="s">
        <v>387</v>
      </c>
      <c r="V210" t="s">
        <v>584</v>
      </c>
      <c r="W210" t="s">
        <v>194</v>
      </c>
      <c r="X210" t="s">
        <v>66</v>
      </c>
      <c r="Y210" t="s">
        <v>66</v>
      </c>
      <c r="Z210">
        <v>7</v>
      </c>
      <c r="AA210">
        <v>2</v>
      </c>
      <c r="AB210">
        <v>6</v>
      </c>
      <c r="AC210">
        <v>6</v>
      </c>
      <c r="AD210">
        <v>1</v>
      </c>
      <c r="AE210">
        <v>5</v>
      </c>
      <c r="AF210">
        <v>1</v>
      </c>
      <c r="AG210">
        <v>1</v>
      </c>
      <c r="AH210">
        <v>3</v>
      </c>
      <c r="AI210">
        <v>6</v>
      </c>
      <c r="AJ210">
        <v>2</v>
      </c>
      <c r="AK210">
        <v>1</v>
      </c>
      <c r="AL210">
        <v>1</v>
      </c>
      <c r="AM210">
        <v>6</v>
      </c>
      <c r="AN210">
        <v>120</v>
      </c>
      <c r="AO210">
        <v>1</v>
      </c>
      <c r="AP210">
        <v>1</v>
      </c>
      <c r="AQ210">
        <v>2</v>
      </c>
      <c r="AR210">
        <v>5</v>
      </c>
      <c r="AS210">
        <v>6</v>
      </c>
      <c r="AT210">
        <v>6</v>
      </c>
      <c r="AU210">
        <v>7</v>
      </c>
      <c r="AV210">
        <v>6</v>
      </c>
      <c r="AW210">
        <v>7</v>
      </c>
      <c r="AX210">
        <v>1</v>
      </c>
      <c r="AY210" cm="1">
        <f t="array" ref="AY210">_xlfn.IFS(AZ210="Positive",1, AZ210="Negative",1, AZ210="Neutral",0)</f>
        <v>1</v>
      </c>
      <c r="AZ210" t="str" cm="1">
        <f t="array" ref="AZ210">_xlfn.IFS(AX210=1,"Positive",AX210=2,"Neutral",AX210=3,"Negative")</f>
        <v>Positive</v>
      </c>
      <c r="BA210">
        <v>0</v>
      </c>
      <c r="BB210">
        <v>3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>
        <v>0</v>
      </c>
      <c r="BI210">
        <v>0</v>
      </c>
      <c r="BJ210">
        <v>1</v>
      </c>
      <c r="BK210">
        <v>0</v>
      </c>
      <c r="BL210">
        <v>2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2</v>
      </c>
      <c r="BT210" t="s">
        <v>516</v>
      </c>
      <c r="BU210" t="s">
        <v>333</v>
      </c>
      <c r="BV210" t="s">
        <v>592</v>
      </c>
    </row>
    <row r="211" spans="1:74" hidden="1" x14ac:dyDescent="0.2">
      <c r="A211">
        <v>220</v>
      </c>
      <c r="B211">
        <v>105</v>
      </c>
      <c r="C211" t="s">
        <v>183</v>
      </c>
      <c r="E211" t="s">
        <v>80</v>
      </c>
      <c r="F211">
        <v>15</v>
      </c>
      <c r="G211">
        <v>1999</v>
      </c>
      <c r="H211">
        <v>23</v>
      </c>
      <c r="I211" t="s">
        <v>64</v>
      </c>
      <c r="J211">
        <v>1</v>
      </c>
      <c r="K211" t="s">
        <v>651</v>
      </c>
      <c r="L211" t="s">
        <v>682</v>
      </c>
      <c r="M211">
        <v>11</v>
      </c>
      <c r="N211">
        <v>75</v>
      </c>
      <c r="O211" t="s">
        <v>568</v>
      </c>
      <c r="P211" t="s">
        <v>617</v>
      </c>
      <c r="Q211" t="s">
        <v>721</v>
      </c>
      <c r="R211" t="s">
        <v>761</v>
      </c>
      <c r="S211" t="s">
        <v>514</v>
      </c>
      <c r="T211" t="s">
        <v>507</v>
      </c>
      <c r="U211" t="s">
        <v>570</v>
      </c>
      <c r="V211" t="s">
        <v>618</v>
      </c>
      <c r="W211" t="s">
        <v>194</v>
      </c>
      <c r="X211" t="s">
        <v>66</v>
      </c>
      <c r="Y211" t="s">
        <v>66</v>
      </c>
      <c r="Z211">
        <v>7</v>
      </c>
      <c r="AA211">
        <v>6</v>
      </c>
      <c r="AB211">
        <v>7</v>
      </c>
      <c r="AC211">
        <v>7</v>
      </c>
      <c r="AD211">
        <v>3</v>
      </c>
      <c r="AE211">
        <v>6</v>
      </c>
      <c r="AF211">
        <v>4</v>
      </c>
      <c r="AG211">
        <v>1</v>
      </c>
      <c r="AH211">
        <v>7</v>
      </c>
      <c r="AI211">
        <v>7</v>
      </c>
      <c r="AJ211">
        <v>1</v>
      </c>
      <c r="AK211">
        <v>6</v>
      </c>
      <c r="AL211">
        <v>7</v>
      </c>
      <c r="AM211">
        <v>3</v>
      </c>
      <c r="AN211">
        <v>145</v>
      </c>
      <c r="AO211">
        <v>5</v>
      </c>
      <c r="AP211">
        <v>1</v>
      </c>
      <c r="AQ211">
        <v>2</v>
      </c>
      <c r="AR211">
        <v>7</v>
      </c>
      <c r="AS211">
        <v>7</v>
      </c>
      <c r="AT211">
        <v>7</v>
      </c>
      <c r="AU211">
        <v>7</v>
      </c>
      <c r="AV211">
        <v>7</v>
      </c>
      <c r="AW211">
        <v>4</v>
      </c>
      <c r="AX211">
        <v>1</v>
      </c>
      <c r="AY211" cm="1">
        <f t="array" ref="AY211">_xlfn.IFS(AZ211="Positive",1, AZ211="Negative",1, AZ211="Neutral",0)</f>
        <v>1</v>
      </c>
      <c r="AZ211" t="str" cm="1">
        <f t="array" ref="AZ211">_xlfn.IFS(AX211=1,"Positive",AX211=2,"Neutral",AX211=3,"Negative")</f>
        <v>Positive</v>
      </c>
      <c r="BA211">
        <v>15</v>
      </c>
      <c r="BB211">
        <v>1</v>
      </c>
      <c r="BC211" s="3">
        <v>8</v>
      </c>
      <c r="BD211" s="3">
        <v>1</v>
      </c>
      <c r="BE211" s="3">
        <v>1</v>
      </c>
      <c r="BF211" s="3">
        <v>2</v>
      </c>
      <c r="BG211" s="3">
        <v>3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 t="s">
        <v>510</v>
      </c>
      <c r="BT211" t="s">
        <v>414</v>
      </c>
      <c r="BU211" t="s">
        <v>511</v>
      </c>
      <c r="BV211" t="s">
        <v>530</v>
      </c>
    </row>
    <row r="212" spans="1:74" hidden="1" x14ac:dyDescent="0.2">
      <c r="A212">
        <v>221</v>
      </c>
      <c r="B212">
        <v>106</v>
      </c>
      <c r="C212" t="s">
        <v>184</v>
      </c>
      <c r="E212" t="s">
        <v>80</v>
      </c>
      <c r="F212">
        <v>7</v>
      </c>
      <c r="G212">
        <v>2000</v>
      </c>
      <c r="H212">
        <v>22</v>
      </c>
      <c r="I212" t="s">
        <v>69</v>
      </c>
      <c r="J212">
        <v>2</v>
      </c>
      <c r="K212" t="s">
        <v>694</v>
      </c>
      <c r="L212" t="s">
        <v>701</v>
      </c>
      <c r="M212">
        <v>12</v>
      </c>
      <c r="N212">
        <v>54</v>
      </c>
      <c r="O212" t="s">
        <v>463</v>
      </c>
      <c r="P212" t="s">
        <v>354</v>
      </c>
      <c r="Q212" t="s">
        <v>774</v>
      </c>
      <c r="R212" t="s">
        <v>780</v>
      </c>
      <c r="S212" t="s">
        <v>499</v>
      </c>
      <c r="T212" t="s">
        <v>455</v>
      </c>
      <c r="U212" t="s">
        <v>546</v>
      </c>
      <c r="V212" t="s">
        <v>359</v>
      </c>
      <c r="W212" t="s">
        <v>194</v>
      </c>
      <c r="X212" t="s">
        <v>66</v>
      </c>
      <c r="Y212" t="s">
        <v>66</v>
      </c>
      <c r="Z212">
        <v>7</v>
      </c>
      <c r="AA212">
        <v>4</v>
      </c>
      <c r="AB212">
        <v>6</v>
      </c>
      <c r="AC212">
        <v>6</v>
      </c>
      <c r="AD212">
        <v>2</v>
      </c>
      <c r="AE212">
        <v>5</v>
      </c>
      <c r="AF212">
        <v>2</v>
      </c>
      <c r="AG212">
        <v>2</v>
      </c>
      <c r="AH212">
        <v>5</v>
      </c>
      <c r="AI212">
        <v>5</v>
      </c>
      <c r="AJ212">
        <v>2</v>
      </c>
      <c r="AK212">
        <v>5</v>
      </c>
      <c r="AL212">
        <v>2</v>
      </c>
      <c r="AM212">
        <v>2</v>
      </c>
      <c r="AN212">
        <v>60</v>
      </c>
      <c r="AO212">
        <v>1</v>
      </c>
      <c r="AP212">
        <v>3</v>
      </c>
      <c r="AQ212">
        <v>5</v>
      </c>
      <c r="AR212">
        <v>4</v>
      </c>
      <c r="AS212">
        <v>6</v>
      </c>
      <c r="AT212">
        <v>5</v>
      </c>
      <c r="AU212">
        <v>6</v>
      </c>
      <c r="AV212">
        <v>6</v>
      </c>
      <c r="AW212">
        <v>6</v>
      </c>
      <c r="AX212">
        <v>2</v>
      </c>
      <c r="AY212" cm="1">
        <f t="array" ref="AY212">_xlfn.IFS(AZ212="Positive",1, AZ212="Negative",1, AZ212="Neutral",0)</f>
        <v>0</v>
      </c>
      <c r="AZ212" t="str" cm="1">
        <f t="array" ref="AZ212">_xlfn.IFS(AX212=1,"Positive",AX212=2,"Neutral",AX212=3,"Negative")</f>
        <v>Neutral</v>
      </c>
      <c r="BA212">
        <v>12</v>
      </c>
      <c r="BB212">
        <v>0</v>
      </c>
      <c r="BC212" s="3">
        <v>7</v>
      </c>
      <c r="BD212" s="3">
        <v>1</v>
      </c>
      <c r="BE212" s="3">
        <v>1</v>
      </c>
      <c r="BF212" s="3">
        <v>3</v>
      </c>
      <c r="BG212" s="3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 t="s">
        <v>619</v>
      </c>
      <c r="BT212" t="s">
        <v>295</v>
      </c>
      <c r="BU212" t="s">
        <v>620</v>
      </c>
      <c r="BV212" t="s">
        <v>473</v>
      </c>
    </row>
    <row r="213" spans="1:74" hidden="1" x14ac:dyDescent="0.2">
      <c r="A213">
        <v>222</v>
      </c>
      <c r="B213">
        <v>107</v>
      </c>
      <c r="C213" t="s">
        <v>185</v>
      </c>
      <c r="E213" t="s">
        <v>97</v>
      </c>
      <c r="F213">
        <v>9</v>
      </c>
      <c r="G213">
        <v>1998</v>
      </c>
      <c r="H213">
        <v>24</v>
      </c>
      <c r="I213" t="s">
        <v>69</v>
      </c>
      <c r="J213">
        <v>2</v>
      </c>
      <c r="K213" t="s">
        <v>700</v>
      </c>
      <c r="L213" t="s">
        <v>669</v>
      </c>
      <c r="M213">
        <v>15</v>
      </c>
      <c r="N213">
        <v>68</v>
      </c>
      <c r="O213" t="s">
        <v>585</v>
      </c>
      <c r="P213" t="s">
        <v>369</v>
      </c>
      <c r="Q213" t="s">
        <v>779</v>
      </c>
      <c r="R213" t="s">
        <v>745</v>
      </c>
      <c r="S213" t="s">
        <v>363</v>
      </c>
      <c r="T213" t="s">
        <v>487</v>
      </c>
      <c r="U213" t="s">
        <v>587</v>
      </c>
      <c r="V213" t="s">
        <v>374</v>
      </c>
      <c r="W213" t="s">
        <v>194</v>
      </c>
      <c r="X213" t="s">
        <v>66</v>
      </c>
      <c r="Y213" t="s">
        <v>66</v>
      </c>
      <c r="Z213">
        <v>7</v>
      </c>
      <c r="AA213">
        <v>7</v>
      </c>
      <c r="AB213">
        <v>7</v>
      </c>
      <c r="AC213">
        <v>6</v>
      </c>
      <c r="AD213">
        <v>5</v>
      </c>
      <c r="AE213">
        <v>6</v>
      </c>
      <c r="AF213">
        <v>6</v>
      </c>
      <c r="AG213">
        <v>1</v>
      </c>
      <c r="AH213">
        <v>7</v>
      </c>
      <c r="AI213">
        <v>7</v>
      </c>
      <c r="AJ213">
        <v>1</v>
      </c>
      <c r="AK213">
        <v>7</v>
      </c>
      <c r="AL213">
        <v>7</v>
      </c>
      <c r="AM213">
        <v>7</v>
      </c>
      <c r="AN213">
        <v>240</v>
      </c>
      <c r="AO213">
        <v>3</v>
      </c>
      <c r="AP213">
        <v>1</v>
      </c>
      <c r="AQ213">
        <v>4</v>
      </c>
      <c r="AR213">
        <v>6</v>
      </c>
      <c r="AS213">
        <v>7</v>
      </c>
      <c r="AT213">
        <v>7</v>
      </c>
      <c r="AU213">
        <v>7</v>
      </c>
      <c r="AV213">
        <v>7</v>
      </c>
      <c r="AW213">
        <v>7</v>
      </c>
      <c r="AX213">
        <v>1</v>
      </c>
      <c r="AY213" cm="1">
        <f t="array" ref="AY213">_xlfn.IFS(AZ213="Positive",1, AZ213="Negative",1, AZ213="Neutral",0)</f>
        <v>1</v>
      </c>
      <c r="AZ213" t="str" cm="1">
        <f t="array" ref="AZ213">_xlfn.IFS(AX213=1,"Positive",AX213=2,"Neutral",AX213=3,"Negative")</f>
        <v>Positive</v>
      </c>
      <c r="BA213">
        <v>13</v>
      </c>
      <c r="BB213">
        <v>7</v>
      </c>
      <c r="BC213" s="3">
        <v>9</v>
      </c>
      <c r="BD213" s="3">
        <v>0</v>
      </c>
      <c r="BE213" s="3">
        <v>3</v>
      </c>
      <c r="BF213" s="3">
        <v>1</v>
      </c>
      <c r="BG213" s="3">
        <v>0</v>
      </c>
      <c r="BH213">
        <v>3</v>
      </c>
      <c r="BI213">
        <v>0</v>
      </c>
      <c r="BJ213">
        <v>2</v>
      </c>
      <c r="BK213">
        <v>2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 t="s">
        <v>453</v>
      </c>
      <c r="BT213" t="s">
        <v>433</v>
      </c>
      <c r="BU213" t="s">
        <v>472</v>
      </c>
      <c r="BV213" t="s">
        <v>435</v>
      </c>
    </row>
    <row r="214" spans="1:74" hidden="1" x14ac:dyDescent="0.2">
      <c r="A214">
        <v>223</v>
      </c>
      <c r="B214">
        <v>108</v>
      </c>
      <c r="C214" t="s">
        <v>186</v>
      </c>
      <c r="E214" t="s">
        <v>71</v>
      </c>
      <c r="F214">
        <v>7</v>
      </c>
      <c r="G214">
        <v>1999</v>
      </c>
      <c r="H214">
        <v>23</v>
      </c>
      <c r="I214" t="s">
        <v>64</v>
      </c>
      <c r="J214">
        <v>1</v>
      </c>
      <c r="K214" t="s">
        <v>649</v>
      </c>
      <c r="L214" t="s">
        <v>654</v>
      </c>
      <c r="M214">
        <v>1</v>
      </c>
      <c r="N214">
        <v>58</v>
      </c>
      <c r="O214" t="s">
        <v>611</v>
      </c>
      <c r="P214" t="s">
        <v>611</v>
      </c>
      <c r="Q214" t="s">
        <v>719</v>
      </c>
      <c r="R214" t="s">
        <v>728</v>
      </c>
      <c r="S214" t="s">
        <v>335</v>
      </c>
      <c r="T214" t="s">
        <v>364</v>
      </c>
      <c r="U214" t="s">
        <v>621</v>
      </c>
      <c r="V214" t="s">
        <v>612</v>
      </c>
      <c r="W214" t="s">
        <v>194</v>
      </c>
      <c r="X214" t="s">
        <v>66</v>
      </c>
      <c r="Y214" t="s">
        <v>66</v>
      </c>
      <c r="Z214">
        <v>7</v>
      </c>
      <c r="AA214">
        <v>7</v>
      </c>
      <c r="AB214">
        <v>7</v>
      </c>
      <c r="AC214">
        <v>7</v>
      </c>
      <c r="AD214">
        <v>6</v>
      </c>
      <c r="AE214">
        <v>7</v>
      </c>
      <c r="AF214">
        <v>7</v>
      </c>
      <c r="AG214">
        <v>7</v>
      </c>
      <c r="AH214">
        <v>7</v>
      </c>
      <c r="AI214">
        <v>7</v>
      </c>
      <c r="AJ214">
        <v>6</v>
      </c>
      <c r="AK214">
        <v>7</v>
      </c>
      <c r="AL214">
        <v>7</v>
      </c>
      <c r="AM214">
        <v>6</v>
      </c>
      <c r="AN214">
        <v>127</v>
      </c>
      <c r="AO214">
        <v>7</v>
      </c>
      <c r="AP214">
        <v>7</v>
      </c>
      <c r="AQ214">
        <v>7</v>
      </c>
      <c r="AR214">
        <v>6</v>
      </c>
      <c r="AS214">
        <v>7</v>
      </c>
      <c r="AT214">
        <v>7</v>
      </c>
      <c r="AU214">
        <v>6</v>
      </c>
      <c r="AV214">
        <v>6</v>
      </c>
      <c r="AW214">
        <v>7</v>
      </c>
      <c r="AX214">
        <v>3</v>
      </c>
      <c r="AY214" cm="1">
        <f t="array" ref="AY214">_xlfn.IFS(AZ214="Positive",1, AZ214="Negative",1, AZ214="Neutral",0)</f>
        <v>1</v>
      </c>
      <c r="AZ214" t="str" cm="1">
        <f t="array" ref="AZ214">_xlfn.IFS(AX214=1,"Positive",AX214=2,"Neutral",AX214=3,"Negative")</f>
        <v>Negative</v>
      </c>
      <c r="BA214">
        <v>8</v>
      </c>
      <c r="BB214">
        <v>0</v>
      </c>
      <c r="BC214" s="3">
        <v>3</v>
      </c>
      <c r="BD214" s="3">
        <v>0</v>
      </c>
      <c r="BE214" s="3">
        <v>0</v>
      </c>
      <c r="BF214" s="3">
        <v>2</v>
      </c>
      <c r="BG214" s="3">
        <v>3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 t="s">
        <v>344</v>
      </c>
      <c r="BT214" t="s">
        <v>367</v>
      </c>
      <c r="BU214" t="s">
        <v>347</v>
      </c>
      <c r="BV214" t="s">
        <v>371</v>
      </c>
    </row>
    <row r="215" spans="1:74" hidden="1" x14ac:dyDescent="0.2">
      <c r="A215">
        <v>224</v>
      </c>
      <c r="B215">
        <v>109</v>
      </c>
      <c r="C215" t="s">
        <v>187</v>
      </c>
      <c r="E215" t="s">
        <v>63</v>
      </c>
      <c r="F215">
        <v>1</v>
      </c>
      <c r="G215">
        <v>2000</v>
      </c>
      <c r="H215">
        <v>22</v>
      </c>
      <c r="I215" t="s">
        <v>69</v>
      </c>
      <c r="J215">
        <v>2</v>
      </c>
      <c r="K215" t="s">
        <v>416</v>
      </c>
      <c r="L215" t="s">
        <v>660</v>
      </c>
      <c r="M215">
        <v>1</v>
      </c>
      <c r="N215">
        <v>64</v>
      </c>
      <c r="O215" t="s">
        <v>460</v>
      </c>
      <c r="P215" t="s">
        <v>325</v>
      </c>
      <c r="Q215" t="s">
        <v>723</v>
      </c>
      <c r="R215" t="s">
        <v>733</v>
      </c>
      <c r="S215" t="s">
        <v>335</v>
      </c>
      <c r="T215" t="s">
        <v>540</v>
      </c>
      <c r="U215" t="s">
        <v>582</v>
      </c>
      <c r="V215" t="s">
        <v>331</v>
      </c>
      <c r="W215" t="s">
        <v>194</v>
      </c>
      <c r="X215" t="s">
        <v>66</v>
      </c>
      <c r="Y215" t="s">
        <v>66</v>
      </c>
      <c r="Z215">
        <v>7</v>
      </c>
      <c r="AA215">
        <v>5</v>
      </c>
      <c r="AB215">
        <v>6</v>
      </c>
      <c r="AC215">
        <v>2</v>
      </c>
      <c r="AD215">
        <v>1</v>
      </c>
      <c r="AE215">
        <v>4</v>
      </c>
      <c r="AF215">
        <v>2</v>
      </c>
      <c r="AG215">
        <v>1</v>
      </c>
      <c r="AH215">
        <v>5</v>
      </c>
      <c r="AI215">
        <v>5</v>
      </c>
      <c r="AJ215">
        <v>2</v>
      </c>
      <c r="AK215">
        <v>5</v>
      </c>
      <c r="AL215">
        <v>2</v>
      </c>
      <c r="AM215">
        <v>5</v>
      </c>
      <c r="AN215">
        <v>70</v>
      </c>
      <c r="AO215">
        <v>2</v>
      </c>
      <c r="AP215">
        <v>2</v>
      </c>
      <c r="AQ215">
        <v>5</v>
      </c>
      <c r="AR215">
        <v>6</v>
      </c>
      <c r="AS215">
        <v>6</v>
      </c>
      <c r="AT215">
        <v>5</v>
      </c>
      <c r="AU215">
        <v>6</v>
      </c>
      <c r="AV215">
        <v>4</v>
      </c>
      <c r="AW215">
        <v>6</v>
      </c>
      <c r="AX215">
        <v>1</v>
      </c>
      <c r="AY215" cm="1">
        <f t="array" ref="AY215">_xlfn.IFS(AZ215="Positive",1, AZ215="Negative",1, AZ215="Neutral",0)</f>
        <v>1</v>
      </c>
      <c r="AZ215" t="str" cm="1">
        <f t="array" ref="AZ215">_xlfn.IFS(AX215=1,"Positive",AX215=2,"Neutral",AX215=3,"Negative")</f>
        <v>Positive</v>
      </c>
      <c r="BA215">
        <v>4</v>
      </c>
      <c r="BB215">
        <v>0</v>
      </c>
      <c r="BC215" s="3">
        <v>2</v>
      </c>
      <c r="BD215" s="3">
        <v>0</v>
      </c>
      <c r="BE215" s="3">
        <v>2</v>
      </c>
      <c r="BF215" s="3">
        <v>0</v>
      </c>
      <c r="BG215" s="3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 t="s">
        <v>414</v>
      </c>
      <c r="BT215" t="s">
        <v>619</v>
      </c>
      <c r="BU215" t="s">
        <v>417</v>
      </c>
      <c r="BV215" t="s">
        <v>622</v>
      </c>
    </row>
    <row r="216" spans="1:74" hidden="1" x14ac:dyDescent="0.2">
      <c r="A216">
        <v>225</v>
      </c>
      <c r="B216">
        <v>110</v>
      </c>
      <c r="C216" t="s">
        <v>188</v>
      </c>
      <c r="E216" t="s">
        <v>68</v>
      </c>
      <c r="F216">
        <v>12</v>
      </c>
      <c r="G216">
        <v>2001</v>
      </c>
      <c r="H216">
        <v>21</v>
      </c>
      <c r="I216" t="s">
        <v>69</v>
      </c>
      <c r="J216">
        <v>2</v>
      </c>
      <c r="K216" t="s">
        <v>661</v>
      </c>
      <c r="L216" t="s">
        <v>633</v>
      </c>
      <c r="M216">
        <v>10</v>
      </c>
      <c r="N216">
        <v>71</v>
      </c>
      <c r="O216" t="s">
        <v>583</v>
      </c>
      <c r="P216" t="s">
        <v>542</v>
      </c>
      <c r="Q216" t="s">
        <v>734</v>
      </c>
      <c r="R216" t="s">
        <v>711</v>
      </c>
      <c r="S216" t="s">
        <v>378</v>
      </c>
      <c r="T216" t="s">
        <v>329</v>
      </c>
      <c r="U216" t="s">
        <v>623</v>
      </c>
      <c r="V216" t="s">
        <v>543</v>
      </c>
      <c r="W216" t="s">
        <v>194</v>
      </c>
      <c r="X216" t="s">
        <v>66</v>
      </c>
      <c r="Y216" t="s">
        <v>66</v>
      </c>
      <c r="Z216">
        <v>7</v>
      </c>
      <c r="AA216">
        <v>6</v>
      </c>
      <c r="AB216">
        <v>6</v>
      </c>
      <c r="AC216">
        <v>6</v>
      </c>
      <c r="AD216">
        <v>6</v>
      </c>
      <c r="AE216">
        <v>1</v>
      </c>
      <c r="AF216">
        <v>2</v>
      </c>
      <c r="AG216">
        <v>6</v>
      </c>
      <c r="AH216">
        <v>4</v>
      </c>
      <c r="AI216">
        <v>1</v>
      </c>
      <c r="AJ216">
        <v>7</v>
      </c>
      <c r="AK216">
        <v>6</v>
      </c>
      <c r="AL216">
        <v>5</v>
      </c>
      <c r="AM216">
        <v>2</v>
      </c>
      <c r="AN216">
        <v>14</v>
      </c>
      <c r="AO216">
        <v>1</v>
      </c>
      <c r="AP216">
        <v>7</v>
      </c>
      <c r="AQ216">
        <v>5</v>
      </c>
      <c r="AR216">
        <v>3</v>
      </c>
      <c r="AS216">
        <v>6</v>
      </c>
      <c r="AT216">
        <v>4</v>
      </c>
      <c r="AU216">
        <v>6</v>
      </c>
      <c r="AV216">
        <v>6</v>
      </c>
      <c r="AW216">
        <v>7</v>
      </c>
      <c r="AX216">
        <v>3</v>
      </c>
      <c r="AY216" cm="1">
        <f t="array" ref="AY216">_xlfn.IFS(AZ216="Positive",1, AZ216="Negative",1, AZ216="Neutral",0)</f>
        <v>1</v>
      </c>
      <c r="AZ216" t="str" cm="1">
        <f t="array" ref="AZ216">_xlfn.IFS(AX216=1,"Positive",AX216=2,"Neutral",AX216=3,"Negative")</f>
        <v>Negative</v>
      </c>
      <c r="BA216">
        <v>6</v>
      </c>
      <c r="BB216">
        <v>4</v>
      </c>
      <c r="BC216" s="3">
        <v>4</v>
      </c>
      <c r="BD216" s="3">
        <v>0</v>
      </c>
      <c r="BE216" s="3">
        <v>0</v>
      </c>
      <c r="BF216" s="3">
        <v>1</v>
      </c>
      <c r="BG216" s="3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2</v>
      </c>
      <c r="BN216">
        <v>1</v>
      </c>
      <c r="BO216">
        <v>1</v>
      </c>
      <c r="BP216">
        <v>0</v>
      </c>
      <c r="BQ216">
        <v>0</v>
      </c>
      <c r="BR216">
        <v>0</v>
      </c>
      <c r="BS216" t="s">
        <v>510</v>
      </c>
      <c r="BT216">
        <v>3</v>
      </c>
      <c r="BU216" t="s">
        <v>511</v>
      </c>
      <c r="BV216" t="s">
        <v>309</v>
      </c>
    </row>
    <row r="217" spans="1:74" hidden="1" x14ac:dyDescent="0.2">
      <c r="A217">
        <v>226</v>
      </c>
      <c r="B217">
        <v>111</v>
      </c>
      <c r="C217" t="s">
        <v>189</v>
      </c>
      <c r="E217" t="s">
        <v>68</v>
      </c>
      <c r="F217">
        <v>20</v>
      </c>
      <c r="G217">
        <v>2001</v>
      </c>
      <c r="H217">
        <v>21</v>
      </c>
      <c r="I217" t="s">
        <v>64</v>
      </c>
      <c r="J217">
        <v>1</v>
      </c>
      <c r="K217" t="s">
        <v>667</v>
      </c>
      <c r="L217" t="s">
        <v>654</v>
      </c>
      <c r="M217">
        <v>10</v>
      </c>
      <c r="N217">
        <v>55</v>
      </c>
      <c r="O217" t="s">
        <v>338</v>
      </c>
      <c r="P217" t="s">
        <v>389</v>
      </c>
      <c r="Q217" t="s">
        <v>741</v>
      </c>
      <c r="R217" t="s">
        <v>728</v>
      </c>
      <c r="S217" t="s">
        <v>378</v>
      </c>
      <c r="T217" t="s">
        <v>404</v>
      </c>
      <c r="U217" t="s">
        <v>342</v>
      </c>
      <c r="V217" t="s">
        <v>392</v>
      </c>
      <c r="W217" t="s">
        <v>194</v>
      </c>
      <c r="X217" t="s">
        <v>66</v>
      </c>
      <c r="Y217" t="s">
        <v>66</v>
      </c>
      <c r="Z217">
        <v>7</v>
      </c>
      <c r="AA217">
        <v>6</v>
      </c>
      <c r="AB217">
        <v>6</v>
      </c>
      <c r="AC217">
        <v>6</v>
      </c>
      <c r="AD217">
        <v>5</v>
      </c>
      <c r="AE217">
        <v>5</v>
      </c>
      <c r="AF217">
        <v>3</v>
      </c>
      <c r="AG217">
        <v>2</v>
      </c>
      <c r="AH217">
        <v>3</v>
      </c>
      <c r="AI217">
        <v>5</v>
      </c>
      <c r="AJ217">
        <v>2</v>
      </c>
      <c r="AK217">
        <v>3</v>
      </c>
      <c r="AL217">
        <v>4</v>
      </c>
      <c r="AM217">
        <v>3</v>
      </c>
      <c r="AN217">
        <v>6</v>
      </c>
      <c r="AO217">
        <v>6</v>
      </c>
      <c r="AP217">
        <v>3</v>
      </c>
      <c r="AQ217">
        <v>3</v>
      </c>
      <c r="AR217">
        <v>5</v>
      </c>
      <c r="AS217">
        <v>5</v>
      </c>
      <c r="AT217">
        <v>5</v>
      </c>
      <c r="AU217">
        <v>5</v>
      </c>
      <c r="AV217">
        <v>5</v>
      </c>
      <c r="AW217">
        <v>2</v>
      </c>
      <c r="AX217">
        <v>2</v>
      </c>
      <c r="AY217" cm="1">
        <f t="array" ref="AY217">_xlfn.IFS(AZ217="Positive",1, AZ217="Negative",1, AZ217="Neutral",0)</f>
        <v>0</v>
      </c>
      <c r="AZ217" t="str" cm="1">
        <f t="array" ref="AZ217">_xlfn.IFS(AX217=1,"Positive",AX217=2,"Neutral",AX217=3,"Negative")</f>
        <v>Neutral</v>
      </c>
      <c r="BA217">
        <v>13</v>
      </c>
      <c r="BB217">
        <v>0</v>
      </c>
      <c r="BC217" s="3">
        <v>8</v>
      </c>
      <c r="BD217" s="3">
        <v>1</v>
      </c>
      <c r="BE217" s="3">
        <v>4</v>
      </c>
      <c r="BF217" s="3">
        <v>0</v>
      </c>
      <c r="BG217" s="3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 t="s">
        <v>619</v>
      </c>
      <c r="BT217" t="s">
        <v>536</v>
      </c>
      <c r="BU217" t="s">
        <v>620</v>
      </c>
      <c r="BV217" t="s">
        <v>556</v>
      </c>
    </row>
    <row r="218" spans="1:74" hidden="1" x14ac:dyDescent="0.2">
      <c r="A218">
        <v>227</v>
      </c>
      <c r="B218">
        <v>112</v>
      </c>
      <c r="C218" t="s">
        <v>190</v>
      </c>
      <c r="E218" t="s">
        <v>88</v>
      </c>
      <c r="F218">
        <v>21</v>
      </c>
      <c r="G218">
        <v>2001</v>
      </c>
      <c r="H218">
        <v>21</v>
      </c>
      <c r="I218" t="s">
        <v>69</v>
      </c>
      <c r="J218">
        <v>2</v>
      </c>
      <c r="K218" t="s">
        <v>637</v>
      </c>
      <c r="L218" t="s">
        <v>665</v>
      </c>
      <c r="M218">
        <v>0</v>
      </c>
      <c r="N218">
        <v>60</v>
      </c>
      <c r="O218" t="s">
        <v>539</v>
      </c>
      <c r="P218" t="s">
        <v>542</v>
      </c>
      <c r="Q218" t="s">
        <v>706</v>
      </c>
      <c r="R218" t="s">
        <v>739</v>
      </c>
      <c r="S218" t="s">
        <v>411</v>
      </c>
      <c r="T218" t="s">
        <v>444</v>
      </c>
      <c r="U218" t="s">
        <v>624</v>
      </c>
      <c r="V218" t="s">
        <v>543</v>
      </c>
      <c r="W218" t="s">
        <v>194</v>
      </c>
      <c r="X218" t="s">
        <v>66</v>
      </c>
      <c r="Y218" t="s">
        <v>66</v>
      </c>
      <c r="Z218">
        <v>7</v>
      </c>
      <c r="AA218">
        <v>7</v>
      </c>
      <c r="AB218">
        <v>7</v>
      </c>
      <c r="AC218">
        <v>4</v>
      </c>
      <c r="AD218">
        <v>3</v>
      </c>
      <c r="AE218">
        <v>4</v>
      </c>
      <c r="AF218">
        <v>2</v>
      </c>
      <c r="AG218">
        <v>2</v>
      </c>
      <c r="AH218">
        <v>5</v>
      </c>
      <c r="AI218">
        <v>3</v>
      </c>
      <c r="AJ218">
        <v>4</v>
      </c>
      <c r="AK218">
        <v>3</v>
      </c>
      <c r="AL218">
        <v>2</v>
      </c>
      <c r="AM218">
        <v>1</v>
      </c>
      <c r="AN218">
        <v>34</v>
      </c>
      <c r="AO218">
        <v>3</v>
      </c>
      <c r="AP218">
        <v>2</v>
      </c>
      <c r="AQ218">
        <v>4</v>
      </c>
      <c r="AR218">
        <v>2</v>
      </c>
      <c r="AS218">
        <v>5</v>
      </c>
      <c r="AT218">
        <v>2</v>
      </c>
      <c r="AU218">
        <v>5</v>
      </c>
      <c r="AV218">
        <v>2</v>
      </c>
      <c r="AW218">
        <v>3</v>
      </c>
      <c r="AX218">
        <v>1</v>
      </c>
      <c r="AY218" cm="1">
        <f t="array" ref="AY218">_xlfn.IFS(AZ218="Positive",1, AZ218="Negative",1, AZ218="Neutral",0)</f>
        <v>1</v>
      </c>
      <c r="AZ218" t="str" cm="1">
        <f t="array" ref="AZ218">_xlfn.IFS(AX218=1,"Positive",AX218=2,"Neutral",AX218=3,"Negative")</f>
        <v>Positive</v>
      </c>
      <c r="BA218">
        <v>11</v>
      </c>
      <c r="BB218">
        <v>0</v>
      </c>
      <c r="BC218" s="3">
        <v>6</v>
      </c>
      <c r="BD218" s="3">
        <v>0</v>
      </c>
      <c r="BE218" s="3">
        <v>4</v>
      </c>
      <c r="BF218" s="3">
        <v>1</v>
      </c>
      <c r="BG218" s="3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 t="s">
        <v>567</v>
      </c>
      <c r="BT218" t="s">
        <v>322</v>
      </c>
      <c r="BU218" t="s">
        <v>569</v>
      </c>
      <c r="BV218" t="s">
        <v>422</v>
      </c>
    </row>
    <row r="219" spans="1:74" x14ac:dyDescent="0.2">
      <c r="A219">
        <v>228</v>
      </c>
      <c r="B219">
        <v>113</v>
      </c>
      <c r="C219" t="s">
        <v>191</v>
      </c>
      <c r="E219" t="s">
        <v>68</v>
      </c>
      <c r="F219">
        <v>22</v>
      </c>
      <c r="G219">
        <v>1996</v>
      </c>
      <c r="H219">
        <v>26</v>
      </c>
      <c r="I219" t="s">
        <v>69</v>
      </c>
      <c r="J219">
        <v>2</v>
      </c>
      <c r="K219" t="s">
        <v>671</v>
      </c>
      <c r="L219" t="s">
        <v>675</v>
      </c>
      <c r="M219">
        <v>14</v>
      </c>
      <c r="N219">
        <v>57</v>
      </c>
      <c r="O219" t="s">
        <v>446</v>
      </c>
      <c r="P219">
        <v>6</v>
      </c>
      <c r="Q219" t="s">
        <v>748</v>
      </c>
      <c r="R219" t="s">
        <v>754</v>
      </c>
      <c r="S219" t="s">
        <v>550</v>
      </c>
      <c r="T219" t="s">
        <v>575</v>
      </c>
      <c r="U219" t="s">
        <v>448</v>
      </c>
      <c r="V219" t="s">
        <v>471</v>
      </c>
      <c r="W219" t="s">
        <v>194</v>
      </c>
      <c r="X219" t="s">
        <v>66</v>
      </c>
      <c r="Y219" t="s">
        <v>66</v>
      </c>
      <c r="Z219">
        <v>7</v>
      </c>
      <c r="AA219">
        <v>5</v>
      </c>
      <c r="AB219">
        <v>6</v>
      </c>
      <c r="AC219">
        <v>2</v>
      </c>
      <c r="AD219">
        <v>7</v>
      </c>
      <c r="AE219">
        <v>6</v>
      </c>
      <c r="AF219">
        <v>1</v>
      </c>
      <c r="AG219">
        <v>1</v>
      </c>
      <c r="AH219">
        <v>7</v>
      </c>
      <c r="AI219">
        <v>6</v>
      </c>
      <c r="AJ219">
        <v>2</v>
      </c>
      <c r="AK219">
        <v>7</v>
      </c>
      <c r="AL219">
        <v>5</v>
      </c>
      <c r="AM219">
        <v>1</v>
      </c>
      <c r="AN219">
        <v>8</v>
      </c>
      <c r="AO219">
        <v>1</v>
      </c>
      <c r="AP219">
        <v>2</v>
      </c>
      <c r="AQ219">
        <v>2</v>
      </c>
      <c r="AR219">
        <v>5</v>
      </c>
      <c r="AS219">
        <v>5</v>
      </c>
      <c r="AT219">
        <v>5</v>
      </c>
      <c r="AU219">
        <v>6</v>
      </c>
      <c r="AV219">
        <v>6</v>
      </c>
      <c r="AW219">
        <v>6</v>
      </c>
      <c r="AX219">
        <v>1</v>
      </c>
      <c r="AY219" cm="1">
        <f t="array" ref="AY219">_xlfn.IFS(AZ219="Positive",1, AZ219="Negative",1, AZ219="Neutral",0)</f>
        <v>1</v>
      </c>
      <c r="AZ219" t="str" cm="1">
        <f t="array" ref="AZ219">_xlfn.IFS(AX219=1,"Positive",AX219=2,"Neutral",AX219=3,"Negative")</f>
        <v>Positive</v>
      </c>
      <c r="BA219">
        <v>0</v>
      </c>
      <c r="BB219">
        <v>3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>
        <v>0</v>
      </c>
      <c r="BI219">
        <v>0</v>
      </c>
      <c r="BJ219">
        <v>2</v>
      </c>
      <c r="BK219">
        <v>0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3</v>
      </c>
      <c r="BT219" t="s">
        <v>489</v>
      </c>
      <c r="BU219" t="s">
        <v>395</v>
      </c>
      <c r="BV219" t="s">
        <v>512</v>
      </c>
    </row>
    <row r="220" spans="1:74" hidden="1" x14ac:dyDescent="0.2">
      <c r="A220">
        <v>229</v>
      </c>
      <c r="B220">
        <v>114</v>
      </c>
      <c r="C220" t="s">
        <v>192</v>
      </c>
      <c r="E220" t="s">
        <v>80</v>
      </c>
      <c r="F220">
        <v>26</v>
      </c>
      <c r="G220">
        <v>1997</v>
      </c>
      <c r="H220">
        <v>25</v>
      </c>
      <c r="I220" t="s">
        <v>69</v>
      </c>
      <c r="J220">
        <v>2</v>
      </c>
      <c r="K220" t="s">
        <v>481</v>
      </c>
      <c r="L220" t="s">
        <v>654</v>
      </c>
      <c r="M220">
        <v>12</v>
      </c>
      <c r="N220">
        <v>49</v>
      </c>
      <c r="O220" t="s">
        <v>625</v>
      </c>
      <c r="P220">
        <v>4</v>
      </c>
      <c r="Q220" t="s">
        <v>743</v>
      </c>
      <c r="R220" t="s">
        <v>728</v>
      </c>
      <c r="S220" t="s">
        <v>499</v>
      </c>
      <c r="T220" t="s">
        <v>491</v>
      </c>
      <c r="U220" t="s">
        <v>626</v>
      </c>
      <c r="V220" t="s">
        <v>627</v>
      </c>
      <c r="W220" t="s">
        <v>194</v>
      </c>
      <c r="X220" t="s">
        <v>66</v>
      </c>
      <c r="Y220" t="s">
        <v>66</v>
      </c>
      <c r="Z220">
        <v>7</v>
      </c>
      <c r="AA220">
        <v>2</v>
      </c>
      <c r="AB220">
        <v>7</v>
      </c>
      <c r="AC220">
        <v>1</v>
      </c>
      <c r="AD220">
        <v>1</v>
      </c>
      <c r="AE220">
        <v>1</v>
      </c>
      <c r="AF220">
        <v>1</v>
      </c>
      <c r="AG220">
        <v>3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120</v>
      </c>
      <c r="AO220">
        <v>1</v>
      </c>
      <c r="AP220">
        <v>4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3</v>
      </c>
      <c r="AX220">
        <v>2</v>
      </c>
      <c r="AY220" cm="1">
        <f t="array" ref="AY220">_xlfn.IFS(AZ220="Positive",1, AZ220="Negative",1, AZ220="Neutral",0)</f>
        <v>0</v>
      </c>
      <c r="AZ220" t="str" cm="1">
        <f t="array" ref="AZ220">_xlfn.IFS(AX220=1,"Positive",AX220=2,"Neutral",AX220=3,"Negative")</f>
        <v>Neutral</v>
      </c>
      <c r="BA220">
        <v>8</v>
      </c>
      <c r="BB220">
        <v>0</v>
      </c>
      <c r="BC220" s="3">
        <v>5</v>
      </c>
      <c r="BD220" s="3">
        <v>1</v>
      </c>
      <c r="BE220" s="3">
        <v>0</v>
      </c>
      <c r="BF220" s="3">
        <v>0</v>
      </c>
      <c r="BG220" s="3">
        <v>2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 t="s">
        <v>285</v>
      </c>
      <c r="BT220" t="s">
        <v>276</v>
      </c>
      <c r="BU220" t="s">
        <v>289</v>
      </c>
      <c r="BV220" t="s">
        <v>280</v>
      </c>
    </row>
    <row r="221" spans="1:74" s="1" customFormat="1" hidden="1" x14ac:dyDescent="0.2">
      <c r="A221">
        <v>230</v>
      </c>
      <c r="B221">
        <v>115</v>
      </c>
      <c r="C221" t="s">
        <v>193</v>
      </c>
      <c r="D221"/>
      <c r="E221" t="s">
        <v>93</v>
      </c>
      <c r="F221">
        <v>6</v>
      </c>
      <c r="G221">
        <v>1997</v>
      </c>
      <c r="H221">
        <v>25</v>
      </c>
      <c r="I221" t="s">
        <v>69</v>
      </c>
      <c r="J221">
        <v>2</v>
      </c>
      <c r="K221" t="s">
        <v>671</v>
      </c>
      <c r="L221" t="s">
        <v>677</v>
      </c>
      <c r="M221">
        <v>10</v>
      </c>
      <c r="N221">
        <v>52</v>
      </c>
      <c r="O221" t="s">
        <v>460</v>
      </c>
      <c r="P221" t="s">
        <v>315</v>
      </c>
      <c r="Q221" t="s">
        <v>748</v>
      </c>
      <c r="R221" t="s">
        <v>756</v>
      </c>
      <c r="S221" t="s">
        <v>378</v>
      </c>
      <c r="T221" t="s">
        <v>495</v>
      </c>
      <c r="U221" t="s">
        <v>582</v>
      </c>
      <c r="V221" t="s">
        <v>321</v>
      </c>
      <c r="W221" t="s">
        <v>194</v>
      </c>
      <c r="X221" t="s">
        <v>66</v>
      </c>
      <c r="Y221" t="s">
        <v>66</v>
      </c>
      <c r="Z221">
        <v>7</v>
      </c>
      <c r="AA221">
        <v>6</v>
      </c>
      <c r="AB221">
        <v>7</v>
      </c>
      <c r="AC221">
        <v>2</v>
      </c>
      <c r="AD221">
        <v>1</v>
      </c>
      <c r="AE221">
        <v>1</v>
      </c>
      <c r="AF221">
        <v>1</v>
      </c>
      <c r="AG221">
        <v>2</v>
      </c>
      <c r="AH221">
        <v>4</v>
      </c>
      <c r="AI221">
        <v>2</v>
      </c>
      <c r="AJ221">
        <v>6</v>
      </c>
      <c r="AK221">
        <v>2</v>
      </c>
      <c r="AL221">
        <v>4</v>
      </c>
      <c r="AM221">
        <v>4</v>
      </c>
      <c r="AN221">
        <v>24</v>
      </c>
      <c r="AO221">
        <v>3</v>
      </c>
      <c r="AP221">
        <v>5</v>
      </c>
      <c r="AQ221">
        <v>4</v>
      </c>
      <c r="AR221">
        <v>3</v>
      </c>
      <c r="AS221">
        <v>6</v>
      </c>
      <c r="AT221">
        <v>3</v>
      </c>
      <c r="AU221">
        <v>6</v>
      </c>
      <c r="AV221">
        <v>5</v>
      </c>
      <c r="AW221">
        <v>4</v>
      </c>
      <c r="AX221">
        <v>2</v>
      </c>
      <c r="AY221" cm="1">
        <f t="array" ref="AY221">_xlfn.IFS(AZ221="Positive",1, AZ221="Negative",1, AZ221="Neutral",0)</f>
        <v>0</v>
      </c>
      <c r="AZ221" t="str" cm="1">
        <f t="array" ref="AZ221">_xlfn.IFS(AX221=1,"Positive",AX221=2,"Neutral",AX221=3,"Negative")</f>
        <v>Neutral</v>
      </c>
      <c r="BA221">
        <v>37</v>
      </c>
      <c r="BB221">
        <v>0</v>
      </c>
      <c r="BC221" s="3">
        <v>19</v>
      </c>
      <c r="BD221" s="3">
        <v>0</v>
      </c>
      <c r="BE221" s="3">
        <v>5</v>
      </c>
      <c r="BF221" s="3">
        <v>8</v>
      </c>
      <c r="BG221" s="3">
        <v>5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3</v>
      </c>
      <c r="BT221" t="s">
        <v>463</v>
      </c>
      <c r="BU221" t="s">
        <v>395</v>
      </c>
      <c r="BV221" t="s">
        <v>628</v>
      </c>
    </row>
    <row r="222" spans="1:74" s="1" customFormat="1" x14ac:dyDescent="0.2">
      <c r="A222">
        <v>231</v>
      </c>
      <c r="B222">
        <v>1</v>
      </c>
      <c r="C222" t="s">
        <v>62</v>
      </c>
      <c r="D222"/>
      <c r="E222" t="s">
        <v>63</v>
      </c>
      <c r="F222">
        <v>3</v>
      </c>
      <c r="G222">
        <v>1998</v>
      </c>
      <c r="H222">
        <v>24</v>
      </c>
      <c r="I222" t="s">
        <v>64</v>
      </c>
      <c r="J222">
        <v>1</v>
      </c>
      <c r="K222" t="s">
        <v>632</v>
      </c>
      <c r="L222" t="s">
        <v>633</v>
      </c>
      <c r="M222">
        <v>3</v>
      </c>
      <c r="N222">
        <v>49</v>
      </c>
      <c r="O222" t="s">
        <v>288</v>
      </c>
      <c r="P222" t="s">
        <v>481</v>
      </c>
      <c r="Q222" t="s">
        <v>731</v>
      </c>
      <c r="R222" t="s">
        <v>711</v>
      </c>
      <c r="S222" t="s">
        <v>372</v>
      </c>
      <c r="T222" t="s">
        <v>491</v>
      </c>
      <c r="U222" t="s">
        <v>461</v>
      </c>
      <c r="V222" t="s">
        <v>483</v>
      </c>
      <c r="W222" t="s">
        <v>195</v>
      </c>
      <c r="X222" t="s">
        <v>196</v>
      </c>
      <c r="Y222" t="s">
        <v>274</v>
      </c>
      <c r="Z222">
        <v>7</v>
      </c>
      <c r="AA222">
        <v>5</v>
      </c>
      <c r="AB222">
        <v>4</v>
      </c>
      <c r="AC222">
        <v>4</v>
      </c>
      <c r="AD222">
        <v>2</v>
      </c>
      <c r="AE222">
        <v>4</v>
      </c>
      <c r="AF222">
        <v>3</v>
      </c>
      <c r="AG222">
        <v>5</v>
      </c>
      <c r="AH222">
        <v>3</v>
      </c>
      <c r="AI222">
        <v>4</v>
      </c>
      <c r="AJ222">
        <v>5</v>
      </c>
      <c r="AK222">
        <v>4</v>
      </c>
      <c r="AL222">
        <v>3</v>
      </c>
      <c r="AM222">
        <v>5</v>
      </c>
      <c r="AN222">
        <v>34</v>
      </c>
      <c r="AO222">
        <v>4</v>
      </c>
      <c r="AP222">
        <v>5</v>
      </c>
      <c r="AQ222">
        <v>4</v>
      </c>
      <c r="AR222">
        <v>6</v>
      </c>
      <c r="AS222">
        <v>4</v>
      </c>
      <c r="AT222">
        <v>5</v>
      </c>
      <c r="AU222">
        <v>5</v>
      </c>
      <c r="AV222">
        <v>3</v>
      </c>
      <c r="AW222">
        <v>5</v>
      </c>
      <c r="AX222">
        <v>2</v>
      </c>
      <c r="AY222" cm="1">
        <f t="array" ref="AY222">_xlfn.IFS(AZ222="Positive",1, AZ222="Negative",1, AZ222="Neutral",0)</f>
        <v>1</v>
      </c>
      <c r="AZ222" t="s">
        <v>196</v>
      </c>
      <c r="BA222">
        <v>0</v>
      </c>
      <c r="BB222">
        <v>3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>
        <v>0</v>
      </c>
      <c r="BI222">
        <v>1</v>
      </c>
      <c r="BJ222">
        <v>1</v>
      </c>
      <c r="BK222">
        <v>0</v>
      </c>
      <c r="BL222">
        <v>1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 t="s">
        <v>453</v>
      </c>
      <c r="BT222">
        <v>3</v>
      </c>
      <c r="BU222" t="s">
        <v>472</v>
      </c>
      <c r="BV222" t="s">
        <v>309</v>
      </c>
    </row>
    <row r="223" spans="1:74" s="1" customFormat="1" hidden="1" x14ac:dyDescent="0.2">
      <c r="A223">
        <v>232</v>
      </c>
      <c r="B223">
        <v>2</v>
      </c>
      <c r="C223" t="s">
        <v>67</v>
      </c>
      <c r="D223"/>
      <c r="E223" t="s">
        <v>68</v>
      </c>
      <c r="F223">
        <v>22</v>
      </c>
      <c r="G223">
        <v>1998</v>
      </c>
      <c r="H223">
        <v>24</v>
      </c>
      <c r="I223" t="s">
        <v>69</v>
      </c>
      <c r="J223">
        <v>2</v>
      </c>
      <c r="K223" t="s">
        <v>632</v>
      </c>
      <c r="L223" t="s">
        <v>634</v>
      </c>
      <c r="M223">
        <v>7</v>
      </c>
      <c r="N223">
        <v>57</v>
      </c>
      <c r="O223" t="s">
        <v>460</v>
      </c>
      <c r="P223" t="s">
        <v>389</v>
      </c>
      <c r="Q223" t="s">
        <v>731</v>
      </c>
      <c r="R223" t="s">
        <v>747</v>
      </c>
      <c r="S223" t="s">
        <v>430</v>
      </c>
      <c r="T223" t="s">
        <v>575</v>
      </c>
      <c r="U223" t="s">
        <v>582</v>
      </c>
      <c r="V223" t="s">
        <v>392</v>
      </c>
      <c r="W223" t="s">
        <v>195</v>
      </c>
      <c r="X223" t="s">
        <v>196</v>
      </c>
      <c r="Y223" t="s">
        <v>274</v>
      </c>
      <c r="Z223">
        <v>7</v>
      </c>
      <c r="AA223">
        <v>6</v>
      </c>
      <c r="AB223">
        <v>6</v>
      </c>
      <c r="AC223">
        <v>5</v>
      </c>
      <c r="AD223">
        <v>3</v>
      </c>
      <c r="AE223">
        <v>6</v>
      </c>
      <c r="AF223">
        <v>3</v>
      </c>
      <c r="AG223">
        <v>2</v>
      </c>
      <c r="AH223">
        <v>6</v>
      </c>
      <c r="AI223">
        <v>6</v>
      </c>
      <c r="AJ223">
        <v>2</v>
      </c>
      <c r="AK223">
        <v>5</v>
      </c>
      <c r="AL223">
        <v>4</v>
      </c>
      <c r="AM223">
        <v>4</v>
      </c>
      <c r="AN223">
        <v>48</v>
      </c>
      <c r="AO223">
        <v>2</v>
      </c>
      <c r="AP223">
        <v>2</v>
      </c>
      <c r="AQ223">
        <v>5</v>
      </c>
      <c r="AR223">
        <v>5</v>
      </c>
      <c r="AS223">
        <v>5</v>
      </c>
      <c r="AT223">
        <v>5</v>
      </c>
      <c r="AU223">
        <v>4</v>
      </c>
      <c r="AV223">
        <v>4</v>
      </c>
      <c r="AW223">
        <v>5</v>
      </c>
      <c r="AX223">
        <v>1</v>
      </c>
      <c r="AY223" cm="1">
        <f t="array" ref="AY223">_xlfn.IFS(AZ223="Positive",1, AZ223="Negative",1, AZ223="Neutral",0)</f>
        <v>1</v>
      </c>
      <c r="AZ223" t="s">
        <v>196</v>
      </c>
      <c r="BA223">
        <v>12</v>
      </c>
      <c r="BB223">
        <v>0</v>
      </c>
      <c r="BC223" s="3">
        <v>7</v>
      </c>
      <c r="BD223" s="3">
        <v>2</v>
      </c>
      <c r="BE223" s="3">
        <v>3</v>
      </c>
      <c r="BF223" s="3">
        <v>0</v>
      </c>
      <c r="BG223" s="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 t="s">
        <v>453</v>
      </c>
      <c r="BT223" t="s">
        <v>399</v>
      </c>
      <c r="BU223" t="s">
        <v>472</v>
      </c>
      <c r="BV223" t="s">
        <v>447</v>
      </c>
    </row>
    <row r="224" spans="1:74" s="1" customFormat="1" hidden="1" x14ac:dyDescent="0.2">
      <c r="A224">
        <v>233</v>
      </c>
      <c r="B224">
        <v>3</v>
      </c>
      <c r="C224" t="s">
        <v>70</v>
      </c>
      <c r="D224"/>
      <c r="E224" t="s">
        <v>71</v>
      </c>
      <c r="F224">
        <v>2</v>
      </c>
      <c r="G224">
        <v>1999</v>
      </c>
      <c r="H224">
        <v>23</v>
      </c>
      <c r="I224" t="s">
        <v>64</v>
      </c>
      <c r="J224">
        <v>1</v>
      </c>
      <c r="K224" t="s">
        <v>635</v>
      </c>
      <c r="L224" t="s">
        <v>636</v>
      </c>
      <c r="M224">
        <v>2</v>
      </c>
      <c r="N224">
        <v>66</v>
      </c>
      <c r="O224" t="s">
        <v>277</v>
      </c>
      <c r="P224" t="s">
        <v>278</v>
      </c>
      <c r="Q224" t="s">
        <v>704</v>
      </c>
      <c r="R224" t="s">
        <v>705</v>
      </c>
      <c r="S224" t="s">
        <v>281</v>
      </c>
      <c r="T224" t="s">
        <v>282</v>
      </c>
      <c r="U224" t="s">
        <v>283</v>
      </c>
      <c r="V224" t="s">
        <v>284</v>
      </c>
      <c r="W224" t="s">
        <v>195</v>
      </c>
      <c r="X224" t="s">
        <v>196</v>
      </c>
      <c r="Y224" t="s">
        <v>274</v>
      </c>
      <c r="Z224">
        <v>7</v>
      </c>
      <c r="AA224">
        <v>7</v>
      </c>
      <c r="AB224">
        <v>7</v>
      </c>
      <c r="AC224">
        <v>6</v>
      </c>
      <c r="AD224">
        <v>1</v>
      </c>
      <c r="AE224">
        <v>7</v>
      </c>
      <c r="AF224">
        <v>2</v>
      </c>
      <c r="AG224">
        <v>1</v>
      </c>
      <c r="AH224">
        <v>6</v>
      </c>
      <c r="AI224">
        <v>7</v>
      </c>
      <c r="AJ224">
        <v>1</v>
      </c>
      <c r="AK224">
        <v>6</v>
      </c>
      <c r="AL224">
        <v>4</v>
      </c>
      <c r="AM224">
        <v>6</v>
      </c>
      <c r="AN224">
        <v>65</v>
      </c>
      <c r="AO224">
        <v>1</v>
      </c>
      <c r="AP224">
        <v>1</v>
      </c>
      <c r="AQ224">
        <v>2</v>
      </c>
      <c r="AR224">
        <v>6</v>
      </c>
      <c r="AS224">
        <v>4</v>
      </c>
      <c r="AT224">
        <v>6</v>
      </c>
      <c r="AU224">
        <v>4</v>
      </c>
      <c r="AV224">
        <v>6</v>
      </c>
      <c r="AW224">
        <v>7</v>
      </c>
      <c r="AX224">
        <v>1</v>
      </c>
      <c r="AY224" cm="1">
        <f t="array" ref="AY224">_xlfn.IFS(AZ224="Positive",1, AZ224="Negative",1, AZ224="Neutral",0)</f>
        <v>1</v>
      </c>
      <c r="AZ224" t="s">
        <v>196</v>
      </c>
      <c r="BA224">
        <v>8</v>
      </c>
      <c r="BB224">
        <v>2</v>
      </c>
      <c r="BC224" s="3">
        <v>3</v>
      </c>
      <c r="BD224" s="3">
        <v>2</v>
      </c>
      <c r="BE224" s="3">
        <v>3</v>
      </c>
      <c r="BF224" s="3">
        <v>0</v>
      </c>
      <c r="BG224" s="3">
        <v>0</v>
      </c>
      <c r="BH224">
        <v>0</v>
      </c>
      <c r="BI224">
        <v>0</v>
      </c>
      <c r="BJ224">
        <v>2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 t="s">
        <v>275</v>
      </c>
      <c r="BT224" t="s">
        <v>276</v>
      </c>
      <c r="BU224" t="s">
        <v>279</v>
      </c>
      <c r="BV224" t="s">
        <v>280</v>
      </c>
    </row>
    <row r="225" spans="1:74" s="1" customFormat="1" hidden="1" x14ac:dyDescent="0.2">
      <c r="A225">
        <v>234</v>
      </c>
      <c r="B225">
        <v>4</v>
      </c>
      <c r="C225" t="s">
        <v>72</v>
      </c>
      <c r="D225"/>
      <c r="E225" t="s">
        <v>73</v>
      </c>
      <c r="F225">
        <v>2</v>
      </c>
      <c r="G225">
        <v>1999</v>
      </c>
      <c r="H225">
        <v>23</v>
      </c>
      <c r="I225" t="s">
        <v>64</v>
      </c>
      <c r="J225">
        <v>1</v>
      </c>
      <c r="K225" t="s">
        <v>637</v>
      </c>
      <c r="L225" t="s">
        <v>638</v>
      </c>
      <c r="M225">
        <v>8</v>
      </c>
      <c r="N225">
        <v>61</v>
      </c>
      <c r="O225" t="s">
        <v>287</v>
      </c>
      <c r="P225" t="s">
        <v>288</v>
      </c>
      <c r="Q225" t="s">
        <v>706</v>
      </c>
      <c r="R225" t="s">
        <v>707</v>
      </c>
      <c r="S225" t="s">
        <v>291</v>
      </c>
      <c r="T225" t="s">
        <v>292</v>
      </c>
      <c r="U225" t="s">
        <v>293</v>
      </c>
      <c r="V225" t="s">
        <v>294</v>
      </c>
      <c r="W225" t="s">
        <v>195</v>
      </c>
      <c r="X225" t="s">
        <v>196</v>
      </c>
      <c r="Y225" t="s">
        <v>274</v>
      </c>
      <c r="Z225">
        <v>7</v>
      </c>
      <c r="AA225">
        <v>4</v>
      </c>
      <c r="AB225">
        <v>5</v>
      </c>
      <c r="AC225">
        <v>6</v>
      </c>
      <c r="AD225">
        <v>1</v>
      </c>
      <c r="AE225">
        <v>5</v>
      </c>
      <c r="AF225">
        <v>3</v>
      </c>
      <c r="AG225">
        <v>5</v>
      </c>
      <c r="AH225">
        <v>5</v>
      </c>
      <c r="AI225">
        <v>7</v>
      </c>
      <c r="AJ225">
        <v>1</v>
      </c>
      <c r="AK225">
        <v>3</v>
      </c>
      <c r="AL225">
        <v>1</v>
      </c>
      <c r="AM225">
        <v>2</v>
      </c>
      <c r="AN225">
        <v>202</v>
      </c>
      <c r="AO225">
        <v>1</v>
      </c>
      <c r="AP225">
        <v>1</v>
      </c>
      <c r="AQ225">
        <v>5</v>
      </c>
      <c r="AR225">
        <v>1</v>
      </c>
      <c r="AS225">
        <v>1</v>
      </c>
      <c r="AT225">
        <v>1</v>
      </c>
      <c r="AU225">
        <v>6</v>
      </c>
      <c r="AV225">
        <v>6</v>
      </c>
      <c r="AW225">
        <v>6</v>
      </c>
      <c r="AX225">
        <v>1</v>
      </c>
      <c r="AY225" cm="1">
        <f t="array" ref="AY225">_xlfn.IFS(AZ225="Positive",1, AZ225="Negative",1, AZ225="Neutral",0)</f>
        <v>1</v>
      </c>
      <c r="AZ225" t="s">
        <v>196</v>
      </c>
      <c r="BA225">
        <v>11</v>
      </c>
      <c r="BB225">
        <v>0</v>
      </c>
      <c r="BC225" s="3">
        <v>7</v>
      </c>
      <c r="BD225" s="3">
        <v>0</v>
      </c>
      <c r="BE225" s="3">
        <v>4</v>
      </c>
      <c r="BF225" s="3">
        <v>0</v>
      </c>
      <c r="BG225" s="3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 t="s">
        <v>285</v>
      </c>
      <c r="BT225" t="s">
        <v>286</v>
      </c>
      <c r="BU225" t="s">
        <v>289</v>
      </c>
      <c r="BV225" t="s">
        <v>290</v>
      </c>
    </row>
    <row r="226" spans="1:74" s="1" customFormat="1" hidden="1" x14ac:dyDescent="0.2">
      <c r="A226">
        <v>235</v>
      </c>
      <c r="B226">
        <v>5</v>
      </c>
      <c r="C226" t="s">
        <v>74</v>
      </c>
      <c r="D226"/>
      <c r="E226" t="s">
        <v>68</v>
      </c>
      <c r="F226">
        <v>6</v>
      </c>
      <c r="G226">
        <v>2001</v>
      </c>
      <c r="H226">
        <v>21</v>
      </c>
      <c r="I226" t="s">
        <v>69</v>
      </c>
      <c r="J226">
        <v>2</v>
      </c>
      <c r="K226" t="s">
        <v>639</v>
      </c>
      <c r="L226" t="s">
        <v>640</v>
      </c>
      <c r="M226">
        <v>20</v>
      </c>
      <c r="N226">
        <v>51</v>
      </c>
      <c r="O226" t="s">
        <v>297</v>
      </c>
      <c r="P226" t="s">
        <v>298</v>
      </c>
      <c r="Q226" t="s">
        <v>708</v>
      </c>
      <c r="R226" t="s">
        <v>709</v>
      </c>
      <c r="S226" t="s">
        <v>301</v>
      </c>
      <c r="T226" t="s">
        <v>302</v>
      </c>
      <c r="U226" t="s">
        <v>303</v>
      </c>
      <c r="V226" t="s">
        <v>304</v>
      </c>
      <c r="W226" t="s">
        <v>195</v>
      </c>
      <c r="X226" t="s">
        <v>196</v>
      </c>
      <c r="Y226" t="s">
        <v>274</v>
      </c>
      <c r="Z226">
        <v>7</v>
      </c>
      <c r="AA226">
        <v>5</v>
      </c>
      <c r="AB226">
        <v>7</v>
      </c>
      <c r="AC226">
        <v>6</v>
      </c>
      <c r="AD226">
        <v>2</v>
      </c>
      <c r="AE226">
        <v>1</v>
      </c>
      <c r="AF226">
        <v>4</v>
      </c>
      <c r="AG226">
        <v>1</v>
      </c>
      <c r="AH226">
        <v>3</v>
      </c>
      <c r="AI226">
        <v>7</v>
      </c>
      <c r="AJ226">
        <v>1</v>
      </c>
      <c r="AK226">
        <v>3</v>
      </c>
      <c r="AL226">
        <v>2</v>
      </c>
      <c r="AM226">
        <v>3</v>
      </c>
      <c r="AN226">
        <v>72</v>
      </c>
      <c r="AO226">
        <v>1</v>
      </c>
      <c r="AP226">
        <v>1</v>
      </c>
      <c r="AQ226">
        <v>2</v>
      </c>
      <c r="AR226">
        <v>2</v>
      </c>
      <c r="AS226">
        <v>3</v>
      </c>
      <c r="AT226">
        <v>4</v>
      </c>
      <c r="AU226">
        <v>1</v>
      </c>
      <c r="AV226">
        <v>5</v>
      </c>
      <c r="AW226">
        <v>5</v>
      </c>
      <c r="AX226">
        <v>1</v>
      </c>
      <c r="AY226" cm="1">
        <f t="array" ref="AY226">_xlfn.IFS(AZ226="Positive",1, AZ226="Negative",1, AZ226="Neutral",0)</f>
        <v>1</v>
      </c>
      <c r="AZ226" t="s">
        <v>196</v>
      </c>
      <c r="BA226">
        <v>10</v>
      </c>
      <c r="BB226">
        <v>0</v>
      </c>
      <c r="BC226" s="3">
        <v>8</v>
      </c>
      <c r="BD226" s="3">
        <v>0</v>
      </c>
      <c r="BE226" s="3">
        <v>2</v>
      </c>
      <c r="BF226" s="3">
        <v>0</v>
      </c>
      <c r="BG226" s="3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 t="s">
        <v>295</v>
      </c>
      <c r="BT226" t="s">
        <v>296</v>
      </c>
      <c r="BU226" t="s">
        <v>299</v>
      </c>
      <c r="BV226" t="s">
        <v>300</v>
      </c>
    </row>
    <row r="227" spans="1:74" s="1" customFormat="1" hidden="1" x14ac:dyDescent="0.2">
      <c r="A227">
        <v>236</v>
      </c>
      <c r="B227">
        <v>6</v>
      </c>
      <c r="C227" t="s">
        <v>75</v>
      </c>
      <c r="D227"/>
      <c r="E227" t="s">
        <v>76</v>
      </c>
      <c r="F227">
        <v>28</v>
      </c>
      <c r="G227">
        <v>1999</v>
      </c>
      <c r="H227">
        <v>23</v>
      </c>
      <c r="I227" t="s">
        <v>64</v>
      </c>
      <c r="J227">
        <v>1</v>
      </c>
      <c r="K227" t="s">
        <v>641</v>
      </c>
      <c r="L227" t="s">
        <v>633</v>
      </c>
      <c r="M227">
        <v>21</v>
      </c>
      <c r="N227">
        <v>61</v>
      </c>
      <c r="O227" t="s">
        <v>306</v>
      </c>
      <c r="P227" t="s">
        <v>307</v>
      </c>
      <c r="Q227" t="s">
        <v>710</v>
      </c>
      <c r="R227" t="s">
        <v>711</v>
      </c>
      <c r="S227" t="s">
        <v>310</v>
      </c>
      <c r="T227" t="s">
        <v>292</v>
      </c>
      <c r="U227" t="s">
        <v>311</v>
      </c>
      <c r="V227" t="s">
        <v>312</v>
      </c>
      <c r="W227" t="s">
        <v>195</v>
      </c>
      <c r="X227" t="s">
        <v>196</v>
      </c>
      <c r="Y227" t="s">
        <v>274</v>
      </c>
      <c r="Z227">
        <v>7</v>
      </c>
      <c r="AA227">
        <v>7</v>
      </c>
      <c r="AB227">
        <v>7</v>
      </c>
      <c r="AC227">
        <v>7</v>
      </c>
      <c r="AD227">
        <v>4</v>
      </c>
      <c r="AE227">
        <v>7</v>
      </c>
      <c r="AF227">
        <v>7</v>
      </c>
      <c r="AG227">
        <v>2</v>
      </c>
      <c r="AH227">
        <v>7</v>
      </c>
      <c r="AI227">
        <v>6</v>
      </c>
      <c r="AJ227">
        <v>2</v>
      </c>
      <c r="AK227">
        <v>7</v>
      </c>
      <c r="AL227">
        <v>7</v>
      </c>
      <c r="AM227">
        <v>7</v>
      </c>
      <c r="AN227">
        <v>27</v>
      </c>
      <c r="AO227">
        <v>4</v>
      </c>
      <c r="AP227">
        <v>1</v>
      </c>
      <c r="AQ227">
        <v>2</v>
      </c>
      <c r="AR227">
        <v>7</v>
      </c>
      <c r="AS227">
        <v>7</v>
      </c>
      <c r="AT227">
        <v>7</v>
      </c>
      <c r="AU227">
        <v>7</v>
      </c>
      <c r="AV227">
        <v>7</v>
      </c>
      <c r="AW227">
        <v>6</v>
      </c>
      <c r="AX227">
        <v>1</v>
      </c>
      <c r="AY227" cm="1">
        <f t="array" ref="AY227">_xlfn.IFS(AZ227="Positive",1, AZ227="Negative",1, AZ227="Neutral",0)</f>
        <v>1</v>
      </c>
      <c r="AZ227" t="s">
        <v>196</v>
      </c>
      <c r="BA227">
        <v>13</v>
      </c>
      <c r="BB227">
        <v>0</v>
      </c>
      <c r="BC227" s="3">
        <v>6</v>
      </c>
      <c r="BD227" s="3">
        <v>1</v>
      </c>
      <c r="BE227" s="3">
        <v>2</v>
      </c>
      <c r="BF227" s="3">
        <v>3</v>
      </c>
      <c r="BG227" s="3">
        <v>1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 t="s">
        <v>305</v>
      </c>
      <c r="BT227">
        <v>3</v>
      </c>
      <c r="BU227" t="s">
        <v>308</v>
      </c>
      <c r="BV227" t="s">
        <v>309</v>
      </c>
    </row>
    <row r="228" spans="1:74" s="1" customFormat="1" hidden="1" x14ac:dyDescent="0.2">
      <c r="A228">
        <v>237</v>
      </c>
      <c r="B228">
        <v>7</v>
      </c>
      <c r="C228" t="s">
        <v>77</v>
      </c>
      <c r="D228"/>
      <c r="E228" t="s">
        <v>78</v>
      </c>
      <c r="F228">
        <v>11</v>
      </c>
      <c r="G228">
        <v>2001</v>
      </c>
      <c r="H228">
        <v>21</v>
      </c>
      <c r="I228" t="s">
        <v>64</v>
      </c>
      <c r="J228">
        <v>1</v>
      </c>
      <c r="K228" t="s">
        <v>642</v>
      </c>
      <c r="L228" t="s">
        <v>643</v>
      </c>
      <c r="M228">
        <v>5</v>
      </c>
      <c r="N228">
        <v>62</v>
      </c>
      <c r="O228" t="s">
        <v>314</v>
      </c>
      <c r="P228" t="s">
        <v>315</v>
      </c>
      <c r="Q228" t="s">
        <v>712</v>
      </c>
      <c r="R228" t="s">
        <v>713</v>
      </c>
      <c r="S228" t="s">
        <v>318</v>
      </c>
      <c r="T228" t="s">
        <v>319</v>
      </c>
      <c r="U228" t="s">
        <v>320</v>
      </c>
      <c r="V228" t="s">
        <v>321</v>
      </c>
      <c r="W228" t="s">
        <v>195</v>
      </c>
      <c r="X228" t="s">
        <v>196</v>
      </c>
      <c r="Y228" t="s">
        <v>274</v>
      </c>
      <c r="Z228">
        <v>7</v>
      </c>
      <c r="AA228">
        <v>7</v>
      </c>
      <c r="AB228">
        <v>7</v>
      </c>
      <c r="AC228">
        <v>7</v>
      </c>
      <c r="AD228">
        <v>5</v>
      </c>
      <c r="AE228">
        <v>7</v>
      </c>
      <c r="AF228">
        <v>3</v>
      </c>
      <c r="AG228">
        <v>1</v>
      </c>
      <c r="AH228">
        <v>7</v>
      </c>
      <c r="AI228">
        <v>7</v>
      </c>
      <c r="AJ228">
        <v>2</v>
      </c>
      <c r="AK228">
        <v>7</v>
      </c>
      <c r="AL228">
        <v>7</v>
      </c>
      <c r="AM228">
        <v>6</v>
      </c>
      <c r="AN228">
        <v>36</v>
      </c>
      <c r="AO228">
        <v>3</v>
      </c>
      <c r="AP228">
        <v>1</v>
      </c>
      <c r="AQ228">
        <v>1</v>
      </c>
      <c r="AR228">
        <v>6</v>
      </c>
      <c r="AS228">
        <v>4</v>
      </c>
      <c r="AT228">
        <v>5</v>
      </c>
      <c r="AU228">
        <v>5</v>
      </c>
      <c r="AV228">
        <v>7</v>
      </c>
      <c r="AW228">
        <v>7</v>
      </c>
      <c r="AX228">
        <v>1</v>
      </c>
      <c r="AY228" cm="1">
        <f t="array" ref="AY228">_xlfn.IFS(AZ228="Positive",1, AZ228="Negative",1, AZ228="Neutral",0)</f>
        <v>1</v>
      </c>
      <c r="AZ228" t="s">
        <v>196</v>
      </c>
      <c r="BA228">
        <v>13</v>
      </c>
      <c r="BB228">
        <v>0</v>
      </c>
      <c r="BC228" s="3">
        <v>10</v>
      </c>
      <c r="BD228" s="3">
        <v>0</v>
      </c>
      <c r="BE228" s="3">
        <v>1</v>
      </c>
      <c r="BF228" s="3">
        <v>2</v>
      </c>
      <c r="BG228" s="3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 t="s">
        <v>313</v>
      </c>
      <c r="BT228" t="s">
        <v>313</v>
      </c>
      <c r="BU228" t="s">
        <v>316</v>
      </c>
      <c r="BV228" t="s">
        <v>317</v>
      </c>
    </row>
    <row r="229" spans="1:74" s="1" customFormat="1" hidden="1" x14ac:dyDescent="0.2">
      <c r="A229">
        <v>238</v>
      </c>
      <c r="B229">
        <v>8</v>
      </c>
      <c r="C229" t="s">
        <v>79</v>
      </c>
      <c r="D229"/>
      <c r="E229" t="s">
        <v>80</v>
      </c>
      <c r="F229">
        <v>22</v>
      </c>
      <c r="G229">
        <v>2000</v>
      </c>
      <c r="H229">
        <v>22</v>
      </c>
      <c r="I229" t="s">
        <v>64</v>
      </c>
      <c r="J229">
        <v>1</v>
      </c>
      <c r="K229" t="s">
        <v>644</v>
      </c>
      <c r="L229" t="s">
        <v>645</v>
      </c>
      <c r="M229">
        <v>13</v>
      </c>
      <c r="N229">
        <v>71</v>
      </c>
      <c r="O229" t="s">
        <v>324</v>
      </c>
      <c r="P229" t="s">
        <v>325</v>
      </c>
      <c r="Q229" t="s">
        <v>714</v>
      </c>
      <c r="R229" t="s">
        <v>715</v>
      </c>
      <c r="S229" t="s">
        <v>328</v>
      </c>
      <c r="T229" t="s">
        <v>329</v>
      </c>
      <c r="U229" t="s">
        <v>330</v>
      </c>
      <c r="V229" t="s">
        <v>331</v>
      </c>
      <c r="W229" t="s">
        <v>195</v>
      </c>
      <c r="X229" t="s">
        <v>196</v>
      </c>
      <c r="Y229" t="s">
        <v>274</v>
      </c>
      <c r="Z229">
        <v>7</v>
      </c>
      <c r="AA229">
        <v>6</v>
      </c>
      <c r="AB229">
        <v>6</v>
      </c>
      <c r="AC229">
        <v>6</v>
      </c>
      <c r="AD229">
        <v>5</v>
      </c>
      <c r="AE229">
        <v>3</v>
      </c>
      <c r="AF229">
        <v>3</v>
      </c>
      <c r="AG229">
        <v>1</v>
      </c>
      <c r="AH229">
        <v>5</v>
      </c>
      <c r="AI229">
        <v>6</v>
      </c>
      <c r="AJ229">
        <v>1</v>
      </c>
      <c r="AK229">
        <v>5</v>
      </c>
      <c r="AL229">
        <v>5</v>
      </c>
      <c r="AM229">
        <v>3</v>
      </c>
      <c r="AN229">
        <v>29</v>
      </c>
      <c r="AO229">
        <v>3</v>
      </c>
      <c r="AP229">
        <v>2</v>
      </c>
      <c r="AQ229">
        <v>2</v>
      </c>
      <c r="AR229">
        <v>6</v>
      </c>
      <c r="AS229">
        <v>6</v>
      </c>
      <c r="AT229">
        <v>6</v>
      </c>
      <c r="AU229">
        <v>6</v>
      </c>
      <c r="AV229">
        <v>6</v>
      </c>
      <c r="AW229">
        <v>6</v>
      </c>
      <c r="AX229">
        <v>1</v>
      </c>
      <c r="AY229" cm="1">
        <f t="array" ref="AY229">_xlfn.IFS(AZ229="Positive",1, AZ229="Negative",1, AZ229="Neutral",0)</f>
        <v>1</v>
      </c>
      <c r="AZ229" t="s">
        <v>196</v>
      </c>
      <c r="BA229">
        <v>23</v>
      </c>
      <c r="BB229">
        <v>2</v>
      </c>
      <c r="BC229" s="3">
        <v>15</v>
      </c>
      <c r="BD229" s="3">
        <v>1</v>
      </c>
      <c r="BE229" s="3">
        <v>2</v>
      </c>
      <c r="BF229" s="3">
        <v>4</v>
      </c>
      <c r="BG229" s="3">
        <v>1</v>
      </c>
      <c r="BH229">
        <v>0</v>
      </c>
      <c r="BI229">
        <v>0</v>
      </c>
      <c r="BJ229">
        <v>2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 t="s">
        <v>322</v>
      </c>
      <c r="BT229" t="s">
        <v>323</v>
      </c>
      <c r="BU229" t="s">
        <v>326</v>
      </c>
      <c r="BV229" t="s">
        <v>327</v>
      </c>
    </row>
    <row r="230" spans="1:74" s="1" customFormat="1" hidden="1" x14ac:dyDescent="0.2">
      <c r="A230">
        <v>239</v>
      </c>
      <c r="B230">
        <v>9</v>
      </c>
      <c r="C230" t="s">
        <v>81</v>
      </c>
      <c r="D230"/>
      <c r="E230" t="s">
        <v>82</v>
      </c>
      <c r="F230">
        <v>29</v>
      </c>
      <c r="G230">
        <v>1999</v>
      </c>
      <c r="H230">
        <v>23</v>
      </c>
      <c r="I230" t="s">
        <v>69</v>
      </c>
      <c r="J230">
        <v>2</v>
      </c>
      <c r="K230" t="s">
        <v>646</v>
      </c>
      <c r="L230" t="s">
        <v>647</v>
      </c>
      <c r="M230">
        <v>1</v>
      </c>
      <c r="N230">
        <v>43</v>
      </c>
      <c r="O230" t="s">
        <v>332</v>
      </c>
      <c r="P230" t="s">
        <v>315</v>
      </c>
      <c r="Q230" t="s">
        <v>716</v>
      </c>
      <c r="R230" t="s">
        <v>717</v>
      </c>
      <c r="S230" t="s">
        <v>335</v>
      </c>
      <c r="T230" t="s">
        <v>336</v>
      </c>
      <c r="U230" t="s">
        <v>337</v>
      </c>
      <c r="V230" t="s">
        <v>321</v>
      </c>
      <c r="W230" t="s">
        <v>195</v>
      </c>
      <c r="X230" t="s">
        <v>196</v>
      </c>
      <c r="Y230" t="s">
        <v>274</v>
      </c>
      <c r="Z230">
        <v>7</v>
      </c>
      <c r="AA230">
        <v>1</v>
      </c>
      <c r="AB230">
        <v>5</v>
      </c>
      <c r="AC230">
        <v>5</v>
      </c>
      <c r="AD230">
        <v>5</v>
      </c>
      <c r="AE230">
        <v>5</v>
      </c>
      <c r="AF230">
        <v>1</v>
      </c>
      <c r="AG230">
        <v>7</v>
      </c>
      <c r="AH230">
        <v>3</v>
      </c>
      <c r="AI230">
        <v>5</v>
      </c>
      <c r="AJ230">
        <v>1</v>
      </c>
      <c r="AK230">
        <v>4</v>
      </c>
      <c r="AL230">
        <v>4</v>
      </c>
      <c r="AM230">
        <v>7</v>
      </c>
      <c r="AN230">
        <v>182</v>
      </c>
      <c r="AO230">
        <v>1</v>
      </c>
      <c r="AP230">
        <v>3</v>
      </c>
      <c r="AQ230">
        <v>4</v>
      </c>
      <c r="AR230">
        <v>3</v>
      </c>
      <c r="AS230">
        <v>4</v>
      </c>
      <c r="AT230">
        <v>3</v>
      </c>
      <c r="AU230">
        <v>3</v>
      </c>
      <c r="AV230">
        <v>5</v>
      </c>
      <c r="AW230">
        <v>5</v>
      </c>
      <c r="AX230">
        <v>2</v>
      </c>
      <c r="AY230" cm="1">
        <f t="array" ref="AY230">_xlfn.IFS(AZ230="Positive",1, AZ230="Negative",1, AZ230="Neutral",0)</f>
        <v>1</v>
      </c>
      <c r="AZ230" t="s">
        <v>196</v>
      </c>
      <c r="BA230">
        <v>5</v>
      </c>
      <c r="BB230">
        <v>0</v>
      </c>
      <c r="BC230" s="3">
        <v>4</v>
      </c>
      <c r="BD230" s="3">
        <v>0</v>
      </c>
      <c r="BE230" s="3">
        <v>1</v>
      </c>
      <c r="BF230" s="3">
        <v>0</v>
      </c>
      <c r="BG230" s="3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2</v>
      </c>
      <c r="BT230" t="s">
        <v>275</v>
      </c>
      <c r="BU230" t="s">
        <v>333</v>
      </c>
      <c r="BV230" t="s">
        <v>334</v>
      </c>
    </row>
    <row r="231" spans="1:74" s="1" customFormat="1" hidden="1" x14ac:dyDescent="0.2">
      <c r="A231">
        <v>240</v>
      </c>
      <c r="B231">
        <v>10</v>
      </c>
      <c r="C231" t="s">
        <v>83</v>
      </c>
      <c r="D231"/>
      <c r="E231" t="s">
        <v>80</v>
      </c>
      <c r="F231">
        <v>23</v>
      </c>
      <c r="G231">
        <v>2001</v>
      </c>
      <c r="H231">
        <v>21</v>
      </c>
      <c r="I231" t="s">
        <v>64</v>
      </c>
      <c r="J231">
        <v>1</v>
      </c>
      <c r="K231" t="s">
        <v>637</v>
      </c>
      <c r="L231" t="s">
        <v>648</v>
      </c>
      <c r="M231">
        <v>13</v>
      </c>
      <c r="N231">
        <v>59</v>
      </c>
      <c r="O231" t="s">
        <v>338</v>
      </c>
      <c r="P231" t="s">
        <v>339</v>
      </c>
      <c r="Q231" t="s">
        <v>706</v>
      </c>
      <c r="R231" t="s">
        <v>718</v>
      </c>
      <c r="S231" t="s">
        <v>328</v>
      </c>
      <c r="T231" t="s">
        <v>341</v>
      </c>
      <c r="U231" t="s">
        <v>342</v>
      </c>
      <c r="V231" t="s">
        <v>343</v>
      </c>
      <c r="W231" t="s">
        <v>195</v>
      </c>
      <c r="X231" t="s">
        <v>196</v>
      </c>
      <c r="Y231" t="s">
        <v>274</v>
      </c>
      <c r="Z231">
        <v>7</v>
      </c>
      <c r="AA231">
        <v>7</v>
      </c>
      <c r="AB231">
        <v>7</v>
      </c>
      <c r="AC231">
        <v>6</v>
      </c>
      <c r="AD231">
        <v>6</v>
      </c>
      <c r="AE231">
        <v>4</v>
      </c>
      <c r="AF231">
        <v>1</v>
      </c>
      <c r="AG231">
        <v>1</v>
      </c>
      <c r="AH231">
        <v>7</v>
      </c>
      <c r="AI231">
        <v>7</v>
      </c>
      <c r="AJ231">
        <v>2</v>
      </c>
      <c r="AK231">
        <v>7</v>
      </c>
      <c r="AL231">
        <v>5</v>
      </c>
      <c r="AM231">
        <v>4</v>
      </c>
      <c r="AN231">
        <v>5</v>
      </c>
      <c r="AO231">
        <v>2</v>
      </c>
      <c r="AP231">
        <v>1</v>
      </c>
      <c r="AQ231">
        <v>2</v>
      </c>
      <c r="AR231">
        <v>3</v>
      </c>
      <c r="AS231">
        <v>4</v>
      </c>
      <c r="AT231">
        <v>4</v>
      </c>
      <c r="AU231">
        <v>5</v>
      </c>
      <c r="AV231">
        <v>6</v>
      </c>
      <c r="AW231">
        <v>6</v>
      </c>
      <c r="AX231">
        <v>1</v>
      </c>
      <c r="AY231" cm="1">
        <f t="array" ref="AY231">_xlfn.IFS(AZ231="Positive",1, AZ231="Negative",1, AZ231="Neutral",0)</f>
        <v>1</v>
      </c>
      <c r="AZ231" t="s">
        <v>196</v>
      </c>
      <c r="BA231">
        <v>10</v>
      </c>
      <c r="BB231">
        <v>6</v>
      </c>
      <c r="BC231" s="3">
        <v>3</v>
      </c>
      <c r="BD231" s="3">
        <v>2</v>
      </c>
      <c r="BE231" s="3">
        <v>1</v>
      </c>
      <c r="BF231" s="3">
        <v>4</v>
      </c>
      <c r="BG231" s="3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2</v>
      </c>
      <c r="BR231">
        <v>2</v>
      </c>
      <c r="BS231" t="s">
        <v>285</v>
      </c>
      <c r="BT231">
        <v>2</v>
      </c>
      <c r="BU231" t="s">
        <v>289</v>
      </c>
      <c r="BV231" t="s">
        <v>340</v>
      </c>
    </row>
    <row r="232" spans="1:74" s="1" customFormat="1" hidden="1" x14ac:dyDescent="0.2">
      <c r="A232">
        <v>241</v>
      </c>
      <c r="B232">
        <v>11</v>
      </c>
      <c r="C232" t="s">
        <v>84</v>
      </c>
      <c r="D232"/>
      <c r="E232" t="s">
        <v>85</v>
      </c>
      <c r="F232">
        <v>26</v>
      </c>
      <c r="G232">
        <v>2000</v>
      </c>
      <c r="H232">
        <v>22</v>
      </c>
      <c r="I232" t="s">
        <v>64</v>
      </c>
      <c r="J232">
        <v>1</v>
      </c>
      <c r="K232" t="s">
        <v>649</v>
      </c>
      <c r="L232" t="s">
        <v>650</v>
      </c>
      <c r="M232">
        <v>9</v>
      </c>
      <c r="N232">
        <v>61</v>
      </c>
      <c r="O232" t="s">
        <v>346</v>
      </c>
      <c r="P232" t="s">
        <v>314</v>
      </c>
      <c r="Q232" t="s">
        <v>719</v>
      </c>
      <c r="R232" t="s">
        <v>720</v>
      </c>
      <c r="S232" t="s">
        <v>349</v>
      </c>
      <c r="T232" t="s">
        <v>292</v>
      </c>
      <c r="U232" t="s">
        <v>350</v>
      </c>
      <c r="V232" t="s">
        <v>351</v>
      </c>
      <c r="W232" t="s">
        <v>195</v>
      </c>
      <c r="X232" t="s">
        <v>196</v>
      </c>
      <c r="Y232" t="s">
        <v>274</v>
      </c>
      <c r="Z232">
        <v>7</v>
      </c>
      <c r="AA232">
        <v>7</v>
      </c>
      <c r="AB232">
        <v>7</v>
      </c>
      <c r="AC232">
        <v>7</v>
      </c>
      <c r="AD232">
        <v>7</v>
      </c>
      <c r="AE232">
        <v>7</v>
      </c>
      <c r="AF232">
        <v>1</v>
      </c>
      <c r="AG232">
        <v>1</v>
      </c>
      <c r="AH232">
        <v>7</v>
      </c>
      <c r="AI232">
        <v>7</v>
      </c>
      <c r="AJ232">
        <v>1</v>
      </c>
      <c r="AK232">
        <v>7</v>
      </c>
      <c r="AL232">
        <v>5</v>
      </c>
      <c r="AM232">
        <v>7</v>
      </c>
      <c r="AN232">
        <v>47</v>
      </c>
      <c r="AO232">
        <v>1</v>
      </c>
      <c r="AP232">
        <v>1</v>
      </c>
      <c r="AQ232">
        <v>1</v>
      </c>
      <c r="AR232">
        <v>6</v>
      </c>
      <c r="AS232">
        <v>6</v>
      </c>
      <c r="AT232">
        <v>6</v>
      </c>
      <c r="AU232">
        <v>6</v>
      </c>
      <c r="AV232">
        <v>6</v>
      </c>
      <c r="AW232">
        <v>6</v>
      </c>
      <c r="AX232">
        <v>1</v>
      </c>
      <c r="AY232" cm="1">
        <f t="array" ref="AY232">_xlfn.IFS(AZ232="Positive",1, AZ232="Negative",1, AZ232="Neutral",0)</f>
        <v>1</v>
      </c>
      <c r="AZ232" t="s">
        <v>196</v>
      </c>
      <c r="BA232">
        <v>5</v>
      </c>
      <c r="BB232">
        <v>0</v>
      </c>
      <c r="BC232" s="3">
        <v>2</v>
      </c>
      <c r="BD232" s="3">
        <v>1</v>
      </c>
      <c r="BE232" s="3">
        <v>1</v>
      </c>
      <c r="BF232" s="3">
        <v>1</v>
      </c>
      <c r="BG232" s="3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 t="s">
        <v>344</v>
      </c>
      <c r="BT232" t="s">
        <v>345</v>
      </c>
      <c r="BU232" t="s">
        <v>347</v>
      </c>
      <c r="BV232" t="s">
        <v>348</v>
      </c>
    </row>
    <row r="233" spans="1:74" s="1" customFormat="1" hidden="1" x14ac:dyDescent="0.2">
      <c r="A233">
        <v>242</v>
      </c>
      <c r="B233">
        <v>12</v>
      </c>
      <c r="C233" t="s">
        <v>86</v>
      </c>
      <c r="D233"/>
      <c r="E233" t="s">
        <v>63</v>
      </c>
      <c r="F233">
        <v>7</v>
      </c>
      <c r="G233">
        <v>2001</v>
      </c>
      <c r="H233">
        <v>21</v>
      </c>
      <c r="I233" t="s">
        <v>69</v>
      </c>
      <c r="J233">
        <v>2</v>
      </c>
      <c r="K233" t="s">
        <v>651</v>
      </c>
      <c r="L233" t="s">
        <v>652</v>
      </c>
      <c r="M233">
        <v>19</v>
      </c>
      <c r="N233">
        <v>69</v>
      </c>
      <c r="O233" t="s">
        <v>353</v>
      </c>
      <c r="P233" t="s">
        <v>354</v>
      </c>
      <c r="Q233" t="s">
        <v>721</v>
      </c>
      <c r="R233" t="s">
        <v>722</v>
      </c>
      <c r="S233" t="s">
        <v>356</v>
      </c>
      <c r="T233" t="s">
        <v>357</v>
      </c>
      <c r="U233" t="s">
        <v>358</v>
      </c>
      <c r="V233" t="s">
        <v>359</v>
      </c>
      <c r="W233" t="s">
        <v>195</v>
      </c>
      <c r="X233" t="s">
        <v>196</v>
      </c>
      <c r="Y233" t="s">
        <v>274</v>
      </c>
      <c r="Z233">
        <v>7</v>
      </c>
      <c r="AA233">
        <v>7</v>
      </c>
      <c r="AB233">
        <v>7</v>
      </c>
      <c r="AC233">
        <v>6</v>
      </c>
      <c r="AD233">
        <v>5</v>
      </c>
      <c r="AE233">
        <v>3</v>
      </c>
      <c r="AF233">
        <v>1</v>
      </c>
      <c r="AG233">
        <v>1</v>
      </c>
      <c r="AH233">
        <v>6</v>
      </c>
      <c r="AI233">
        <v>7</v>
      </c>
      <c r="AJ233">
        <v>1</v>
      </c>
      <c r="AK233">
        <v>6</v>
      </c>
      <c r="AL233">
        <v>7</v>
      </c>
      <c r="AM233">
        <v>1</v>
      </c>
      <c r="AN233">
        <v>145</v>
      </c>
      <c r="AO233">
        <v>4</v>
      </c>
      <c r="AP233">
        <v>1</v>
      </c>
      <c r="AQ233">
        <v>1</v>
      </c>
      <c r="AR233">
        <v>5</v>
      </c>
      <c r="AS233">
        <v>4</v>
      </c>
      <c r="AT233">
        <v>4</v>
      </c>
      <c r="AU233">
        <v>6</v>
      </c>
      <c r="AV233">
        <v>5</v>
      </c>
      <c r="AW233">
        <v>6</v>
      </c>
      <c r="AX233">
        <v>1</v>
      </c>
      <c r="AY233" cm="1">
        <f t="array" ref="AY233">_xlfn.IFS(AZ233="Positive",1, AZ233="Negative",1, AZ233="Neutral",0)</f>
        <v>1</v>
      </c>
      <c r="AZ233" t="s">
        <v>196</v>
      </c>
      <c r="BA233">
        <v>5</v>
      </c>
      <c r="BB233">
        <v>0</v>
      </c>
      <c r="BC233" s="3">
        <v>4</v>
      </c>
      <c r="BD233" s="3">
        <v>0</v>
      </c>
      <c r="BE233" s="3">
        <v>0</v>
      </c>
      <c r="BF233" s="3">
        <v>1</v>
      </c>
      <c r="BG233" s="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 t="s">
        <v>352</v>
      </c>
      <c r="BT233" t="s">
        <v>296</v>
      </c>
      <c r="BU233" t="s">
        <v>355</v>
      </c>
      <c r="BV233" t="s">
        <v>300</v>
      </c>
    </row>
    <row r="234" spans="1:74" s="1" customFormat="1" hidden="1" x14ac:dyDescent="0.2">
      <c r="A234">
        <v>243</v>
      </c>
      <c r="B234">
        <v>13</v>
      </c>
      <c r="C234" t="s">
        <v>87</v>
      </c>
      <c r="D234"/>
      <c r="E234" t="s">
        <v>88</v>
      </c>
      <c r="F234">
        <v>14</v>
      </c>
      <c r="G234">
        <v>1999</v>
      </c>
      <c r="H234">
        <v>23</v>
      </c>
      <c r="I234" t="s">
        <v>69</v>
      </c>
      <c r="J234">
        <v>2</v>
      </c>
      <c r="K234" t="s">
        <v>416</v>
      </c>
      <c r="L234" t="s">
        <v>653</v>
      </c>
      <c r="M234">
        <v>15</v>
      </c>
      <c r="N234">
        <v>58</v>
      </c>
      <c r="O234" t="s">
        <v>360</v>
      </c>
      <c r="P234" t="s">
        <v>361</v>
      </c>
      <c r="Q234" t="s">
        <v>723</v>
      </c>
      <c r="R234" t="s">
        <v>724</v>
      </c>
      <c r="S234" t="s">
        <v>363</v>
      </c>
      <c r="T234" t="s">
        <v>364</v>
      </c>
      <c r="U234" t="s">
        <v>365</v>
      </c>
      <c r="V234" t="s">
        <v>366</v>
      </c>
      <c r="W234" t="s">
        <v>195</v>
      </c>
      <c r="X234" t="s">
        <v>196</v>
      </c>
      <c r="Y234" t="s">
        <v>274</v>
      </c>
      <c r="Z234">
        <v>7</v>
      </c>
      <c r="AA234">
        <v>6</v>
      </c>
      <c r="AB234">
        <v>7</v>
      </c>
      <c r="AC234">
        <v>6</v>
      </c>
      <c r="AD234">
        <v>4</v>
      </c>
      <c r="AE234">
        <v>7</v>
      </c>
      <c r="AF234">
        <v>2</v>
      </c>
      <c r="AG234">
        <v>6</v>
      </c>
      <c r="AH234">
        <v>6</v>
      </c>
      <c r="AI234">
        <v>7</v>
      </c>
      <c r="AJ234">
        <v>1</v>
      </c>
      <c r="AK234">
        <v>6</v>
      </c>
      <c r="AL234">
        <v>2</v>
      </c>
      <c r="AM234">
        <v>2</v>
      </c>
      <c r="AN234">
        <v>15</v>
      </c>
      <c r="AO234">
        <v>1</v>
      </c>
      <c r="AP234">
        <v>1</v>
      </c>
      <c r="AQ234">
        <v>7</v>
      </c>
      <c r="AR234">
        <v>7</v>
      </c>
      <c r="AS234">
        <v>7</v>
      </c>
      <c r="AT234">
        <v>6</v>
      </c>
      <c r="AU234">
        <v>6</v>
      </c>
      <c r="AV234">
        <v>6</v>
      </c>
      <c r="AW234">
        <v>6</v>
      </c>
      <c r="AX234">
        <v>1</v>
      </c>
      <c r="AY234" cm="1">
        <f t="array" ref="AY234">_xlfn.IFS(AZ234="Positive",1, AZ234="Negative",1, AZ234="Neutral",0)</f>
        <v>1</v>
      </c>
      <c r="AZ234" t="s">
        <v>196</v>
      </c>
      <c r="BA234">
        <v>8</v>
      </c>
      <c r="BB234">
        <v>0</v>
      </c>
      <c r="BC234" s="3">
        <v>5</v>
      </c>
      <c r="BD234" s="3">
        <v>0</v>
      </c>
      <c r="BE234" s="3">
        <v>1</v>
      </c>
      <c r="BF234" s="3">
        <v>2</v>
      </c>
      <c r="BG234" s="3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 t="s">
        <v>296</v>
      </c>
      <c r="BT234">
        <v>3</v>
      </c>
      <c r="BU234" t="s">
        <v>362</v>
      </c>
      <c r="BV234" t="s">
        <v>309</v>
      </c>
    </row>
    <row r="235" spans="1:74" s="1" customFormat="1" hidden="1" x14ac:dyDescent="0.2">
      <c r="A235">
        <v>244</v>
      </c>
      <c r="B235">
        <v>14</v>
      </c>
      <c r="C235" t="s">
        <v>89</v>
      </c>
      <c r="D235"/>
      <c r="E235" t="s">
        <v>82</v>
      </c>
      <c r="F235">
        <v>15</v>
      </c>
      <c r="G235">
        <v>1999</v>
      </c>
      <c r="H235">
        <v>23</v>
      </c>
      <c r="I235" t="s">
        <v>64</v>
      </c>
      <c r="J235">
        <v>1</v>
      </c>
      <c r="K235" t="s">
        <v>416</v>
      </c>
      <c r="L235" t="s">
        <v>654</v>
      </c>
      <c r="M235">
        <v>7</v>
      </c>
      <c r="N235">
        <v>59</v>
      </c>
      <c r="O235" t="s">
        <v>629</v>
      </c>
      <c r="P235" t="s">
        <v>460</v>
      </c>
      <c r="Q235" t="s">
        <v>723</v>
      </c>
      <c r="R235" t="s">
        <v>728</v>
      </c>
      <c r="S235" t="s">
        <v>430</v>
      </c>
      <c r="T235" t="s">
        <v>341</v>
      </c>
      <c r="U235" t="s">
        <v>630</v>
      </c>
      <c r="V235" t="s">
        <v>462</v>
      </c>
      <c r="W235" t="s">
        <v>195</v>
      </c>
      <c r="X235" t="s">
        <v>196</v>
      </c>
      <c r="Y235" t="s">
        <v>274</v>
      </c>
      <c r="Z235">
        <v>7</v>
      </c>
      <c r="AA235">
        <v>6</v>
      </c>
      <c r="AB235">
        <v>6</v>
      </c>
      <c r="AC235">
        <v>5</v>
      </c>
      <c r="AD235">
        <v>4</v>
      </c>
      <c r="AE235">
        <v>5</v>
      </c>
      <c r="AF235">
        <v>2</v>
      </c>
      <c r="AG235">
        <v>4</v>
      </c>
      <c r="AH235">
        <v>6</v>
      </c>
      <c r="AI235">
        <v>7</v>
      </c>
      <c r="AJ235">
        <v>1</v>
      </c>
      <c r="AK235">
        <v>4</v>
      </c>
      <c r="AL235">
        <v>5</v>
      </c>
      <c r="AM235">
        <v>5</v>
      </c>
      <c r="AN235">
        <v>6</v>
      </c>
      <c r="AO235">
        <v>4</v>
      </c>
      <c r="AP235">
        <v>1</v>
      </c>
      <c r="AQ235">
        <v>3</v>
      </c>
      <c r="AR235">
        <v>1</v>
      </c>
      <c r="AS235">
        <v>6</v>
      </c>
      <c r="AT235">
        <v>5</v>
      </c>
      <c r="AU235">
        <v>4</v>
      </c>
      <c r="AV235">
        <v>5</v>
      </c>
      <c r="AW235">
        <v>5</v>
      </c>
      <c r="AX235">
        <v>1</v>
      </c>
      <c r="AY235" cm="1">
        <f t="array" ref="AY235">_xlfn.IFS(AZ235="Positive",1, AZ235="Negative",1, AZ235="Neutral",0)</f>
        <v>1</v>
      </c>
      <c r="AZ235" t="s">
        <v>196</v>
      </c>
      <c r="BA235">
        <v>3</v>
      </c>
      <c r="BB235">
        <v>0</v>
      </c>
      <c r="BC235" s="3">
        <v>2</v>
      </c>
      <c r="BD235" s="3">
        <v>0</v>
      </c>
      <c r="BE235" s="3">
        <v>1</v>
      </c>
      <c r="BF235" s="3">
        <v>0</v>
      </c>
      <c r="BG235" s="3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 t="s">
        <v>382</v>
      </c>
      <c r="BT235" t="s">
        <v>536</v>
      </c>
      <c r="BU235" t="s">
        <v>385</v>
      </c>
      <c r="BV235" t="s">
        <v>556</v>
      </c>
    </row>
    <row r="236" spans="1:74" s="1" customFormat="1" hidden="1" x14ac:dyDescent="0.2">
      <c r="A236">
        <v>245</v>
      </c>
      <c r="B236">
        <v>15</v>
      </c>
      <c r="C236" t="s">
        <v>90</v>
      </c>
      <c r="D236"/>
      <c r="E236" t="s">
        <v>76</v>
      </c>
      <c r="F236">
        <v>26</v>
      </c>
      <c r="G236">
        <v>2000</v>
      </c>
      <c r="H236">
        <v>22</v>
      </c>
      <c r="I236" t="s">
        <v>64</v>
      </c>
      <c r="J236">
        <v>1</v>
      </c>
      <c r="K236" t="s">
        <v>655</v>
      </c>
      <c r="L236" t="s">
        <v>656</v>
      </c>
      <c r="M236">
        <v>3</v>
      </c>
      <c r="N236">
        <v>69</v>
      </c>
      <c r="O236" t="s">
        <v>368</v>
      </c>
      <c r="P236" t="s">
        <v>369</v>
      </c>
      <c r="Q236" t="s">
        <v>725</v>
      </c>
      <c r="R236" t="s">
        <v>726</v>
      </c>
      <c r="S236" t="s">
        <v>372</v>
      </c>
      <c r="T236" t="s">
        <v>357</v>
      </c>
      <c r="U236" t="s">
        <v>373</v>
      </c>
      <c r="V236" t="s">
        <v>374</v>
      </c>
      <c r="W236" t="s">
        <v>195</v>
      </c>
      <c r="X236" t="s">
        <v>196</v>
      </c>
      <c r="Y236" t="s">
        <v>274</v>
      </c>
      <c r="Z236">
        <v>7</v>
      </c>
      <c r="AA236">
        <v>5</v>
      </c>
      <c r="AB236">
        <v>6</v>
      </c>
      <c r="AC236">
        <v>2</v>
      </c>
      <c r="AD236">
        <v>3</v>
      </c>
      <c r="AE236">
        <v>3</v>
      </c>
      <c r="AF236">
        <v>2</v>
      </c>
      <c r="AG236">
        <v>2</v>
      </c>
      <c r="AH236">
        <v>4</v>
      </c>
      <c r="AI236">
        <v>6</v>
      </c>
      <c r="AJ236">
        <v>1</v>
      </c>
      <c r="AK236">
        <v>5</v>
      </c>
      <c r="AL236">
        <v>5</v>
      </c>
      <c r="AM236">
        <v>2</v>
      </c>
      <c r="AN236">
        <v>72</v>
      </c>
      <c r="AO236">
        <v>3</v>
      </c>
      <c r="AP236">
        <v>2</v>
      </c>
      <c r="AQ236">
        <v>5</v>
      </c>
      <c r="AR236">
        <v>5</v>
      </c>
      <c r="AS236">
        <v>3</v>
      </c>
      <c r="AT236">
        <v>4</v>
      </c>
      <c r="AU236">
        <v>6</v>
      </c>
      <c r="AV236">
        <v>5</v>
      </c>
      <c r="AW236">
        <v>6</v>
      </c>
      <c r="AX236">
        <v>1</v>
      </c>
      <c r="AY236" cm="1">
        <f t="array" ref="AY236">_xlfn.IFS(AZ236="Positive",1, AZ236="Negative",1, AZ236="Neutral",0)</f>
        <v>1</v>
      </c>
      <c r="AZ236" t="s">
        <v>196</v>
      </c>
      <c r="BA236">
        <v>10</v>
      </c>
      <c r="BB236">
        <v>1</v>
      </c>
      <c r="BC236" s="3">
        <v>6</v>
      </c>
      <c r="BD236" s="3">
        <v>1</v>
      </c>
      <c r="BE236" s="3">
        <v>1</v>
      </c>
      <c r="BF236" s="3">
        <v>1</v>
      </c>
      <c r="BG236" s="3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4</v>
      </c>
      <c r="BT236" t="s">
        <v>367</v>
      </c>
      <c r="BU236" t="s">
        <v>370</v>
      </c>
      <c r="BV236" t="s">
        <v>371</v>
      </c>
    </row>
    <row r="237" spans="1:74" s="1" customFormat="1" hidden="1" x14ac:dyDescent="0.2">
      <c r="A237">
        <v>246</v>
      </c>
      <c r="B237">
        <v>16</v>
      </c>
      <c r="C237" t="s">
        <v>91</v>
      </c>
      <c r="D237"/>
      <c r="E237" t="s">
        <v>82</v>
      </c>
      <c r="F237">
        <v>8</v>
      </c>
      <c r="G237">
        <v>2000</v>
      </c>
      <c r="H237">
        <v>22</v>
      </c>
      <c r="I237" t="s">
        <v>64</v>
      </c>
      <c r="J237">
        <v>1</v>
      </c>
      <c r="K237" t="s">
        <v>657</v>
      </c>
      <c r="L237" t="s">
        <v>654</v>
      </c>
      <c r="M237">
        <v>10</v>
      </c>
      <c r="N237">
        <v>72</v>
      </c>
      <c r="O237" t="s">
        <v>278</v>
      </c>
      <c r="P237" t="s">
        <v>376</v>
      </c>
      <c r="Q237" t="s">
        <v>727</v>
      </c>
      <c r="R237" t="s">
        <v>728</v>
      </c>
      <c r="S237" t="s">
        <v>378</v>
      </c>
      <c r="T237" t="s">
        <v>379</v>
      </c>
      <c r="U237" t="s">
        <v>380</v>
      </c>
      <c r="V237" t="s">
        <v>381</v>
      </c>
      <c r="W237" t="s">
        <v>195</v>
      </c>
      <c r="X237" t="s">
        <v>196</v>
      </c>
      <c r="Y237" t="s">
        <v>274</v>
      </c>
      <c r="Z237">
        <v>7</v>
      </c>
      <c r="AA237">
        <v>4</v>
      </c>
      <c r="AB237">
        <v>7</v>
      </c>
      <c r="AC237">
        <v>1</v>
      </c>
      <c r="AD237">
        <v>4</v>
      </c>
      <c r="AE237">
        <v>7</v>
      </c>
      <c r="AF237">
        <v>1</v>
      </c>
      <c r="AG237">
        <v>6</v>
      </c>
      <c r="AH237">
        <v>3</v>
      </c>
      <c r="AI237">
        <v>7</v>
      </c>
      <c r="AJ237">
        <v>1</v>
      </c>
      <c r="AK237">
        <v>4</v>
      </c>
      <c r="AL237">
        <v>3</v>
      </c>
      <c r="AM237">
        <v>1</v>
      </c>
      <c r="AN237">
        <v>60</v>
      </c>
      <c r="AO237">
        <v>5</v>
      </c>
      <c r="AP237">
        <v>1</v>
      </c>
      <c r="AQ237">
        <v>1</v>
      </c>
      <c r="AR237">
        <v>1</v>
      </c>
      <c r="AS237">
        <v>7</v>
      </c>
      <c r="AT237">
        <v>4</v>
      </c>
      <c r="AU237">
        <v>7</v>
      </c>
      <c r="AV237">
        <v>7</v>
      </c>
      <c r="AW237">
        <v>5</v>
      </c>
      <c r="AX237">
        <v>1</v>
      </c>
      <c r="AY237" cm="1">
        <f t="array" ref="AY237">_xlfn.IFS(AZ237="Positive",1, AZ237="Negative",1, AZ237="Neutral",0)</f>
        <v>1</v>
      </c>
      <c r="AZ237" t="s">
        <v>196</v>
      </c>
      <c r="BA237">
        <v>5</v>
      </c>
      <c r="BB237">
        <v>1</v>
      </c>
      <c r="BC237" s="3">
        <v>2</v>
      </c>
      <c r="BD237" s="3">
        <v>0</v>
      </c>
      <c r="BE237" s="3">
        <v>1</v>
      </c>
      <c r="BF237" s="3">
        <v>0</v>
      </c>
      <c r="BG237" s="3">
        <v>2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 t="s">
        <v>375</v>
      </c>
      <c r="BT237" t="s">
        <v>367</v>
      </c>
      <c r="BU237" t="s">
        <v>377</v>
      </c>
      <c r="BV237" t="s">
        <v>371</v>
      </c>
    </row>
    <row r="238" spans="1:74" s="1" customFormat="1" hidden="1" x14ac:dyDescent="0.2">
      <c r="A238">
        <v>247</v>
      </c>
      <c r="B238">
        <v>17</v>
      </c>
      <c r="C238" t="s">
        <v>92</v>
      </c>
      <c r="D238"/>
      <c r="E238" t="s">
        <v>93</v>
      </c>
      <c r="F238">
        <v>25</v>
      </c>
      <c r="G238">
        <v>2001</v>
      </c>
      <c r="H238">
        <v>21</v>
      </c>
      <c r="I238" t="s">
        <v>64</v>
      </c>
      <c r="J238">
        <v>1</v>
      </c>
      <c r="K238" t="s">
        <v>658</v>
      </c>
      <c r="L238" t="s">
        <v>653</v>
      </c>
      <c r="M238">
        <v>10</v>
      </c>
      <c r="N238">
        <v>69</v>
      </c>
      <c r="O238" t="s">
        <v>384</v>
      </c>
      <c r="P238" t="s">
        <v>307</v>
      </c>
      <c r="Q238" t="s">
        <v>729</v>
      </c>
      <c r="R238" t="s">
        <v>724</v>
      </c>
      <c r="S238" t="s">
        <v>378</v>
      </c>
      <c r="T238" t="s">
        <v>357</v>
      </c>
      <c r="U238" t="s">
        <v>387</v>
      </c>
      <c r="V238" t="s">
        <v>312</v>
      </c>
      <c r="W238" t="s">
        <v>195</v>
      </c>
      <c r="X238" t="s">
        <v>196</v>
      </c>
      <c r="Y238" t="s">
        <v>274</v>
      </c>
      <c r="Z238">
        <v>7</v>
      </c>
      <c r="AA238">
        <v>7</v>
      </c>
      <c r="AB238">
        <v>7</v>
      </c>
      <c r="AC238">
        <v>7</v>
      </c>
      <c r="AD238">
        <v>7</v>
      </c>
      <c r="AE238">
        <v>7</v>
      </c>
      <c r="AF238">
        <v>7</v>
      </c>
      <c r="AG238">
        <v>1</v>
      </c>
      <c r="AH238">
        <v>7</v>
      </c>
      <c r="AI238">
        <v>7</v>
      </c>
      <c r="AJ238">
        <v>1</v>
      </c>
      <c r="AK238">
        <v>7</v>
      </c>
      <c r="AL238">
        <v>7</v>
      </c>
      <c r="AM238">
        <v>1</v>
      </c>
      <c r="AN238">
        <v>5</v>
      </c>
      <c r="AO238">
        <v>1</v>
      </c>
      <c r="AP238">
        <v>1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1</v>
      </c>
      <c r="AY238" cm="1">
        <f t="array" ref="AY238">_xlfn.IFS(AZ238="Positive",1, AZ238="Negative",1, AZ238="Neutral",0)</f>
        <v>1</v>
      </c>
      <c r="AZ238" t="s">
        <v>196</v>
      </c>
      <c r="BA238">
        <v>10</v>
      </c>
      <c r="BB238">
        <v>1</v>
      </c>
      <c r="BC238" s="3">
        <v>3</v>
      </c>
      <c r="BD238" s="3">
        <v>2</v>
      </c>
      <c r="BE238" s="3">
        <v>1</v>
      </c>
      <c r="BF238" s="3">
        <v>2</v>
      </c>
      <c r="BG238" s="3">
        <v>2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 t="s">
        <v>382</v>
      </c>
      <c r="BT238" t="s">
        <v>383</v>
      </c>
      <c r="BU238" t="s">
        <v>385</v>
      </c>
      <c r="BV238" t="s">
        <v>386</v>
      </c>
    </row>
    <row r="239" spans="1:74" s="1" customFormat="1" hidden="1" x14ac:dyDescent="0.2">
      <c r="A239">
        <v>248</v>
      </c>
      <c r="B239">
        <v>18</v>
      </c>
      <c r="C239" t="s">
        <v>94</v>
      </c>
      <c r="D239"/>
      <c r="E239" t="s">
        <v>76</v>
      </c>
      <c r="F239">
        <v>17</v>
      </c>
      <c r="G239">
        <v>1997</v>
      </c>
      <c r="H239">
        <v>25</v>
      </c>
      <c r="I239" t="s">
        <v>69</v>
      </c>
      <c r="J239">
        <v>2</v>
      </c>
      <c r="K239" t="s">
        <v>651</v>
      </c>
      <c r="L239" t="s">
        <v>659</v>
      </c>
      <c r="M239">
        <v>10</v>
      </c>
      <c r="N239">
        <v>69</v>
      </c>
      <c r="O239" t="s">
        <v>389</v>
      </c>
      <c r="P239" t="s">
        <v>389</v>
      </c>
      <c r="Q239" t="s">
        <v>721</v>
      </c>
      <c r="R239" t="s">
        <v>730</v>
      </c>
      <c r="S239" t="s">
        <v>378</v>
      </c>
      <c r="T239" t="s">
        <v>357</v>
      </c>
      <c r="U239" t="s">
        <v>391</v>
      </c>
      <c r="V239" t="s">
        <v>392</v>
      </c>
      <c r="W239" t="s">
        <v>195</v>
      </c>
      <c r="X239" t="s">
        <v>196</v>
      </c>
      <c r="Y239" t="s">
        <v>274</v>
      </c>
      <c r="Z239">
        <v>7</v>
      </c>
      <c r="AA239">
        <v>2</v>
      </c>
      <c r="AB239">
        <v>3</v>
      </c>
      <c r="AC239">
        <v>4</v>
      </c>
      <c r="AD239">
        <v>1</v>
      </c>
      <c r="AE239">
        <v>6</v>
      </c>
      <c r="AF239">
        <v>3</v>
      </c>
      <c r="AG239">
        <v>3</v>
      </c>
      <c r="AH239">
        <v>4</v>
      </c>
      <c r="AI239">
        <v>7</v>
      </c>
      <c r="AJ239">
        <v>1</v>
      </c>
      <c r="AK239">
        <v>4</v>
      </c>
      <c r="AL239">
        <v>6</v>
      </c>
      <c r="AM239">
        <v>7</v>
      </c>
      <c r="AN239">
        <v>120</v>
      </c>
      <c r="AO239">
        <v>3</v>
      </c>
      <c r="AP239">
        <v>1</v>
      </c>
      <c r="AQ239">
        <v>5</v>
      </c>
      <c r="AR239">
        <v>4</v>
      </c>
      <c r="AS239">
        <v>4</v>
      </c>
      <c r="AT239">
        <v>3</v>
      </c>
      <c r="AU239">
        <v>4</v>
      </c>
      <c r="AV239">
        <v>4</v>
      </c>
      <c r="AW239">
        <v>3</v>
      </c>
      <c r="AX239">
        <v>1</v>
      </c>
      <c r="AY239" cm="1">
        <f t="array" ref="AY239">_xlfn.IFS(AZ239="Positive",1, AZ239="Negative",1, AZ239="Neutral",0)</f>
        <v>1</v>
      </c>
      <c r="AZ239" t="s">
        <v>196</v>
      </c>
      <c r="BA239">
        <v>10</v>
      </c>
      <c r="BB239">
        <v>1</v>
      </c>
      <c r="BC239" s="3">
        <v>6</v>
      </c>
      <c r="BD239" s="3">
        <v>0</v>
      </c>
      <c r="BE239" s="3">
        <v>0</v>
      </c>
      <c r="BF239" s="3">
        <v>1</v>
      </c>
      <c r="BG239" s="3">
        <v>3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4</v>
      </c>
      <c r="BT239" t="s">
        <v>388</v>
      </c>
      <c r="BU239" t="s">
        <v>370</v>
      </c>
      <c r="BV239" t="s">
        <v>390</v>
      </c>
    </row>
    <row r="240" spans="1:74" s="1" customFormat="1" hidden="1" x14ac:dyDescent="0.2">
      <c r="A240">
        <v>249</v>
      </c>
      <c r="B240">
        <v>19</v>
      </c>
      <c r="C240" t="s">
        <v>95</v>
      </c>
      <c r="D240"/>
      <c r="E240" t="s">
        <v>73</v>
      </c>
      <c r="F240">
        <v>30</v>
      </c>
      <c r="G240">
        <v>1999</v>
      </c>
      <c r="H240">
        <v>23</v>
      </c>
      <c r="I240" t="s">
        <v>64</v>
      </c>
      <c r="J240">
        <v>1</v>
      </c>
      <c r="K240" t="s">
        <v>632</v>
      </c>
      <c r="L240" t="s">
        <v>632</v>
      </c>
      <c r="M240">
        <v>4</v>
      </c>
      <c r="N240">
        <v>72</v>
      </c>
      <c r="O240" t="s">
        <v>393</v>
      </c>
      <c r="P240" t="s">
        <v>394</v>
      </c>
      <c r="Q240" t="s">
        <v>731</v>
      </c>
      <c r="R240" t="s">
        <v>732</v>
      </c>
      <c r="S240" t="s">
        <v>396</v>
      </c>
      <c r="T240" t="s">
        <v>379</v>
      </c>
      <c r="U240" t="s">
        <v>397</v>
      </c>
      <c r="V240" t="s">
        <v>398</v>
      </c>
      <c r="W240" t="s">
        <v>195</v>
      </c>
      <c r="X240" t="s">
        <v>196</v>
      </c>
      <c r="Y240" t="s">
        <v>274</v>
      </c>
      <c r="Z240">
        <v>7</v>
      </c>
      <c r="AA240">
        <v>4</v>
      </c>
      <c r="AB240">
        <v>4</v>
      </c>
      <c r="AC240">
        <v>4</v>
      </c>
      <c r="AD240">
        <v>4</v>
      </c>
      <c r="AE240">
        <v>4</v>
      </c>
      <c r="AF240">
        <v>4</v>
      </c>
      <c r="AG240">
        <v>4</v>
      </c>
      <c r="AH240">
        <v>4</v>
      </c>
      <c r="AI240">
        <v>5</v>
      </c>
      <c r="AJ240">
        <v>4</v>
      </c>
      <c r="AK240">
        <v>4</v>
      </c>
      <c r="AL240">
        <v>4</v>
      </c>
      <c r="AM240">
        <v>4</v>
      </c>
      <c r="AN240">
        <v>7</v>
      </c>
      <c r="AO240">
        <v>4</v>
      </c>
      <c r="AP240">
        <v>4</v>
      </c>
      <c r="AQ240">
        <v>4</v>
      </c>
      <c r="AR240">
        <v>4</v>
      </c>
      <c r="AS240">
        <v>4</v>
      </c>
      <c r="AT240">
        <v>4</v>
      </c>
      <c r="AU240">
        <v>4</v>
      </c>
      <c r="AV240">
        <v>4</v>
      </c>
      <c r="AW240">
        <v>4</v>
      </c>
      <c r="AX240">
        <v>2</v>
      </c>
      <c r="AY240" cm="1">
        <f t="array" ref="AY240">_xlfn.IFS(AZ240="Positive",1, AZ240="Negative",1, AZ240="Neutral",0)</f>
        <v>1</v>
      </c>
      <c r="AZ240" t="s">
        <v>196</v>
      </c>
      <c r="BA240">
        <v>6</v>
      </c>
      <c r="BB240">
        <v>0</v>
      </c>
      <c r="BC240" s="3">
        <v>4</v>
      </c>
      <c r="BD240" s="3">
        <v>0</v>
      </c>
      <c r="BE240" s="3">
        <v>2</v>
      </c>
      <c r="BF240" s="3">
        <v>0</v>
      </c>
      <c r="BG240" s="3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3</v>
      </c>
      <c r="BT240">
        <v>3</v>
      </c>
      <c r="BU240" t="s">
        <v>395</v>
      </c>
      <c r="BV240" t="s">
        <v>309</v>
      </c>
    </row>
    <row r="241" spans="1:74" s="1" customFormat="1" hidden="1" x14ac:dyDescent="0.2">
      <c r="A241">
        <v>251</v>
      </c>
      <c r="B241">
        <v>21</v>
      </c>
      <c r="C241" t="s">
        <v>98</v>
      </c>
      <c r="D241"/>
      <c r="E241" t="s">
        <v>82</v>
      </c>
      <c r="F241">
        <v>27</v>
      </c>
      <c r="G241">
        <v>1997</v>
      </c>
      <c r="H241">
        <v>25</v>
      </c>
      <c r="I241" t="s">
        <v>64</v>
      </c>
      <c r="J241">
        <v>1</v>
      </c>
      <c r="K241" t="s">
        <v>661</v>
      </c>
      <c r="L241" t="s">
        <v>662</v>
      </c>
      <c r="M241">
        <v>6</v>
      </c>
      <c r="N241">
        <v>55</v>
      </c>
      <c r="O241" t="s">
        <v>287</v>
      </c>
      <c r="P241" t="s">
        <v>389</v>
      </c>
      <c r="Q241" t="s">
        <v>734</v>
      </c>
      <c r="R241" t="s">
        <v>735</v>
      </c>
      <c r="S241" t="s">
        <v>403</v>
      </c>
      <c r="T241" t="s">
        <v>404</v>
      </c>
      <c r="U241" t="s">
        <v>293</v>
      </c>
      <c r="V241" t="s">
        <v>392</v>
      </c>
      <c r="W241" t="s">
        <v>195</v>
      </c>
      <c r="X241" t="s">
        <v>196</v>
      </c>
      <c r="Y241" t="s">
        <v>274</v>
      </c>
      <c r="Z241">
        <v>7</v>
      </c>
      <c r="AA241">
        <v>6</v>
      </c>
      <c r="AB241">
        <v>4</v>
      </c>
      <c r="AC241">
        <v>5</v>
      </c>
      <c r="AD241">
        <v>6</v>
      </c>
      <c r="AE241">
        <v>6</v>
      </c>
      <c r="AF241">
        <v>4</v>
      </c>
      <c r="AG241">
        <v>6</v>
      </c>
      <c r="AH241">
        <v>4</v>
      </c>
      <c r="AI241">
        <v>6</v>
      </c>
      <c r="AJ241">
        <v>6</v>
      </c>
      <c r="AK241">
        <v>6</v>
      </c>
      <c r="AL241">
        <v>5</v>
      </c>
      <c r="AM241">
        <v>7</v>
      </c>
      <c r="AN241">
        <v>119</v>
      </c>
      <c r="AO241">
        <v>5</v>
      </c>
      <c r="AP241">
        <v>6</v>
      </c>
      <c r="AQ241">
        <v>6</v>
      </c>
      <c r="AR241">
        <v>6</v>
      </c>
      <c r="AS241">
        <v>6</v>
      </c>
      <c r="AT241">
        <v>5</v>
      </c>
      <c r="AU241">
        <v>4</v>
      </c>
      <c r="AV241">
        <v>6</v>
      </c>
      <c r="AW241">
        <v>4</v>
      </c>
      <c r="AX241">
        <v>3</v>
      </c>
      <c r="AY241" cm="1">
        <f t="array" ref="AY241">_xlfn.IFS(AZ241="Positive",1, AZ241="Negative",1, AZ241="Neutral",0)</f>
        <v>1</v>
      </c>
      <c r="AZ241" t="s">
        <v>196</v>
      </c>
      <c r="BA241">
        <v>2</v>
      </c>
      <c r="BB241">
        <v>2</v>
      </c>
      <c r="BC241" s="3">
        <v>2</v>
      </c>
      <c r="BD241" s="3">
        <v>0</v>
      </c>
      <c r="BE241" s="3">
        <v>0</v>
      </c>
      <c r="BF241" s="3">
        <v>0</v>
      </c>
      <c r="BG241" s="3">
        <v>0</v>
      </c>
      <c r="BH241">
        <v>0</v>
      </c>
      <c r="BI241">
        <v>0</v>
      </c>
      <c r="BJ241">
        <v>1</v>
      </c>
      <c r="BK241">
        <v>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 t="s">
        <v>305</v>
      </c>
      <c r="BT241" t="s">
        <v>305</v>
      </c>
      <c r="BU241" t="s">
        <v>308</v>
      </c>
      <c r="BV241" t="s">
        <v>402</v>
      </c>
    </row>
    <row r="242" spans="1:74" s="1" customFormat="1" x14ac:dyDescent="0.2">
      <c r="A242">
        <v>252</v>
      </c>
      <c r="B242">
        <v>22</v>
      </c>
      <c r="C242" t="s">
        <v>99</v>
      </c>
      <c r="D242"/>
      <c r="E242" t="s">
        <v>68</v>
      </c>
      <c r="F242">
        <v>17</v>
      </c>
      <c r="G242">
        <v>1998</v>
      </c>
      <c r="H242">
        <v>24</v>
      </c>
      <c r="I242" t="s">
        <v>64</v>
      </c>
      <c r="J242">
        <v>1</v>
      </c>
      <c r="K242" t="s">
        <v>456</v>
      </c>
      <c r="L242" t="s">
        <v>643</v>
      </c>
      <c r="M242">
        <v>6</v>
      </c>
      <c r="N242">
        <v>55</v>
      </c>
      <c r="O242" t="s">
        <v>332</v>
      </c>
      <c r="P242" t="s">
        <v>405</v>
      </c>
      <c r="Q242" t="s">
        <v>736</v>
      </c>
      <c r="R242" t="s">
        <v>713</v>
      </c>
      <c r="S242" t="s">
        <v>403</v>
      </c>
      <c r="T242" t="s">
        <v>404</v>
      </c>
      <c r="U242" t="s">
        <v>337</v>
      </c>
      <c r="V242" t="s">
        <v>407</v>
      </c>
      <c r="W242" t="s">
        <v>195</v>
      </c>
      <c r="X242" t="s">
        <v>196</v>
      </c>
      <c r="Y242" t="s">
        <v>274</v>
      </c>
      <c r="Z242">
        <v>7</v>
      </c>
      <c r="AA242">
        <v>7</v>
      </c>
      <c r="AB242">
        <v>7</v>
      </c>
      <c r="AC242">
        <v>7</v>
      </c>
      <c r="AD242">
        <v>1</v>
      </c>
      <c r="AE242">
        <v>1</v>
      </c>
      <c r="AF242">
        <v>2</v>
      </c>
      <c r="AG242">
        <v>1</v>
      </c>
      <c r="AH242">
        <v>7</v>
      </c>
      <c r="AI242">
        <v>7</v>
      </c>
      <c r="AJ242">
        <v>1</v>
      </c>
      <c r="AK242">
        <v>7</v>
      </c>
      <c r="AL242">
        <v>7</v>
      </c>
      <c r="AM242">
        <v>7</v>
      </c>
      <c r="AN242">
        <v>7</v>
      </c>
      <c r="AO242">
        <v>3</v>
      </c>
      <c r="AP242">
        <v>1</v>
      </c>
      <c r="AQ242">
        <v>7</v>
      </c>
      <c r="AR242">
        <v>5</v>
      </c>
      <c r="AS242">
        <v>7</v>
      </c>
      <c r="AT242">
        <v>7</v>
      </c>
      <c r="AU242">
        <v>7</v>
      </c>
      <c r="AV242">
        <v>7</v>
      </c>
      <c r="AW242">
        <v>7</v>
      </c>
      <c r="AX242">
        <v>1</v>
      </c>
      <c r="AY242" cm="1">
        <f t="array" ref="AY242">_xlfn.IFS(AZ242="Positive",1, AZ242="Negative",1, AZ242="Neutral",0)</f>
        <v>1</v>
      </c>
      <c r="AZ242" t="s">
        <v>196</v>
      </c>
      <c r="BA242">
        <v>0</v>
      </c>
      <c r="BB242">
        <v>1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 t="s">
        <v>405</v>
      </c>
      <c r="BT242" t="s">
        <v>313</v>
      </c>
      <c r="BU242" t="s">
        <v>406</v>
      </c>
      <c r="BV242" t="s">
        <v>317</v>
      </c>
    </row>
    <row r="243" spans="1:74" s="1" customFormat="1" x14ac:dyDescent="0.2">
      <c r="A243">
        <v>253</v>
      </c>
      <c r="B243">
        <v>23</v>
      </c>
      <c r="C243" t="s">
        <v>100</v>
      </c>
      <c r="D243"/>
      <c r="E243" t="s">
        <v>78</v>
      </c>
      <c r="F243">
        <v>31</v>
      </c>
      <c r="G243">
        <v>2000</v>
      </c>
      <c r="H243">
        <v>22</v>
      </c>
      <c r="I243" t="s">
        <v>69</v>
      </c>
      <c r="J243">
        <v>2</v>
      </c>
      <c r="K243" t="s">
        <v>663</v>
      </c>
      <c r="L243" t="s">
        <v>652</v>
      </c>
      <c r="M243">
        <v>0</v>
      </c>
      <c r="N243">
        <v>58</v>
      </c>
      <c r="O243" t="s">
        <v>408</v>
      </c>
      <c r="P243" t="s">
        <v>409</v>
      </c>
      <c r="Q243" t="s">
        <v>737</v>
      </c>
      <c r="R243" t="s">
        <v>722</v>
      </c>
      <c r="S243" t="s">
        <v>411</v>
      </c>
      <c r="T243" t="s">
        <v>364</v>
      </c>
      <c r="U243" t="s">
        <v>412</v>
      </c>
      <c r="V243" t="s">
        <v>413</v>
      </c>
      <c r="W243" t="s">
        <v>195</v>
      </c>
      <c r="X243" t="s">
        <v>196</v>
      </c>
      <c r="Y243" t="s">
        <v>274</v>
      </c>
      <c r="Z243">
        <v>7</v>
      </c>
      <c r="AA243">
        <v>5</v>
      </c>
      <c r="AB243">
        <v>5</v>
      </c>
      <c r="AC243">
        <v>5</v>
      </c>
      <c r="AD243">
        <v>1</v>
      </c>
      <c r="AE243">
        <v>1</v>
      </c>
      <c r="AF243">
        <v>1</v>
      </c>
      <c r="AG243">
        <v>1</v>
      </c>
      <c r="AH243">
        <v>7</v>
      </c>
      <c r="AI243">
        <v>7</v>
      </c>
      <c r="AJ243">
        <v>1</v>
      </c>
      <c r="AK243">
        <v>7</v>
      </c>
      <c r="AL243">
        <v>3</v>
      </c>
      <c r="AM243">
        <v>3</v>
      </c>
      <c r="AN243">
        <v>5</v>
      </c>
      <c r="AO243">
        <v>1</v>
      </c>
      <c r="AP243">
        <v>1</v>
      </c>
      <c r="AQ243">
        <v>2</v>
      </c>
      <c r="AR243">
        <v>1</v>
      </c>
      <c r="AS243">
        <v>5</v>
      </c>
      <c r="AT243">
        <v>5</v>
      </c>
      <c r="AU243">
        <v>6</v>
      </c>
      <c r="AV243">
        <v>6</v>
      </c>
      <c r="AW243">
        <v>6</v>
      </c>
      <c r="AX243">
        <v>1</v>
      </c>
      <c r="AY243" cm="1">
        <f t="array" ref="AY243">_xlfn.IFS(AZ243="Positive",1, AZ243="Negative",1, AZ243="Neutral",0)</f>
        <v>1</v>
      </c>
      <c r="AZ243" t="s">
        <v>196</v>
      </c>
      <c r="BA243">
        <v>0</v>
      </c>
      <c r="BB243">
        <v>1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 t="s">
        <v>405</v>
      </c>
      <c r="BT243" t="s">
        <v>382</v>
      </c>
      <c r="BU243" t="s">
        <v>406</v>
      </c>
      <c r="BV243" t="s">
        <v>410</v>
      </c>
    </row>
    <row r="244" spans="1:74" s="1" customFormat="1" hidden="1" x14ac:dyDescent="0.2">
      <c r="A244">
        <v>254</v>
      </c>
      <c r="B244">
        <v>24</v>
      </c>
      <c r="C244" t="s">
        <v>101</v>
      </c>
      <c r="D244"/>
      <c r="E244" t="s">
        <v>76</v>
      </c>
      <c r="F244">
        <v>18</v>
      </c>
      <c r="G244">
        <v>2000</v>
      </c>
      <c r="H244">
        <v>22</v>
      </c>
      <c r="I244" t="s">
        <v>64</v>
      </c>
      <c r="J244">
        <v>1</v>
      </c>
      <c r="K244" t="s">
        <v>664</v>
      </c>
      <c r="L244" t="s">
        <v>648</v>
      </c>
      <c r="M244">
        <v>9</v>
      </c>
      <c r="N244">
        <v>48</v>
      </c>
      <c r="O244" t="s">
        <v>415</v>
      </c>
      <c r="P244" t="s">
        <v>416</v>
      </c>
      <c r="Q244" t="s">
        <v>738</v>
      </c>
      <c r="R244" t="s">
        <v>718</v>
      </c>
      <c r="S244" t="s">
        <v>349</v>
      </c>
      <c r="T244" t="s">
        <v>418</v>
      </c>
      <c r="U244" t="s">
        <v>419</v>
      </c>
      <c r="V244" t="s">
        <v>420</v>
      </c>
      <c r="W244" t="s">
        <v>195</v>
      </c>
      <c r="X244" t="s">
        <v>196</v>
      </c>
      <c r="Y244" t="s">
        <v>274</v>
      </c>
      <c r="Z244">
        <v>7</v>
      </c>
      <c r="AA244">
        <v>2</v>
      </c>
      <c r="AB244">
        <v>6</v>
      </c>
      <c r="AC244">
        <v>2</v>
      </c>
      <c r="AD244">
        <v>7</v>
      </c>
      <c r="AE244">
        <v>6</v>
      </c>
      <c r="AF244">
        <v>5</v>
      </c>
      <c r="AG244">
        <v>3</v>
      </c>
      <c r="AH244">
        <v>7</v>
      </c>
      <c r="AI244">
        <v>6</v>
      </c>
      <c r="AJ244">
        <v>3</v>
      </c>
      <c r="AK244">
        <v>2</v>
      </c>
      <c r="AL244">
        <v>2</v>
      </c>
      <c r="AM244">
        <v>4</v>
      </c>
      <c r="AN244">
        <v>209</v>
      </c>
      <c r="AO244">
        <v>6</v>
      </c>
      <c r="AP244">
        <v>3</v>
      </c>
      <c r="AQ244">
        <v>2</v>
      </c>
      <c r="AR244">
        <v>2</v>
      </c>
      <c r="AS244">
        <v>2</v>
      </c>
      <c r="AT244">
        <v>2</v>
      </c>
      <c r="AU244">
        <v>5</v>
      </c>
      <c r="AV244">
        <v>2</v>
      </c>
      <c r="AW244">
        <v>4</v>
      </c>
      <c r="AX244">
        <v>2</v>
      </c>
      <c r="AY244" cm="1">
        <f t="array" ref="AY244">_xlfn.IFS(AZ244="Positive",1, AZ244="Negative",1, AZ244="Neutral",0)</f>
        <v>1</v>
      </c>
      <c r="AZ244" t="s">
        <v>196</v>
      </c>
      <c r="BA244">
        <v>9</v>
      </c>
      <c r="BB244">
        <v>0</v>
      </c>
      <c r="BC244" s="3">
        <v>8</v>
      </c>
      <c r="BD244" s="3">
        <v>0</v>
      </c>
      <c r="BE244" s="3">
        <v>0</v>
      </c>
      <c r="BF244" s="3">
        <v>1</v>
      </c>
      <c r="BG244" s="3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 t="s">
        <v>414</v>
      </c>
      <c r="BT244">
        <v>2</v>
      </c>
      <c r="BU244" t="s">
        <v>417</v>
      </c>
      <c r="BV244" t="s">
        <v>340</v>
      </c>
    </row>
    <row r="245" spans="1:74" s="1" customFormat="1" hidden="1" x14ac:dyDescent="0.2">
      <c r="A245">
        <v>255</v>
      </c>
      <c r="B245">
        <v>25</v>
      </c>
      <c r="C245" t="s">
        <v>102</v>
      </c>
      <c r="D245"/>
      <c r="E245" t="s">
        <v>63</v>
      </c>
      <c r="F245">
        <v>3</v>
      </c>
      <c r="G245">
        <v>2001</v>
      </c>
      <c r="H245">
        <v>21</v>
      </c>
      <c r="I245" t="s">
        <v>69</v>
      </c>
      <c r="J245">
        <v>2</v>
      </c>
      <c r="K245" t="s">
        <v>661</v>
      </c>
      <c r="L245" t="s">
        <v>665</v>
      </c>
      <c r="M245">
        <v>0</v>
      </c>
      <c r="N245">
        <v>56</v>
      </c>
      <c r="O245" t="s">
        <v>421</v>
      </c>
      <c r="P245" t="s">
        <v>394</v>
      </c>
      <c r="Q245" t="s">
        <v>734</v>
      </c>
      <c r="R245" t="s">
        <v>739</v>
      </c>
      <c r="S245" t="s">
        <v>411</v>
      </c>
      <c r="T245" t="s">
        <v>423</v>
      </c>
      <c r="U245" t="s">
        <v>424</v>
      </c>
      <c r="V245" t="s">
        <v>398</v>
      </c>
      <c r="W245" t="s">
        <v>195</v>
      </c>
      <c r="X245" t="s">
        <v>196</v>
      </c>
      <c r="Y245" t="s">
        <v>274</v>
      </c>
      <c r="Z245">
        <v>7</v>
      </c>
      <c r="AA245">
        <v>4</v>
      </c>
      <c r="AB245">
        <v>6</v>
      </c>
      <c r="AC245">
        <v>5</v>
      </c>
      <c r="AD245">
        <v>5</v>
      </c>
      <c r="AE245">
        <v>6</v>
      </c>
      <c r="AF245">
        <v>3</v>
      </c>
      <c r="AG245">
        <v>2</v>
      </c>
      <c r="AH245">
        <v>6</v>
      </c>
      <c r="AI245">
        <v>6</v>
      </c>
      <c r="AJ245">
        <v>2</v>
      </c>
      <c r="AK245">
        <v>7</v>
      </c>
      <c r="AL245">
        <v>6</v>
      </c>
      <c r="AM245">
        <v>3</v>
      </c>
      <c r="AN245">
        <v>5</v>
      </c>
      <c r="AO245">
        <v>2</v>
      </c>
      <c r="AP245">
        <v>2</v>
      </c>
      <c r="AQ245">
        <v>3</v>
      </c>
      <c r="AR245">
        <v>6</v>
      </c>
      <c r="AS245">
        <v>5</v>
      </c>
      <c r="AT245">
        <v>5</v>
      </c>
      <c r="AU245">
        <v>5</v>
      </c>
      <c r="AV245">
        <v>6</v>
      </c>
      <c r="AW245">
        <v>7</v>
      </c>
      <c r="AX245">
        <v>1</v>
      </c>
      <c r="AY245" cm="1">
        <f t="array" ref="AY245">_xlfn.IFS(AZ245="Positive",1, AZ245="Negative",1, AZ245="Neutral",0)</f>
        <v>1</v>
      </c>
      <c r="AZ245" t="s">
        <v>196</v>
      </c>
      <c r="BA245">
        <v>5</v>
      </c>
      <c r="BB245">
        <v>0</v>
      </c>
      <c r="BC245" s="3">
        <v>2</v>
      </c>
      <c r="BD245" s="3">
        <v>1</v>
      </c>
      <c r="BE245" s="3">
        <v>2</v>
      </c>
      <c r="BF245" s="3">
        <v>0</v>
      </c>
      <c r="BG245" s="3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 t="s">
        <v>285</v>
      </c>
      <c r="BT245" t="s">
        <v>322</v>
      </c>
      <c r="BU245" t="s">
        <v>289</v>
      </c>
      <c r="BV245" t="s">
        <v>422</v>
      </c>
    </row>
    <row r="246" spans="1:74" s="1" customFormat="1" hidden="1" x14ac:dyDescent="0.2">
      <c r="A246">
        <v>256</v>
      </c>
      <c r="B246">
        <v>26</v>
      </c>
      <c r="C246" t="s">
        <v>103</v>
      </c>
      <c r="D246"/>
      <c r="E246" t="s">
        <v>97</v>
      </c>
      <c r="F246">
        <v>14</v>
      </c>
      <c r="G246">
        <v>2001</v>
      </c>
      <c r="H246">
        <v>21</v>
      </c>
      <c r="I246" t="s">
        <v>64</v>
      </c>
      <c r="J246">
        <v>1</v>
      </c>
      <c r="K246" t="s">
        <v>663</v>
      </c>
      <c r="L246" t="s">
        <v>645</v>
      </c>
      <c r="M246">
        <v>7</v>
      </c>
      <c r="N246">
        <v>67</v>
      </c>
      <c r="O246" t="s">
        <v>277</v>
      </c>
      <c r="P246" t="s">
        <v>427</v>
      </c>
      <c r="Q246" t="s">
        <v>737</v>
      </c>
      <c r="R246" t="s">
        <v>715</v>
      </c>
      <c r="S246" t="s">
        <v>430</v>
      </c>
      <c r="T246" t="s">
        <v>431</v>
      </c>
      <c r="U246" t="s">
        <v>283</v>
      </c>
      <c r="V246" t="s">
        <v>432</v>
      </c>
      <c r="W246" t="s">
        <v>195</v>
      </c>
      <c r="X246" t="s">
        <v>196</v>
      </c>
      <c r="Y246" t="s">
        <v>274</v>
      </c>
      <c r="Z246">
        <v>7</v>
      </c>
      <c r="AA246">
        <v>7</v>
      </c>
      <c r="AB246">
        <v>6</v>
      </c>
      <c r="AC246">
        <v>5</v>
      </c>
      <c r="AD246">
        <v>1</v>
      </c>
      <c r="AE246">
        <v>5</v>
      </c>
      <c r="AF246">
        <v>6</v>
      </c>
      <c r="AG246">
        <v>1</v>
      </c>
      <c r="AH246">
        <v>6</v>
      </c>
      <c r="AI246">
        <v>7</v>
      </c>
      <c r="AJ246">
        <v>3</v>
      </c>
      <c r="AK246">
        <v>7</v>
      </c>
      <c r="AL246">
        <v>7</v>
      </c>
      <c r="AM246">
        <v>4</v>
      </c>
      <c r="AN246">
        <v>183</v>
      </c>
      <c r="AO246">
        <v>5</v>
      </c>
      <c r="AP246">
        <v>1</v>
      </c>
      <c r="AQ246">
        <v>3</v>
      </c>
      <c r="AR246">
        <v>7</v>
      </c>
      <c r="AS246">
        <v>7</v>
      </c>
      <c r="AT246">
        <v>5</v>
      </c>
      <c r="AU246">
        <v>7</v>
      </c>
      <c r="AV246">
        <v>6</v>
      </c>
      <c r="AW246">
        <v>7</v>
      </c>
      <c r="AX246">
        <v>1</v>
      </c>
      <c r="AY246" cm="1">
        <f t="array" ref="AY246">_xlfn.IFS(AZ246="Positive",1, AZ246="Negative",1, AZ246="Neutral",0)</f>
        <v>1</v>
      </c>
      <c r="AZ246" t="s">
        <v>196</v>
      </c>
      <c r="BA246">
        <v>13</v>
      </c>
      <c r="BB246">
        <v>5</v>
      </c>
      <c r="BC246" s="3">
        <v>10</v>
      </c>
      <c r="BD246" s="3">
        <v>0</v>
      </c>
      <c r="BE246" s="3">
        <v>1</v>
      </c>
      <c r="BF246" s="3">
        <v>1</v>
      </c>
      <c r="BG246" s="3">
        <v>1</v>
      </c>
      <c r="BH246">
        <v>0</v>
      </c>
      <c r="BI246">
        <v>0</v>
      </c>
      <c r="BJ246">
        <v>3</v>
      </c>
      <c r="BK246">
        <v>0</v>
      </c>
      <c r="BL246">
        <v>2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 t="s">
        <v>425</v>
      </c>
      <c r="BT246" t="s">
        <v>426</v>
      </c>
      <c r="BU246" t="s">
        <v>428</v>
      </c>
      <c r="BV246" t="s">
        <v>429</v>
      </c>
    </row>
    <row r="247" spans="1:74" s="1" customFormat="1" x14ac:dyDescent="0.2">
      <c r="A247">
        <v>257</v>
      </c>
      <c r="B247">
        <v>27</v>
      </c>
      <c r="C247" t="s">
        <v>104</v>
      </c>
      <c r="D247"/>
      <c r="E247" t="s">
        <v>85</v>
      </c>
      <c r="F247">
        <v>26</v>
      </c>
      <c r="G247">
        <v>2001</v>
      </c>
      <c r="H247">
        <v>21</v>
      </c>
      <c r="I247" t="s">
        <v>64</v>
      </c>
      <c r="J247">
        <v>1</v>
      </c>
      <c r="K247" t="s">
        <v>651</v>
      </c>
      <c r="L247" t="s">
        <v>647</v>
      </c>
      <c r="M247">
        <v>7</v>
      </c>
      <c r="N247">
        <v>69</v>
      </c>
      <c r="O247">
        <v>6</v>
      </c>
      <c r="P247" t="s">
        <v>353</v>
      </c>
      <c r="Q247" t="s">
        <v>721</v>
      </c>
      <c r="R247" t="s">
        <v>717</v>
      </c>
      <c r="S247" t="s">
        <v>430</v>
      </c>
      <c r="T247" t="s">
        <v>357</v>
      </c>
      <c r="U247" t="s">
        <v>436</v>
      </c>
      <c r="V247" t="s">
        <v>437</v>
      </c>
      <c r="W247" t="s">
        <v>195</v>
      </c>
      <c r="X247" t="s">
        <v>196</v>
      </c>
      <c r="Y247" t="s">
        <v>274</v>
      </c>
      <c r="Z247">
        <v>7</v>
      </c>
      <c r="AA247">
        <v>7</v>
      </c>
      <c r="AB247">
        <v>7</v>
      </c>
      <c r="AC247">
        <v>7</v>
      </c>
      <c r="AD247">
        <v>6</v>
      </c>
      <c r="AE247">
        <v>6</v>
      </c>
      <c r="AF247">
        <v>2</v>
      </c>
      <c r="AG247">
        <v>1</v>
      </c>
      <c r="AH247">
        <v>6</v>
      </c>
      <c r="AI247">
        <v>7</v>
      </c>
      <c r="AJ247">
        <v>1</v>
      </c>
      <c r="AK247">
        <v>7</v>
      </c>
      <c r="AL247">
        <v>7</v>
      </c>
      <c r="AM247">
        <v>5</v>
      </c>
      <c r="AN247">
        <v>152</v>
      </c>
      <c r="AO247">
        <v>1</v>
      </c>
      <c r="AP247">
        <v>1</v>
      </c>
      <c r="AQ247">
        <v>6</v>
      </c>
      <c r="AR247">
        <v>7</v>
      </c>
      <c r="AS247">
        <v>7</v>
      </c>
      <c r="AT247">
        <v>7</v>
      </c>
      <c r="AU247">
        <v>7</v>
      </c>
      <c r="AV247">
        <v>7</v>
      </c>
      <c r="AW247">
        <v>7</v>
      </c>
      <c r="AX247">
        <v>1</v>
      </c>
      <c r="AY247" cm="1">
        <f t="array" ref="AY247">_xlfn.IFS(AZ247="Positive",1, AZ247="Negative",1, AZ247="Neutral",0)</f>
        <v>1</v>
      </c>
      <c r="AZ247" t="s">
        <v>196</v>
      </c>
      <c r="BA247">
        <v>0</v>
      </c>
      <c r="BB247">
        <v>5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>
        <v>0</v>
      </c>
      <c r="BI247">
        <v>0</v>
      </c>
      <c r="BJ247">
        <v>2</v>
      </c>
      <c r="BK247">
        <v>1</v>
      </c>
      <c r="BL247">
        <v>1</v>
      </c>
      <c r="BM247">
        <v>0</v>
      </c>
      <c r="BN247">
        <v>0</v>
      </c>
      <c r="BO247">
        <v>0</v>
      </c>
      <c r="BP247">
        <v>0</v>
      </c>
      <c r="BQ247">
        <v>1</v>
      </c>
      <c r="BR247">
        <v>0</v>
      </c>
      <c r="BS247" t="s">
        <v>388</v>
      </c>
      <c r="BT247" t="s">
        <v>433</v>
      </c>
      <c r="BU247" t="s">
        <v>434</v>
      </c>
      <c r="BV247" t="s">
        <v>435</v>
      </c>
    </row>
    <row r="248" spans="1:74" s="1" customFormat="1" hidden="1" x14ac:dyDescent="0.2">
      <c r="A248">
        <v>258</v>
      </c>
      <c r="B248">
        <v>28</v>
      </c>
      <c r="C248" t="s">
        <v>105</v>
      </c>
      <c r="D248"/>
      <c r="E248" t="s">
        <v>85</v>
      </c>
      <c r="F248">
        <v>15</v>
      </c>
      <c r="G248">
        <v>2001</v>
      </c>
      <c r="H248">
        <v>21</v>
      </c>
      <c r="I248" t="s">
        <v>64</v>
      </c>
      <c r="J248">
        <v>1</v>
      </c>
      <c r="K248" t="s">
        <v>655</v>
      </c>
      <c r="L248" t="s">
        <v>653</v>
      </c>
      <c r="M248">
        <v>8</v>
      </c>
      <c r="N248">
        <v>65</v>
      </c>
      <c r="O248" t="s">
        <v>376</v>
      </c>
      <c r="P248" t="s">
        <v>438</v>
      </c>
      <c r="Q248" t="s">
        <v>725</v>
      </c>
      <c r="R248" t="s">
        <v>724</v>
      </c>
      <c r="S248" t="s">
        <v>291</v>
      </c>
      <c r="T248" t="s">
        <v>439</v>
      </c>
      <c r="U248" t="s">
        <v>440</v>
      </c>
      <c r="V248" t="s">
        <v>441</v>
      </c>
      <c r="W248" t="s">
        <v>195</v>
      </c>
      <c r="X248" t="s">
        <v>196</v>
      </c>
      <c r="Y248" t="s">
        <v>274</v>
      </c>
      <c r="Z248">
        <v>7</v>
      </c>
      <c r="AA248">
        <v>7</v>
      </c>
      <c r="AB248">
        <v>7</v>
      </c>
      <c r="AC248">
        <v>6</v>
      </c>
      <c r="AD248">
        <v>6</v>
      </c>
      <c r="AE248">
        <v>6</v>
      </c>
      <c r="AF248">
        <v>4</v>
      </c>
      <c r="AG248">
        <v>1</v>
      </c>
      <c r="AH248">
        <v>6</v>
      </c>
      <c r="AI248">
        <v>7</v>
      </c>
      <c r="AJ248">
        <v>1</v>
      </c>
      <c r="AK248">
        <v>7</v>
      </c>
      <c r="AL248">
        <v>7</v>
      </c>
      <c r="AM248">
        <v>2</v>
      </c>
      <c r="AN248">
        <v>109</v>
      </c>
      <c r="AO248">
        <v>7</v>
      </c>
      <c r="AP248">
        <v>1</v>
      </c>
      <c r="AQ248">
        <v>1</v>
      </c>
      <c r="AR248">
        <v>7</v>
      </c>
      <c r="AS248">
        <v>7</v>
      </c>
      <c r="AT248">
        <v>5</v>
      </c>
      <c r="AU248">
        <v>7</v>
      </c>
      <c r="AV248">
        <v>6</v>
      </c>
      <c r="AW248">
        <v>6</v>
      </c>
      <c r="AX248">
        <v>1</v>
      </c>
      <c r="AY248" cm="1">
        <f t="array" ref="AY248">_xlfn.IFS(AZ248="Positive",1, AZ248="Negative",1, AZ248="Neutral",0)</f>
        <v>1</v>
      </c>
      <c r="AZ248" t="s">
        <v>196</v>
      </c>
      <c r="BA248">
        <v>10</v>
      </c>
      <c r="BB248">
        <v>0</v>
      </c>
      <c r="BC248" s="3">
        <v>3</v>
      </c>
      <c r="BD248" s="3">
        <v>0</v>
      </c>
      <c r="BE248" s="3">
        <v>3</v>
      </c>
      <c r="BF248" s="3">
        <v>0</v>
      </c>
      <c r="BG248" s="3">
        <v>4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 t="s">
        <v>414</v>
      </c>
      <c r="BT248">
        <v>3</v>
      </c>
      <c r="BU248" t="s">
        <v>417</v>
      </c>
      <c r="BV248" t="s">
        <v>309</v>
      </c>
    </row>
    <row r="249" spans="1:74" s="1" customFormat="1" hidden="1" x14ac:dyDescent="0.2">
      <c r="A249">
        <v>259</v>
      </c>
      <c r="B249">
        <v>29</v>
      </c>
      <c r="C249" t="s">
        <v>106</v>
      </c>
      <c r="D249"/>
      <c r="E249" t="s">
        <v>78</v>
      </c>
      <c r="F249">
        <v>3</v>
      </c>
      <c r="G249">
        <v>1999</v>
      </c>
      <c r="H249">
        <v>23</v>
      </c>
      <c r="I249" t="s">
        <v>64</v>
      </c>
      <c r="J249">
        <v>1</v>
      </c>
      <c r="K249" t="s">
        <v>644</v>
      </c>
      <c r="L249" t="s">
        <v>666</v>
      </c>
      <c r="M249">
        <v>17</v>
      </c>
      <c r="N249">
        <v>60</v>
      </c>
      <c r="O249" t="s">
        <v>442</v>
      </c>
      <c r="P249" t="s">
        <v>409</v>
      </c>
      <c r="Q249" t="s">
        <v>714</v>
      </c>
      <c r="R249" t="s">
        <v>740</v>
      </c>
      <c r="S249" t="s">
        <v>443</v>
      </c>
      <c r="T249" t="s">
        <v>444</v>
      </c>
      <c r="U249" t="s">
        <v>445</v>
      </c>
      <c r="V249" t="s">
        <v>413</v>
      </c>
      <c r="W249" t="s">
        <v>195</v>
      </c>
      <c r="X249" t="s">
        <v>196</v>
      </c>
      <c r="Y249" t="s">
        <v>274</v>
      </c>
      <c r="Z249">
        <v>7</v>
      </c>
      <c r="AA249">
        <v>7</v>
      </c>
      <c r="AB249">
        <v>7</v>
      </c>
      <c r="AC249">
        <v>7</v>
      </c>
      <c r="AD249">
        <v>7</v>
      </c>
      <c r="AE249">
        <v>6</v>
      </c>
      <c r="AF249">
        <v>5</v>
      </c>
      <c r="AG249">
        <v>1</v>
      </c>
      <c r="AH249">
        <v>7</v>
      </c>
      <c r="AI249">
        <v>7</v>
      </c>
      <c r="AJ249">
        <v>1</v>
      </c>
      <c r="AK249">
        <v>6</v>
      </c>
      <c r="AL249">
        <v>6</v>
      </c>
      <c r="AM249">
        <v>6</v>
      </c>
      <c r="AN249">
        <v>6</v>
      </c>
      <c r="AO249">
        <v>5</v>
      </c>
      <c r="AP249">
        <v>1</v>
      </c>
      <c r="AQ249">
        <v>3</v>
      </c>
      <c r="AR249">
        <v>4</v>
      </c>
      <c r="AS249">
        <v>7</v>
      </c>
      <c r="AT249">
        <v>7</v>
      </c>
      <c r="AU249">
        <v>7</v>
      </c>
      <c r="AV249">
        <v>7</v>
      </c>
      <c r="AW249">
        <v>7</v>
      </c>
      <c r="AX249">
        <v>1</v>
      </c>
      <c r="AY249" cm="1">
        <f t="array" ref="AY249">_xlfn.IFS(AZ249="Positive",1, AZ249="Negative",1, AZ249="Neutral",0)</f>
        <v>1</v>
      </c>
      <c r="AZ249" t="s">
        <v>196</v>
      </c>
      <c r="BA249">
        <v>13</v>
      </c>
      <c r="BB249">
        <v>0</v>
      </c>
      <c r="BC249" s="3">
        <v>5</v>
      </c>
      <c r="BD249" s="3">
        <v>1</v>
      </c>
      <c r="BE249" s="3">
        <v>4</v>
      </c>
      <c r="BF249" s="3">
        <v>2</v>
      </c>
      <c r="BG249" s="3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 t="s">
        <v>296</v>
      </c>
      <c r="BT249" t="s">
        <v>276</v>
      </c>
      <c r="BU249" t="s">
        <v>362</v>
      </c>
      <c r="BV249" t="s">
        <v>280</v>
      </c>
    </row>
    <row r="250" spans="1:74" s="1" customFormat="1" x14ac:dyDescent="0.2">
      <c r="A250">
        <v>260</v>
      </c>
      <c r="B250">
        <v>30</v>
      </c>
      <c r="C250" t="s">
        <v>107</v>
      </c>
      <c r="D250"/>
      <c r="E250" t="s">
        <v>73</v>
      </c>
      <c r="F250">
        <v>30</v>
      </c>
      <c r="G250">
        <v>1999</v>
      </c>
      <c r="H250">
        <v>23</v>
      </c>
      <c r="I250" t="s">
        <v>64</v>
      </c>
      <c r="J250">
        <v>1</v>
      </c>
      <c r="K250" t="s">
        <v>661</v>
      </c>
      <c r="L250" t="s">
        <v>652</v>
      </c>
      <c r="M250">
        <v>6</v>
      </c>
      <c r="N250">
        <v>66</v>
      </c>
      <c r="O250" t="s">
        <v>446</v>
      </c>
      <c r="P250" t="s">
        <v>369</v>
      </c>
      <c r="Q250" t="s">
        <v>734</v>
      </c>
      <c r="R250" t="s">
        <v>722</v>
      </c>
      <c r="S250" t="s">
        <v>403</v>
      </c>
      <c r="T250" t="s">
        <v>282</v>
      </c>
      <c r="U250" t="s">
        <v>448</v>
      </c>
      <c r="V250" t="s">
        <v>374</v>
      </c>
      <c r="W250" t="s">
        <v>195</v>
      </c>
      <c r="X250" t="s">
        <v>196</v>
      </c>
      <c r="Y250" t="s">
        <v>274</v>
      </c>
      <c r="Z250">
        <v>7</v>
      </c>
      <c r="AA250">
        <v>5</v>
      </c>
      <c r="AB250">
        <v>5</v>
      </c>
      <c r="AC250">
        <v>6</v>
      </c>
      <c r="AD250">
        <v>5</v>
      </c>
      <c r="AE250">
        <v>5</v>
      </c>
      <c r="AF250">
        <v>6</v>
      </c>
      <c r="AG250">
        <v>2</v>
      </c>
      <c r="AH250">
        <v>6</v>
      </c>
      <c r="AI250">
        <v>7</v>
      </c>
      <c r="AJ250">
        <v>1</v>
      </c>
      <c r="AK250">
        <v>7</v>
      </c>
      <c r="AL250">
        <v>7</v>
      </c>
      <c r="AM250">
        <v>6</v>
      </c>
      <c r="AN250">
        <v>6</v>
      </c>
      <c r="AO250">
        <v>6</v>
      </c>
      <c r="AP250">
        <v>1</v>
      </c>
      <c r="AQ250">
        <v>6</v>
      </c>
      <c r="AR250">
        <v>6</v>
      </c>
      <c r="AS250">
        <v>6</v>
      </c>
      <c r="AT250">
        <v>6</v>
      </c>
      <c r="AU250">
        <v>6</v>
      </c>
      <c r="AV250">
        <v>6</v>
      </c>
      <c r="AW250">
        <v>7</v>
      </c>
      <c r="AX250">
        <v>1</v>
      </c>
      <c r="AY250" cm="1">
        <f t="array" ref="AY250">_xlfn.IFS(AZ250="Positive",1, AZ250="Negative",1, AZ250="Neutral",0)</f>
        <v>1</v>
      </c>
      <c r="AZ250" t="s">
        <v>196</v>
      </c>
      <c r="BA250">
        <v>0</v>
      </c>
      <c r="BB250">
        <v>2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 t="s">
        <v>414</v>
      </c>
      <c r="BT250" t="s">
        <v>399</v>
      </c>
      <c r="BU250" t="s">
        <v>417</v>
      </c>
      <c r="BV250" t="s">
        <v>447</v>
      </c>
    </row>
    <row r="251" spans="1:74" s="1" customFormat="1" x14ac:dyDescent="0.2">
      <c r="A251">
        <v>261</v>
      </c>
      <c r="B251">
        <v>31</v>
      </c>
      <c r="C251" t="s">
        <v>108</v>
      </c>
      <c r="D251"/>
      <c r="E251" t="s">
        <v>97</v>
      </c>
      <c r="F251">
        <v>24</v>
      </c>
      <c r="G251">
        <v>1999</v>
      </c>
      <c r="H251">
        <v>23</v>
      </c>
      <c r="I251" t="s">
        <v>64</v>
      </c>
      <c r="J251">
        <v>1</v>
      </c>
      <c r="K251" t="s">
        <v>667</v>
      </c>
      <c r="L251" t="s">
        <v>668</v>
      </c>
      <c r="M251">
        <v>2</v>
      </c>
      <c r="N251">
        <v>62</v>
      </c>
      <c r="O251" t="s">
        <v>339</v>
      </c>
      <c r="P251" t="s">
        <v>339</v>
      </c>
      <c r="Q251" t="s">
        <v>741</v>
      </c>
      <c r="R251" t="s">
        <v>742</v>
      </c>
      <c r="S251" t="s">
        <v>281</v>
      </c>
      <c r="T251" t="s">
        <v>319</v>
      </c>
      <c r="U251" t="s">
        <v>452</v>
      </c>
      <c r="V251" t="s">
        <v>343</v>
      </c>
      <c r="W251" t="s">
        <v>195</v>
      </c>
      <c r="X251" t="s">
        <v>196</v>
      </c>
      <c r="Y251" t="s">
        <v>274</v>
      </c>
      <c r="Z251">
        <v>7</v>
      </c>
      <c r="AA251">
        <v>1</v>
      </c>
      <c r="AB251">
        <v>3</v>
      </c>
      <c r="AC251">
        <v>2</v>
      </c>
      <c r="AD251">
        <v>1</v>
      </c>
      <c r="AE251">
        <v>1</v>
      </c>
      <c r="AF251">
        <v>2</v>
      </c>
      <c r="AG251">
        <v>1</v>
      </c>
      <c r="AH251">
        <v>1</v>
      </c>
      <c r="AI251">
        <v>6</v>
      </c>
      <c r="AJ251">
        <v>1</v>
      </c>
      <c r="AK251">
        <v>2</v>
      </c>
      <c r="AL251">
        <v>4</v>
      </c>
      <c r="AM251">
        <v>1</v>
      </c>
      <c r="AN251">
        <v>192</v>
      </c>
      <c r="AO251">
        <v>3</v>
      </c>
      <c r="AP251">
        <v>1</v>
      </c>
      <c r="AQ251">
        <v>1</v>
      </c>
      <c r="AR251">
        <v>3</v>
      </c>
      <c r="AS251">
        <v>3</v>
      </c>
      <c r="AT251">
        <v>3</v>
      </c>
      <c r="AU251">
        <v>3</v>
      </c>
      <c r="AV251">
        <v>3</v>
      </c>
      <c r="AW251">
        <v>3</v>
      </c>
      <c r="AX251">
        <v>1</v>
      </c>
      <c r="AY251" cm="1">
        <f t="array" ref="AY251">_xlfn.IFS(AZ251="Positive",1, AZ251="Negative",1, AZ251="Neutral",0)</f>
        <v>1</v>
      </c>
      <c r="AZ251" t="s">
        <v>196</v>
      </c>
      <c r="BA251">
        <v>0</v>
      </c>
      <c r="BB251">
        <v>4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>
        <v>0</v>
      </c>
      <c r="BI251">
        <v>0</v>
      </c>
      <c r="BJ251">
        <v>0</v>
      </c>
      <c r="BK251">
        <v>0</v>
      </c>
      <c r="BL251">
        <v>4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 t="s">
        <v>367</v>
      </c>
      <c r="BT251" t="s">
        <v>449</v>
      </c>
      <c r="BU251" t="s">
        <v>450</v>
      </c>
      <c r="BV251" t="s">
        <v>451</v>
      </c>
    </row>
    <row r="252" spans="1:74" s="1" customFormat="1" hidden="1" x14ac:dyDescent="0.2">
      <c r="A252">
        <v>262</v>
      </c>
      <c r="B252">
        <v>32</v>
      </c>
      <c r="C252" t="s">
        <v>109</v>
      </c>
      <c r="D252"/>
      <c r="E252" t="s">
        <v>68</v>
      </c>
      <c r="F252">
        <v>9</v>
      </c>
      <c r="G252">
        <v>1999</v>
      </c>
      <c r="H252">
        <v>23</v>
      </c>
      <c r="I252" t="s">
        <v>69</v>
      </c>
      <c r="J252">
        <v>2</v>
      </c>
      <c r="K252" t="s">
        <v>481</v>
      </c>
      <c r="L252" t="s">
        <v>633</v>
      </c>
      <c r="M252">
        <v>8</v>
      </c>
      <c r="N252">
        <v>54</v>
      </c>
      <c r="O252" t="s">
        <v>393</v>
      </c>
      <c r="P252" t="s">
        <v>314</v>
      </c>
      <c r="Q252" t="s">
        <v>743</v>
      </c>
      <c r="R252" t="s">
        <v>711</v>
      </c>
      <c r="S252" t="s">
        <v>291</v>
      </c>
      <c r="T252" t="s">
        <v>455</v>
      </c>
      <c r="U252" t="s">
        <v>397</v>
      </c>
      <c r="V252" t="s">
        <v>351</v>
      </c>
      <c r="W252" t="s">
        <v>195</v>
      </c>
      <c r="X252" t="s">
        <v>196</v>
      </c>
      <c r="Y252" t="s">
        <v>274</v>
      </c>
      <c r="Z252">
        <v>7</v>
      </c>
      <c r="AA252">
        <v>3</v>
      </c>
      <c r="AB252">
        <v>5</v>
      </c>
      <c r="AC252">
        <v>1</v>
      </c>
      <c r="AD252">
        <v>1</v>
      </c>
      <c r="AE252">
        <v>4</v>
      </c>
      <c r="AF252">
        <v>1</v>
      </c>
      <c r="AG252">
        <v>6</v>
      </c>
      <c r="AH252">
        <v>5</v>
      </c>
      <c r="AI252">
        <v>7</v>
      </c>
      <c r="AJ252">
        <v>1</v>
      </c>
      <c r="AK252">
        <v>4</v>
      </c>
      <c r="AL252">
        <v>2</v>
      </c>
      <c r="AM252">
        <v>1</v>
      </c>
      <c r="AN252">
        <v>158</v>
      </c>
      <c r="AO252">
        <v>2</v>
      </c>
      <c r="AP252">
        <v>1</v>
      </c>
      <c r="AQ252">
        <v>1</v>
      </c>
      <c r="AR252">
        <v>2</v>
      </c>
      <c r="AS252">
        <v>4</v>
      </c>
      <c r="AT252">
        <v>5</v>
      </c>
      <c r="AU252">
        <v>5</v>
      </c>
      <c r="AV252">
        <v>2</v>
      </c>
      <c r="AW252">
        <v>5</v>
      </c>
      <c r="AX252">
        <v>1</v>
      </c>
      <c r="AY252" cm="1">
        <f t="array" ref="AY252">_xlfn.IFS(AZ252="Positive",1, AZ252="Negative",1, AZ252="Neutral",0)</f>
        <v>1</v>
      </c>
      <c r="AZ252" t="s">
        <v>196</v>
      </c>
      <c r="BA252">
        <v>15</v>
      </c>
      <c r="BB252">
        <v>1</v>
      </c>
      <c r="BC252" s="3">
        <v>7</v>
      </c>
      <c r="BD252" s="3">
        <v>1</v>
      </c>
      <c r="BE252" s="3">
        <v>3</v>
      </c>
      <c r="BF252" s="3">
        <v>2</v>
      </c>
      <c r="BG252" s="3">
        <v>2</v>
      </c>
      <c r="BH252">
        <v>0</v>
      </c>
      <c r="BI252">
        <v>0</v>
      </c>
      <c r="BJ252">
        <v>0</v>
      </c>
      <c r="BK252">
        <v>1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 t="s">
        <v>305</v>
      </c>
      <c r="BT252" t="s">
        <v>453</v>
      </c>
      <c r="BU252" t="s">
        <v>308</v>
      </c>
      <c r="BV252" t="s">
        <v>454</v>
      </c>
    </row>
    <row r="253" spans="1:74" s="1" customFormat="1" hidden="1" x14ac:dyDescent="0.2">
      <c r="A253">
        <v>263</v>
      </c>
      <c r="B253">
        <v>33</v>
      </c>
      <c r="C253" t="s">
        <v>110</v>
      </c>
      <c r="D253"/>
      <c r="E253" t="s">
        <v>63</v>
      </c>
      <c r="F253">
        <v>4</v>
      </c>
      <c r="G253">
        <v>1998</v>
      </c>
      <c r="H253">
        <v>24</v>
      </c>
      <c r="I253" t="s">
        <v>69</v>
      </c>
      <c r="J253">
        <v>2</v>
      </c>
      <c r="K253" t="s">
        <v>642</v>
      </c>
      <c r="L253" t="s">
        <v>652</v>
      </c>
      <c r="M253">
        <v>20</v>
      </c>
      <c r="N253">
        <v>46</v>
      </c>
      <c r="O253" t="s">
        <v>339</v>
      </c>
      <c r="P253" t="s">
        <v>456</v>
      </c>
      <c r="Q253" t="s">
        <v>712</v>
      </c>
      <c r="R253" t="s">
        <v>722</v>
      </c>
      <c r="S253" t="s">
        <v>301</v>
      </c>
      <c r="T253" t="s">
        <v>457</v>
      </c>
      <c r="U253" t="s">
        <v>452</v>
      </c>
      <c r="V253" t="s">
        <v>458</v>
      </c>
      <c r="W253" t="s">
        <v>195</v>
      </c>
      <c r="X253" t="s">
        <v>196</v>
      </c>
      <c r="Y253" t="s">
        <v>274</v>
      </c>
      <c r="Z253">
        <v>7</v>
      </c>
      <c r="AA253">
        <v>2</v>
      </c>
      <c r="AB253">
        <v>7</v>
      </c>
      <c r="AC253">
        <v>6</v>
      </c>
      <c r="AD253">
        <v>3</v>
      </c>
      <c r="AE253">
        <v>3</v>
      </c>
      <c r="AF253">
        <v>3</v>
      </c>
      <c r="AG253">
        <v>1</v>
      </c>
      <c r="AH253">
        <v>1</v>
      </c>
      <c r="AI253">
        <v>5</v>
      </c>
      <c r="AJ253">
        <v>2</v>
      </c>
      <c r="AK253">
        <v>2</v>
      </c>
      <c r="AL253">
        <v>1</v>
      </c>
      <c r="AM253">
        <v>1</v>
      </c>
      <c r="AN253">
        <v>4</v>
      </c>
      <c r="AO253">
        <v>1</v>
      </c>
      <c r="AP253">
        <v>2</v>
      </c>
      <c r="AQ253">
        <v>2</v>
      </c>
      <c r="AR253">
        <v>6</v>
      </c>
      <c r="AS253">
        <v>6</v>
      </c>
      <c r="AT253">
        <v>6</v>
      </c>
      <c r="AU253">
        <v>6</v>
      </c>
      <c r="AV253">
        <v>6</v>
      </c>
      <c r="AW253">
        <v>7</v>
      </c>
      <c r="AX253">
        <v>1</v>
      </c>
      <c r="AY253" cm="1">
        <f t="array" ref="AY253">_xlfn.IFS(AZ253="Positive",1, AZ253="Negative",1, AZ253="Neutral",0)</f>
        <v>1</v>
      </c>
      <c r="AZ253" t="s">
        <v>196</v>
      </c>
      <c r="BA253">
        <v>9</v>
      </c>
      <c r="BB253">
        <v>1</v>
      </c>
      <c r="BC253" s="3">
        <v>5</v>
      </c>
      <c r="BD253" s="3">
        <v>1</v>
      </c>
      <c r="BE253" s="3">
        <v>2</v>
      </c>
      <c r="BF253" s="3">
        <v>1</v>
      </c>
      <c r="BG253" s="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0</v>
      </c>
      <c r="BS253" t="s">
        <v>382</v>
      </c>
      <c r="BT253" t="s">
        <v>382</v>
      </c>
      <c r="BU253" t="s">
        <v>385</v>
      </c>
      <c r="BV253" t="s">
        <v>410</v>
      </c>
    </row>
    <row r="254" spans="1:74" s="1" customFormat="1" hidden="1" x14ac:dyDescent="0.2">
      <c r="A254">
        <v>264</v>
      </c>
      <c r="B254">
        <v>34</v>
      </c>
      <c r="C254" t="s">
        <v>111</v>
      </c>
      <c r="D254"/>
      <c r="E254" t="s">
        <v>88</v>
      </c>
      <c r="F254">
        <v>5</v>
      </c>
      <c r="G254">
        <v>1999</v>
      </c>
      <c r="H254">
        <v>23</v>
      </c>
      <c r="I254" t="s">
        <v>69</v>
      </c>
      <c r="J254">
        <v>2</v>
      </c>
      <c r="K254" t="s">
        <v>517</v>
      </c>
      <c r="L254" t="s">
        <v>632</v>
      </c>
      <c r="M254">
        <v>9</v>
      </c>
      <c r="N254">
        <v>60</v>
      </c>
      <c r="O254" t="s">
        <v>456</v>
      </c>
      <c r="P254" t="s">
        <v>394</v>
      </c>
      <c r="Q254" t="s">
        <v>744</v>
      </c>
      <c r="R254" t="s">
        <v>732</v>
      </c>
      <c r="S254" t="s">
        <v>349</v>
      </c>
      <c r="T254" t="s">
        <v>444</v>
      </c>
      <c r="U254" t="s">
        <v>459</v>
      </c>
      <c r="V254" t="s">
        <v>398</v>
      </c>
      <c r="W254" t="s">
        <v>195</v>
      </c>
      <c r="X254" t="s">
        <v>196</v>
      </c>
      <c r="Y254" t="s">
        <v>274</v>
      </c>
      <c r="Z254">
        <v>7</v>
      </c>
      <c r="AA254">
        <v>4</v>
      </c>
      <c r="AB254">
        <v>6</v>
      </c>
      <c r="AC254">
        <v>5</v>
      </c>
      <c r="AD254">
        <v>1</v>
      </c>
      <c r="AE254">
        <v>7</v>
      </c>
      <c r="AF254">
        <v>4</v>
      </c>
      <c r="AG254">
        <v>3</v>
      </c>
      <c r="AH254">
        <v>4</v>
      </c>
      <c r="AI254">
        <v>5</v>
      </c>
      <c r="AJ254">
        <v>3</v>
      </c>
      <c r="AK254">
        <v>3</v>
      </c>
      <c r="AL254">
        <v>5</v>
      </c>
      <c r="AM254">
        <v>2</v>
      </c>
      <c r="AN254">
        <v>82</v>
      </c>
      <c r="AO254">
        <v>3</v>
      </c>
      <c r="AP254">
        <v>4</v>
      </c>
      <c r="AQ254">
        <v>5</v>
      </c>
      <c r="AR254">
        <v>3</v>
      </c>
      <c r="AS254">
        <v>4</v>
      </c>
      <c r="AT254">
        <v>3</v>
      </c>
      <c r="AU254">
        <v>5</v>
      </c>
      <c r="AV254">
        <v>5</v>
      </c>
      <c r="AW254">
        <v>5</v>
      </c>
      <c r="AX254">
        <v>2</v>
      </c>
      <c r="AY254" cm="1">
        <f t="array" ref="AY254">_xlfn.IFS(AZ254="Positive",1, AZ254="Negative",1, AZ254="Neutral",0)</f>
        <v>1</v>
      </c>
      <c r="AZ254" t="s">
        <v>196</v>
      </c>
      <c r="BA254">
        <v>4</v>
      </c>
      <c r="BB254">
        <v>5</v>
      </c>
      <c r="BC254" s="3">
        <v>1</v>
      </c>
      <c r="BD254" s="3">
        <v>1</v>
      </c>
      <c r="BE254" s="3">
        <v>0</v>
      </c>
      <c r="BF254" s="3">
        <v>0</v>
      </c>
      <c r="BG254" s="3">
        <v>2</v>
      </c>
      <c r="BH254">
        <v>0</v>
      </c>
      <c r="BI254">
        <v>0</v>
      </c>
      <c r="BJ254">
        <v>2</v>
      </c>
      <c r="BK254">
        <v>2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 t="s">
        <v>313</v>
      </c>
      <c r="BT254" t="s">
        <v>383</v>
      </c>
      <c r="BU254" t="s">
        <v>316</v>
      </c>
      <c r="BV254" t="s">
        <v>386</v>
      </c>
    </row>
    <row r="255" spans="1:74" s="1" customFormat="1" x14ac:dyDescent="0.2">
      <c r="A255">
        <v>265</v>
      </c>
      <c r="B255">
        <v>35</v>
      </c>
      <c r="C255" t="s">
        <v>112</v>
      </c>
      <c r="D255"/>
      <c r="E255" t="s">
        <v>68</v>
      </c>
      <c r="F255">
        <v>5</v>
      </c>
      <c r="G255">
        <v>1998</v>
      </c>
      <c r="H255">
        <v>24</v>
      </c>
      <c r="I255" t="s">
        <v>64</v>
      </c>
      <c r="J255">
        <v>1</v>
      </c>
      <c r="K255" t="s">
        <v>416</v>
      </c>
      <c r="L255" t="s">
        <v>669</v>
      </c>
      <c r="M255">
        <v>9</v>
      </c>
      <c r="N255">
        <v>56</v>
      </c>
      <c r="O255" t="s">
        <v>288</v>
      </c>
      <c r="P255" t="s">
        <v>460</v>
      </c>
      <c r="Q255" t="s">
        <v>723</v>
      </c>
      <c r="R255" t="s">
        <v>745</v>
      </c>
      <c r="S255" t="s">
        <v>349</v>
      </c>
      <c r="T255" t="s">
        <v>423</v>
      </c>
      <c r="U255" t="s">
        <v>461</v>
      </c>
      <c r="V255" t="s">
        <v>462</v>
      </c>
      <c r="W255" t="s">
        <v>195</v>
      </c>
      <c r="X255" t="s">
        <v>196</v>
      </c>
      <c r="Y255" t="s">
        <v>274</v>
      </c>
      <c r="Z255">
        <v>7</v>
      </c>
      <c r="AA255">
        <v>5</v>
      </c>
      <c r="AB255">
        <v>6</v>
      </c>
      <c r="AC255">
        <v>6</v>
      </c>
      <c r="AD255">
        <v>6</v>
      </c>
      <c r="AE255">
        <v>6</v>
      </c>
      <c r="AF255">
        <v>3</v>
      </c>
      <c r="AG255">
        <v>2</v>
      </c>
      <c r="AH255">
        <v>5</v>
      </c>
      <c r="AI255">
        <v>6</v>
      </c>
      <c r="AJ255">
        <v>2</v>
      </c>
      <c r="AK255">
        <v>7</v>
      </c>
      <c r="AL255">
        <v>7</v>
      </c>
      <c r="AM255">
        <v>7</v>
      </c>
      <c r="AN255">
        <v>54</v>
      </c>
      <c r="AO255">
        <v>1</v>
      </c>
      <c r="AP255">
        <v>1</v>
      </c>
      <c r="AQ255">
        <v>7</v>
      </c>
      <c r="AR255">
        <v>7</v>
      </c>
      <c r="AS255">
        <v>7</v>
      </c>
      <c r="AT255">
        <v>7</v>
      </c>
      <c r="AU255">
        <v>7</v>
      </c>
      <c r="AV255">
        <v>7</v>
      </c>
      <c r="AW255">
        <v>7</v>
      </c>
      <c r="AX255">
        <v>1</v>
      </c>
      <c r="AY255" cm="1">
        <f t="array" ref="AY255">_xlfn.IFS(AZ255="Positive",1, AZ255="Negative",1, AZ255="Neutral",0)</f>
        <v>1</v>
      </c>
      <c r="AZ255" t="s">
        <v>196</v>
      </c>
      <c r="BA255">
        <v>0</v>
      </c>
      <c r="BB255">
        <v>5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>
        <v>0</v>
      </c>
      <c r="BI255">
        <v>0</v>
      </c>
      <c r="BJ255">
        <v>2</v>
      </c>
      <c r="BK255">
        <v>1</v>
      </c>
      <c r="BL255">
        <v>1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0</v>
      </c>
      <c r="BS255" t="s">
        <v>382</v>
      </c>
      <c r="BT255" t="s">
        <v>433</v>
      </c>
      <c r="BU255" t="s">
        <v>385</v>
      </c>
      <c r="BV255" t="s">
        <v>435</v>
      </c>
    </row>
    <row r="256" spans="1:74" s="1" customFormat="1" hidden="1" x14ac:dyDescent="0.2">
      <c r="A256">
        <v>266</v>
      </c>
      <c r="B256">
        <v>36</v>
      </c>
      <c r="C256" t="s">
        <v>113</v>
      </c>
      <c r="D256"/>
      <c r="E256" t="s">
        <v>78</v>
      </c>
      <c r="F256">
        <v>8</v>
      </c>
      <c r="G256">
        <v>1998</v>
      </c>
      <c r="H256">
        <v>24</v>
      </c>
      <c r="I256" t="s">
        <v>64</v>
      </c>
      <c r="J256">
        <v>1</v>
      </c>
      <c r="K256" t="s">
        <v>517</v>
      </c>
      <c r="L256" t="s">
        <v>670</v>
      </c>
      <c r="M256">
        <v>10</v>
      </c>
      <c r="N256">
        <v>58</v>
      </c>
      <c r="O256" t="s">
        <v>384</v>
      </c>
      <c r="P256" t="s">
        <v>376</v>
      </c>
      <c r="Q256" t="s">
        <v>744</v>
      </c>
      <c r="R256" t="s">
        <v>746</v>
      </c>
      <c r="S256" t="s">
        <v>378</v>
      </c>
      <c r="T256" t="s">
        <v>364</v>
      </c>
      <c r="U256" t="s">
        <v>387</v>
      </c>
      <c r="V256" t="s">
        <v>381</v>
      </c>
      <c r="W256" t="s">
        <v>195</v>
      </c>
      <c r="X256" t="s">
        <v>196</v>
      </c>
      <c r="Y256" t="s">
        <v>274</v>
      </c>
      <c r="Z256">
        <v>7</v>
      </c>
      <c r="AA256">
        <v>2</v>
      </c>
      <c r="AB256">
        <v>6</v>
      </c>
      <c r="AC256">
        <v>6</v>
      </c>
      <c r="AD256">
        <v>1</v>
      </c>
      <c r="AE256">
        <v>1</v>
      </c>
      <c r="AF256">
        <v>3</v>
      </c>
      <c r="AG256">
        <v>2</v>
      </c>
      <c r="AH256">
        <v>5</v>
      </c>
      <c r="AI256">
        <v>7</v>
      </c>
      <c r="AJ256">
        <v>1</v>
      </c>
      <c r="AK256">
        <v>4</v>
      </c>
      <c r="AL256">
        <v>2</v>
      </c>
      <c r="AM256">
        <v>6</v>
      </c>
      <c r="AN256">
        <v>58</v>
      </c>
      <c r="AO256">
        <v>4</v>
      </c>
      <c r="AP256">
        <v>1</v>
      </c>
      <c r="AQ256">
        <v>4</v>
      </c>
      <c r="AR256">
        <v>6</v>
      </c>
      <c r="AS256">
        <v>6</v>
      </c>
      <c r="AT256">
        <v>6</v>
      </c>
      <c r="AU256">
        <v>6</v>
      </c>
      <c r="AV256">
        <v>6</v>
      </c>
      <c r="AW256">
        <v>4</v>
      </c>
      <c r="AX256">
        <v>1</v>
      </c>
      <c r="AY256" cm="1">
        <f t="array" ref="AY256">_xlfn.IFS(AZ256="Positive",1, AZ256="Negative",1, AZ256="Neutral",0)</f>
        <v>1</v>
      </c>
      <c r="AZ256" t="s">
        <v>196</v>
      </c>
      <c r="BA256">
        <v>17</v>
      </c>
      <c r="BB256">
        <v>0</v>
      </c>
      <c r="BC256" s="3">
        <v>8</v>
      </c>
      <c r="BD256" s="3">
        <v>1</v>
      </c>
      <c r="BE256" s="3">
        <v>2</v>
      </c>
      <c r="BF256" s="3">
        <v>4</v>
      </c>
      <c r="BG256" s="3">
        <v>2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 t="s">
        <v>463</v>
      </c>
      <c r="BT256" t="s">
        <v>464</v>
      </c>
      <c r="BU256" t="s">
        <v>465</v>
      </c>
      <c r="BV256" t="s">
        <v>466</v>
      </c>
    </row>
    <row r="257" spans="1:74" s="1" customFormat="1" hidden="1" x14ac:dyDescent="0.2">
      <c r="A257">
        <v>267</v>
      </c>
      <c r="B257">
        <v>37</v>
      </c>
      <c r="C257" t="s">
        <v>114</v>
      </c>
      <c r="D257"/>
      <c r="E257" t="s">
        <v>88</v>
      </c>
      <c r="F257">
        <v>25</v>
      </c>
      <c r="G257">
        <v>2000</v>
      </c>
      <c r="H257">
        <v>22</v>
      </c>
      <c r="I257" t="s">
        <v>64</v>
      </c>
      <c r="J257">
        <v>1</v>
      </c>
      <c r="K257" t="s">
        <v>416</v>
      </c>
      <c r="L257" t="s">
        <v>634</v>
      </c>
      <c r="M257">
        <v>15</v>
      </c>
      <c r="N257">
        <v>61</v>
      </c>
      <c r="O257" t="s">
        <v>468</v>
      </c>
      <c r="P257">
        <v>6</v>
      </c>
      <c r="Q257" t="s">
        <v>723</v>
      </c>
      <c r="R257" t="s">
        <v>747</v>
      </c>
      <c r="S257" t="s">
        <v>363</v>
      </c>
      <c r="T257" t="s">
        <v>292</v>
      </c>
      <c r="U257" t="s">
        <v>470</v>
      </c>
      <c r="V257" t="s">
        <v>471</v>
      </c>
      <c r="W257" t="s">
        <v>195</v>
      </c>
      <c r="X257" t="s">
        <v>196</v>
      </c>
      <c r="Y257" t="s">
        <v>274</v>
      </c>
      <c r="Z257">
        <v>7</v>
      </c>
      <c r="AA257">
        <v>4</v>
      </c>
      <c r="AB257">
        <v>6</v>
      </c>
      <c r="AC257">
        <v>5</v>
      </c>
      <c r="AD257">
        <v>1</v>
      </c>
      <c r="AE257">
        <v>6</v>
      </c>
      <c r="AF257">
        <v>1</v>
      </c>
      <c r="AG257">
        <v>4</v>
      </c>
      <c r="AH257">
        <v>5</v>
      </c>
      <c r="AI257">
        <v>7</v>
      </c>
      <c r="AJ257">
        <v>1</v>
      </c>
      <c r="AK257">
        <v>6</v>
      </c>
      <c r="AL257">
        <v>5</v>
      </c>
      <c r="AM257">
        <v>5</v>
      </c>
      <c r="AN257">
        <v>36</v>
      </c>
      <c r="AO257">
        <v>1</v>
      </c>
      <c r="AP257">
        <v>2</v>
      </c>
      <c r="AQ257">
        <v>2</v>
      </c>
      <c r="AR257">
        <v>6</v>
      </c>
      <c r="AS257">
        <v>7</v>
      </c>
      <c r="AT257">
        <v>6</v>
      </c>
      <c r="AU257">
        <v>7</v>
      </c>
      <c r="AV257">
        <v>7</v>
      </c>
      <c r="AW257">
        <v>6</v>
      </c>
      <c r="AX257">
        <v>1</v>
      </c>
      <c r="AY257" cm="1">
        <f t="array" ref="AY257">_xlfn.IFS(AZ257="Positive",1, AZ257="Negative",1, AZ257="Neutral",0)</f>
        <v>1</v>
      </c>
      <c r="AZ257" t="s">
        <v>196</v>
      </c>
      <c r="BA257">
        <v>18</v>
      </c>
      <c r="BB257">
        <v>0</v>
      </c>
      <c r="BC257" s="3">
        <v>12</v>
      </c>
      <c r="BD257" s="3">
        <v>1</v>
      </c>
      <c r="BE257" s="3">
        <v>2</v>
      </c>
      <c r="BF257" s="3">
        <v>1</v>
      </c>
      <c r="BG257" s="3">
        <v>2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 t="s">
        <v>467</v>
      </c>
      <c r="BT257" t="s">
        <v>399</v>
      </c>
      <c r="BU257" t="s">
        <v>469</v>
      </c>
      <c r="BV257" t="s">
        <v>447</v>
      </c>
    </row>
    <row r="258" spans="1:74" s="1" customFormat="1" x14ac:dyDescent="0.2">
      <c r="A258">
        <v>268</v>
      </c>
      <c r="B258">
        <v>38</v>
      </c>
      <c r="C258" t="s">
        <v>115</v>
      </c>
      <c r="D258"/>
      <c r="E258" t="s">
        <v>85</v>
      </c>
      <c r="F258">
        <v>27</v>
      </c>
      <c r="G258">
        <v>1999</v>
      </c>
      <c r="H258">
        <v>23</v>
      </c>
      <c r="I258" t="s">
        <v>64</v>
      </c>
      <c r="J258">
        <v>1</v>
      </c>
      <c r="K258" t="s">
        <v>671</v>
      </c>
      <c r="L258" t="s">
        <v>670</v>
      </c>
      <c r="M258">
        <v>3</v>
      </c>
      <c r="N258">
        <v>48</v>
      </c>
      <c r="O258" t="s">
        <v>315</v>
      </c>
      <c r="P258" t="s">
        <v>405</v>
      </c>
      <c r="Q258" t="s">
        <v>748</v>
      </c>
      <c r="R258" t="s">
        <v>746</v>
      </c>
      <c r="S258" t="s">
        <v>372</v>
      </c>
      <c r="T258" t="s">
        <v>418</v>
      </c>
      <c r="U258" t="s">
        <v>474</v>
      </c>
      <c r="V258" t="s">
        <v>407</v>
      </c>
      <c r="W258" t="s">
        <v>195</v>
      </c>
      <c r="X258" t="s">
        <v>196</v>
      </c>
      <c r="Y258" t="s">
        <v>274</v>
      </c>
      <c r="Z258">
        <v>7</v>
      </c>
      <c r="AA258">
        <v>5</v>
      </c>
      <c r="AB258">
        <v>3</v>
      </c>
      <c r="AC258">
        <v>6</v>
      </c>
      <c r="AD258">
        <v>5</v>
      </c>
      <c r="AE258">
        <v>5</v>
      </c>
      <c r="AF258">
        <v>2</v>
      </c>
      <c r="AG258">
        <v>2</v>
      </c>
      <c r="AH258">
        <v>5</v>
      </c>
      <c r="AI258">
        <v>7</v>
      </c>
      <c r="AJ258">
        <v>1</v>
      </c>
      <c r="AK258">
        <v>6</v>
      </c>
      <c r="AL258">
        <v>6</v>
      </c>
      <c r="AM258">
        <v>6</v>
      </c>
      <c r="AN258">
        <v>240</v>
      </c>
      <c r="AO258">
        <v>5</v>
      </c>
      <c r="AP258">
        <v>1</v>
      </c>
      <c r="AQ258">
        <v>6</v>
      </c>
      <c r="AR258">
        <v>4</v>
      </c>
      <c r="AS258">
        <v>4</v>
      </c>
      <c r="AT258">
        <v>4</v>
      </c>
      <c r="AU258">
        <v>6</v>
      </c>
      <c r="AV258">
        <v>5</v>
      </c>
      <c r="AW258">
        <v>4</v>
      </c>
      <c r="AX258">
        <v>1</v>
      </c>
      <c r="AY258" cm="1">
        <f t="array" ref="AY258">_xlfn.IFS(AZ258="Positive",1, AZ258="Negative",1, AZ258="Neutral",0)</f>
        <v>1</v>
      </c>
      <c r="AZ258" t="s">
        <v>196</v>
      </c>
      <c r="BA258">
        <v>0</v>
      </c>
      <c r="BB258">
        <v>5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>
        <v>0</v>
      </c>
      <c r="BI258">
        <v>0</v>
      </c>
      <c r="BJ258">
        <v>2</v>
      </c>
      <c r="BK258">
        <v>0</v>
      </c>
      <c r="BL258">
        <v>3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 t="s">
        <v>453</v>
      </c>
      <c r="BT258" t="s">
        <v>295</v>
      </c>
      <c r="BU258" t="s">
        <v>472</v>
      </c>
      <c r="BV258" t="s">
        <v>473</v>
      </c>
    </row>
    <row r="259" spans="1:74" s="1" customFormat="1" hidden="1" x14ac:dyDescent="0.2">
      <c r="A259">
        <v>269</v>
      </c>
      <c r="B259">
        <v>39</v>
      </c>
      <c r="C259" t="s">
        <v>116</v>
      </c>
      <c r="D259"/>
      <c r="E259" t="s">
        <v>71</v>
      </c>
      <c r="F259">
        <v>28</v>
      </c>
      <c r="G259">
        <v>2001</v>
      </c>
      <c r="H259">
        <v>21</v>
      </c>
      <c r="I259" t="s">
        <v>69</v>
      </c>
      <c r="J259">
        <v>2</v>
      </c>
      <c r="K259" t="s">
        <v>517</v>
      </c>
      <c r="L259" t="s">
        <v>672</v>
      </c>
      <c r="M259">
        <v>4</v>
      </c>
      <c r="N259">
        <v>63</v>
      </c>
      <c r="O259" t="s">
        <v>394</v>
      </c>
      <c r="P259" t="s">
        <v>354</v>
      </c>
      <c r="Q259" t="s">
        <v>744</v>
      </c>
      <c r="R259" t="s">
        <v>749</v>
      </c>
      <c r="S259" t="s">
        <v>396</v>
      </c>
      <c r="T259" t="s">
        <v>477</v>
      </c>
      <c r="U259" t="s">
        <v>478</v>
      </c>
      <c r="V259" t="s">
        <v>359</v>
      </c>
      <c r="W259" t="s">
        <v>195</v>
      </c>
      <c r="X259" t="s">
        <v>196</v>
      </c>
      <c r="Y259" t="s">
        <v>274</v>
      </c>
      <c r="Z259">
        <v>7</v>
      </c>
      <c r="AA259">
        <v>5</v>
      </c>
      <c r="AB259">
        <v>6</v>
      </c>
      <c r="AC259">
        <v>5</v>
      </c>
      <c r="AD259">
        <v>5</v>
      </c>
      <c r="AE259">
        <v>5</v>
      </c>
      <c r="AF259">
        <v>1</v>
      </c>
      <c r="AG259">
        <v>2</v>
      </c>
      <c r="AH259">
        <v>2</v>
      </c>
      <c r="AI259">
        <v>7</v>
      </c>
      <c r="AJ259">
        <v>1</v>
      </c>
      <c r="AK259">
        <v>4</v>
      </c>
      <c r="AL259">
        <v>4</v>
      </c>
      <c r="AM259">
        <v>6</v>
      </c>
      <c r="AN259">
        <v>24</v>
      </c>
      <c r="AO259">
        <v>1</v>
      </c>
      <c r="AP259">
        <v>2</v>
      </c>
      <c r="AQ259">
        <v>2</v>
      </c>
      <c r="AR259">
        <v>6</v>
      </c>
      <c r="AS259">
        <v>5</v>
      </c>
      <c r="AT259">
        <v>5</v>
      </c>
      <c r="AU259">
        <v>5</v>
      </c>
      <c r="AV259">
        <v>6</v>
      </c>
      <c r="AW259">
        <v>6</v>
      </c>
      <c r="AX259">
        <v>1</v>
      </c>
      <c r="AY259" cm="1">
        <f t="array" ref="AY259">_xlfn.IFS(AZ259="Positive",1, AZ259="Negative",1, AZ259="Neutral",0)</f>
        <v>1</v>
      </c>
      <c r="AZ259" t="s">
        <v>196</v>
      </c>
      <c r="BA259">
        <v>13</v>
      </c>
      <c r="BB259">
        <v>1</v>
      </c>
      <c r="BC259" s="3">
        <v>5</v>
      </c>
      <c r="BD259" s="3">
        <v>1</v>
      </c>
      <c r="BE259" s="3">
        <v>2</v>
      </c>
      <c r="BF259" s="3">
        <v>0</v>
      </c>
      <c r="BG259" s="3">
        <v>5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 t="s">
        <v>399</v>
      </c>
      <c r="BT259" t="s">
        <v>475</v>
      </c>
      <c r="BU259" t="s">
        <v>400</v>
      </c>
      <c r="BV259" t="s">
        <v>476</v>
      </c>
    </row>
    <row r="260" spans="1:74" s="1" customFormat="1" x14ac:dyDescent="0.2">
      <c r="A260">
        <v>270</v>
      </c>
      <c r="B260">
        <v>40</v>
      </c>
      <c r="C260" t="s">
        <v>117</v>
      </c>
      <c r="D260"/>
      <c r="E260" t="s">
        <v>88</v>
      </c>
      <c r="F260">
        <v>15</v>
      </c>
      <c r="G260">
        <v>2001</v>
      </c>
      <c r="H260">
        <v>21</v>
      </c>
      <c r="I260" t="s">
        <v>69</v>
      </c>
      <c r="J260">
        <v>2</v>
      </c>
      <c r="K260" t="s">
        <v>673</v>
      </c>
      <c r="L260" t="s">
        <v>648</v>
      </c>
      <c r="M260">
        <v>5</v>
      </c>
      <c r="N260">
        <v>48</v>
      </c>
      <c r="O260" t="s">
        <v>393</v>
      </c>
      <c r="P260" t="s">
        <v>369</v>
      </c>
      <c r="Q260" t="s">
        <v>750</v>
      </c>
      <c r="R260" t="s">
        <v>718</v>
      </c>
      <c r="S260" t="s">
        <v>318</v>
      </c>
      <c r="T260" t="s">
        <v>418</v>
      </c>
      <c r="U260" t="s">
        <v>397</v>
      </c>
      <c r="V260" t="s">
        <v>374</v>
      </c>
      <c r="W260" t="s">
        <v>195</v>
      </c>
      <c r="X260" t="s">
        <v>196</v>
      </c>
      <c r="Y260" t="s">
        <v>274</v>
      </c>
      <c r="Z260">
        <v>7</v>
      </c>
      <c r="AA260">
        <v>6</v>
      </c>
      <c r="AB260">
        <v>4</v>
      </c>
      <c r="AC260">
        <v>5</v>
      </c>
      <c r="AD260">
        <v>5</v>
      </c>
      <c r="AE260">
        <v>5</v>
      </c>
      <c r="AF260">
        <v>2</v>
      </c>
      <c r="AG260">
        <v>1</v>
      </c>
      <c r="AH260">
        <v>5</v>
      </c>
      <c r="AI260">
        <v>7</v>
      </c>
      <c r="AJ260">
        <v>1</v>
      </c>
      <c r="AK260">
        <v>5</v>
      </c>
      <c r="AL260">
        <v>5</v>
      </c>
      <c r="AM260">
        <v>4</v>
      </c>
      <c r="AN260">
        <v>240</v>
      </c>
      <c r="AO260">
        <v>1</v>
      </c>
      <c r="AP260">
        <v>1</v>
      </c>
      <c r="AQ260">
        <v>4</v>
      </c>
      <c r="AR260">
        <v>2</v>
      </c>
      <c r="AS260">
        <v>4</v>
      </c>
      <c r="AT260">
        <v>2</v>
      </c>
      <c r="AU260">
        <v>6</v>
      </c>
      <c r="AV260">
        <v>6</v>
      </c>
      <c r="AW260">
        <v>5</v>
      </c>
      <c r="AX260">
        <v>1</v>
      </c>
      <c r="AY260" cm="1">
        <f t="array" ref="AY260">_xlfn.IFS(AZ260="Positive",1, AZ260="Negative",1, AZ260="Neutral",0)</f>
        <v>1</v>
      </c>
      <c r="AZ260" t="s">
        <v>196</v>
      </c>
      <c r="BA260">
        <v>0</v>
      </c>
      <c r="BB260">
        <v>8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>
        <v>0</v>
      </c>
      <c r="BI260">
        <v>0</v>
      </c>
      <c r="BJ260">
        <v>0</v>
      </c>
      <c r="BK260">
        <v>1</v>
      </c>
      <c r="BL260">
        <v>7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 t="s">
        <v>323</v>
      </c>
      <c r="BT260">
        <v>2</v>
      </c>
      <c r="BU260" t="s">
        <v>479</v>
      </c>
      <c r="BV260" t="s">
        <v>340</v>
      </c>
    </row>
    <row r="261" spans="1:74" s="1" customFormat="1" x14ac:dyDescent="0.2">
      <c r="A261">
        <v>271</v>
      </c>
      <c r="B261">
        <v>41</v>
      </c>
      <c r="C261" t="s">
        <v>118</v>
      </c>
      <c r="D261"/>
      <c r="E261" t="s">
        <v>88</v>
      </c>
      <c r="F261">
        <v>27</v>
      </c>
      <c r="G261">
        <v>1998</v>
      </c>
      <c r="H261">
        <v>24</v>
      </c>
      <c r="I261" t="s">
        <v>69</v>
      </c>
      <c r="J261">
        <v>2</v>
      </c>
      <c r="K261" t="s">
        <v>656</v>
      </c>
      <c r="L261" t="s">
        <v>653</v>
      </c>
      <c r="M261">
        <v>8</v>
      </c>
      <c r="N261">
        <v>59</v>
      </c>
      <c r="O261" t="s">
        <v>339</v>
      </c>
      <c r="P261" t="s">
        <v>481</v>
      </c>
      <c r="Q261" t="s">
        <v>751</v>
      </c>
      <c r="R261" t="s">
        <v>724</v>
      </c>
      <c r="S261" t="s">
        <v>291</v>
      </c>
      <c r="T261" t="s">
        <v>341</v>
      </c>
      <c r="U261" t="s">
        <v>452</v>
      </c>
      <c r="V261" t="s">
        <v>483</v>
      </c>
      <c r="W261" t="s">
        <v>195</v>
      </c>
      <c r="X261" t="s">
        <v>196</v>
      </c>
      <c r="Y261" t="s">
        <v>274</v>
      </c>
      <c r="Z261">
        <v>7</v>
      </c>
      <c r="AA261">
        <v>3</v>
      </c>
      <c r="AB261">
        <v>5</v>
      </c>
      <c r="AC261">
        <v>1</v>
      </c>
      <c r="AD261">
        <v>2</v>
      </c>
      <c r="AE261">
        <v>1</v>
      </c>
      <c r="AF261">
        <v>2</v>
      </c>
      <c r="AG261">
        <v>2</v>
      </c>
      <c r="AH261">
        <v>2</v>
      </c>
      <c r="AI261">
        <v>5</v>
      </c>
      <c r="AJ261">
        <v>2</v>
      </c>
      <c r="AK261">
        <v>2</v>
      </c>
      <c r="AL261">
        <v>4</v>
      </c>
      <c r="AM261">
        <v>3</v>
      </c>
      <c r="AN261">
        <v>96</v>
      </c>
      <c r="AO261">
        <v>2</v>
      </c>
      <c r="AP261">
        <v>3</v>
      </c>
      <c r="AQ261">
        <v>2</v>
      </c>
      <c r="AR261">
        <v>3</v>
      </c>
      <c r="AS261">
        <v>4</v>
      </c>
      <c r="AT261">
        <v>3</v>
      </c>
      <c r="AU261">
        <v>4</v>
      </c>
      <c r="AV261">
        <v>4</v>
      </c>
      <c r="AW261">
        <v>4</v>
      </c>
      <c r="AX261">
        <v>2</v>
      </c>
      <c r="AY261" cm="1">
        <f t="array" ref="AY261">_xlfn.IFS(AZ261="Positive",1, AZ261="Negative",1, AZ261="Neutral",0)</f>
        <v>1</v>
      </c>
      <c r="AZ261" t="s">
        <v>196</v>
      </c>
      <c r="BA261">
        <v>0</v>
      </c>
      <c r="BB261">
        <v>6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>
        <v>0</v>
      </c>
      <c r="BI261">
        <v>0</v>
      </c>
      <c r="BJ261">
        <v>6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 t="s">
        <v>295</v>
      </c>
      <c r="BT261" t="s">
        <v>480</v>
      </c>
      <c r="BU261" t="s">
        <v>299</v>
      </c>
      <c r="BV261" t="s">
        <v>482</v>
      </c>
    </row>
    <row r="262" spans="1:74" s="1" customFormat="1" hidden="1" x14ac:dyDescent="0.2">
      <c r="A262">
        <v>272</v>
      </c>
      <c r="B262">
        <v>42</v>
      </c>
      <c r="C262" t="s">
        <v>119</v>
      </c>
      <c r="D262"/>
      <c r="E262" t="s">
        <v>88</v>
      </c>
      <c r="F262">
        <v>17</v>
      </c>
      <c r="G262">
        <v>2001</v>
      </c>
      <c r="H262">
        <v>21</v>
      </c>
      <c r="I262" t="s">
        <v>64</v>
      </c>
      <c r="J262">
        <v>1</v>
      </c>
      <c r="K262" t="s">
        <v>674</v>
      </c>
      <c r="L262" t="s">
        <v>636</v>
      </c>
      <c r="M262">
        <v>10</v>
      </c>
      <c r="N262">
        <v>68</v>
      </c>
      <c r="O262" t="s">
        <v>485</v>
      </c>
      <c r="P262" t="s">
        <v>389</v>
      </c>
      <c r="Q262" t="s">
        <v>752</v>
      </c>
      <c r="R262" t="s">
        <v>705</v>
      </c>
      <c r="S262" t="s">
        <v>378</v>
      </c>
      <c r="T262" t="s">
        <v>487</v>
      </c>
      <c r="U262" t="s">
        <v>488</v>
      </c>
      <c r="V262" t="s">
        <v>392</v>
      </c>
      <c r="W262" t="s">
        <v>195</v>
      </c>
      <c r="X262" t="s">
        <v>196</v>
      </c>
      <c r="Y262" t="s">
        <v>274</v>
      </c>
      <c r="Z262">
        <v>7</v>
      </c>
      <c r="AA262">
        <v>6</v>
      </c>
      <c r="AB262">
        <v>7</v>
      </c>
      <c r="AC262">
        <v>4</v>
      </c>
      <c r="AD262">
        <v>6</v>
      </c>
      <c r="AE262">
        <v>7</v>
      </c>
      <c r="AF262">
        <v>2</v>
      </c>
      <c r="AG262">
        <v>3</v>
      </c>
      <c r="AH262">
        <v>6</v>
      </c>
      <c r="AI262">
        <v>6</v>
      </c>
      <c r="AJ262">
        <v>1</v>
      </c>
      <c r="AK262">
        <v>5</v>
      </c>
      <c r="AL262">
        <v>5</v>
      </c>
      <c r="AM262">
        <v>4</v>
      </c>
      <c r="AN262">
        <v>65</v>
      </c>
      <c r="AO262">
        <v>2</v>
      </c>
      <c r="AP262">
        <v>2</v>
      </c>
      <c r="AQ262">
        <v>5</v>
      </c>
      <c r="AR262">
        <v>3</v>
      </c>
      <c r="AS262">
        <v>5</v>
      </c>
      <c r="AT262">
        <v>3</v>
      </c>
      <c r="AU262">
        <v>5</v>
      </c>
      <c r="AV262">
        <v>4</v>
      </c>
      <c r="AW262">
        <v>6</v>
      </c>
      <c r="AX262">
        <v>1</v>
      </c>
      <c r="AY262" cm="1">
        <f t="array" ref="AY262">_xlfn.IFS(AZ262="Positive",1, AZ262="Negative",1, AZ262="Neutral",0)</f>
        <v>1</v>
      </c>
      <c r="AZ262" t="s">
        <v>196</v>
      </c>
      <c r="BA262">
        <v>13</v>
      </c>
      <c r="BB262">
        <v>6</v>
      </c>
      <c r="BC262" s="3">
        <v>9</v>
      </c>
      <c r="BD262" s="3">
        <v>1</v>
      </c>
      <c r="BE262" s="3">
        <v>0</v>
      </c>
      <c r="BF262" s="3">
        <v>3</v>
      </c>
      <c r="BG262" s="3">
        <v>0</v>
      </c>
      <c r="BH262">
        <v>0</v>
      </c>
      <c r="BI262">
        <v>0</v>
      </c>
      <c r="BJ262">
        <v>0</v>
      </c>
      <c r="BK262">
        <v>0</v>
      </c>
      <c r="BL262">
        <v>2</v>
      </c>
      <c r="BM262">
        <v>2</v>
      </c>
      <c r="BN262">
        <v>1</v>
      </c>
      <c r="BO262">
        <v>0</v>
      </c>
      <c r="BP262">
        <v>0</v>
      </c>
      <c r="BQ262">
        <v>1</v>
      </c>
      <c r="BR262">
        <v>0</v>
      </c>
      <c r="BS262" t="s">
        <v>388</v>
      </c>
      <c r="BT262" t="s">
        <v>484</v>
      </c>
      <c r="BU262" t="s">
        <v>434</v>
      </c>
      <c r="BV262" t="s">
        <v>486</v>
      </c>
    </row>
    <row r="263" spans="1:74" s="1" customFormat="1" hidden="1" x14ac:dyDescent="0.2">
      <c r="A263">
        <v>273</v>
      </c>
      <c r="B263">
        <v>43</v>
      </c>
      <c r="C263" t="s">
        <v>120</v>
      </c>
      <c r="D263"/>
      <c r="E263" t="s">
        <v>85</v>
      </c>
      <c r="F263">
        <v>3</v>
      </c>
      <c r="G263">
        <v>1998</v>
      </c>
      <c r="H263">
        <v>24</v>
      </c>
      <c r="I263" t="s">
        <v>69</v>
      </c>
      <c r="J263">
        <v>2</v>
      </c>
      <c r="K263" t="s">
        <v>642</v>
      </c>
      <c r="L263" t="s">
        <v>634</v>
      </c>
      <c r="M263">
        <v>1</v>
      </c>
      <c r="N263">
        <v>49</v>
      </c>
      <c r="O263" t="s">
        <v>456</v>
      </c>
      <c r="P263" t="s">
        <v>394</v>
      </c>
      <c r="Q263" t="s">
        <v>712</v>
      </c>
      <c r="R263" t="s">
        <v>747</v>
      </c>
      <c r="S263" t="s">
        <v>335</v>
      </c>
      <c r="T263" t="s">
        <v>491</v>
      </c>
      <c r="U263" t="s">
        <v>459</v>
      </c>
      <c r="V263" t="s">
        <v>398</v>
      </c>
      <c r="W263" t="s">
        <v>195</v>
      </c>
      <c r="X263" t="s">
        <v>196</v>
      </c>
      <c r="Y263" t="s">
        <v>274</v>
      </c>
      <c r="Z263">
        <v>7</v>
      </c>
      <c r="AA263">
        <v>7</v>
      </c>
      <c r="AB263">
        <v>2</v>
      </c>
      <c r="AC263">
        <v>2</v>
      </c>
      <c r="AD263">
        <v>2</v>
      </c>
      <c r="AE263">
        <v>6</v>
      </c>
      <c r="AF263">
        <v>4</v>
      </c>
      <c r="AG263">
        <v>6</v>
      </c>
      <c r="AH263">
        <v>5</v>
      </c>
      <c r="AI263">
        <v>7</v>
      </c>
      <c r="AJ263">
        <v>2</v>
      </c>
      <c r="AK263">
        <v>4</v>
      </c>
      <c r="AL263">
        <v>3</v>
      </c>
      <c r="AM263">
        <v>4</v>
      </c>
      <c r="AN263">
        <v>138</v>
      </c>
      <c r="AO263">
        <v>6</v>
      </c>
      <c r="AP263">
        <v>1</v>
      </c>
      <c r="AQ263">
        <v>4</v>
      </c>
      <c r="AR263">
        <v>6</v>
      </c>
      <c r="AS263">
        <v>3</v>
      </c>
      <c r="AT263">
        <v>5</v>
      </c>
      <c r="AU263">
        <v>3</v>
      </c>
      <c r="AV263">
        <v>6</v>
      </c>
      <c r="AW263">
        <v>7</v>
      </c>
      <c r="AX263">
        <v>1</v>
      </c>
      <c r="AY263" cm="1">
        <f t="array" ref="AY263">_xlfn.IFS(AZ263="Positive",1, AZ263="Negative",1, AZ263="Neutral",0)</f>
        <v>1</v>
      </c>
      <c r="AZ263" t="s">
        <v>196</v>
      </c>
      <c r="BA263">
        <v>8</v>
      </c>
      <c r="BB263">
        <v>5</v>
      </c>
      <c r="BC263" s="3">
        <v>6</v>
      </c>
      <c r="BD263" s="3">
        <v>0</v>
      </c>
      <c r="BE263" s="3">
        <v>0</v>
      </c>
      <c r="BF263" s="3">
        <v>0</v>
      </c>
      <c r="BG263" s="3">
        <v>2</v>
      </c>
      <c r="BH263">
        <v>0</v>
      </c>
      <c r="BI263">
        <v>0</v>
      </c>
      <c r="BJ263">
        <v>1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3</v>
      </c>
      <c r="BS263" t="s">
        <v>489</v>
      </c>
      <c r="BT263" t="s">
        <v>399</v>
      </c>
      <c r="BU263" t="s">
        <v>490</v>
      </c>
      <c r="BV263" t="s">
        <v>447</v>
      </c>
    </row>
    <row r="264" spans="1:74" s="1" customFormat="1" hidden="1" x14ac:dyDescent="0.2">
      <c r="A264">
        <v>274</v>
      </c>
      <c r="B264">
        <v>44</v>
      </c>
      <c r="C264" t="s">
        <v>121</v>
      </c>
      <c r="D264"/>
      <c r="E264" t="s">
        <v>80</v>
      </c>
      <c r="F264">
        <v>19</v>
      </c>
      <c r="G264">
        <v>1999</v>
      </c>
      <c r="H264">
        <v>23</v>
      </c>
      <c r="I264" t="s">
        <v>64</v>
      </c>
      <c r="J264">
        <v>1</v>
      </c>
      <c r="K264" t="s">
        <v>658</v>
      </c>
      <c r="L264" t="s">
        <v>634</v>
      </c>
      <c r="M264">
        <v>9</v>
      </c>
      <c r="N264">
        <v>52</v>
      </c>
      <c r="O264" t="s">
        <v>493</v>
      </c>
      <c r="P264" t="s">
        <v>315</v>
      </c>
      <c r="Q264" t="s">
        <v>729</v>
      </c>
      <c r="R264" t="s">
        <v>747</v>
      </c>
      <c r="S264" t="s">
        <v>349</v>
      </c>
      <c r="T264" t="s">
        <v>495</v>
      </c>
      <c r="U264" t="s">
        <v>496</v>
      </c>
      <c r="V264" t="s">
        <v>321</v>
      </c>
      <c r="W264" t="s">
        <v>195</v>
      </c>
      <c r="X264" t="s">
        <v>196</v>
      </c>
      <c r="Y264" t="s">
        <v>274</v>
      </c>
      <c r="Z264">
        <v>7</v>
      </c>
      <c r="AA264">
        <v>6</v>
      </c>
      <c r="AB264">
        <v>7</v>
      </c>
      <c r="AC264">
        <v>6</v>
      </c>
      <c r="AD264">
        <v>1</v>
      </c>
      <c r="AE264">
        <v>6</v>
      </c>
      <c r="AF264">
        <v>2</v>
      </c>
      <c r="AG264">
        <v>2</v>
      </c>
      <c r="AH264">
        <v>5</v>
      </c>
      <c r="AI264">
        <v>6</v>
      </c>
      <c r="AJ264">
        <v>3</v>
      </c>
      <c r="AK264">
        <v>7</v>
      </c>
      <c r="AL264">
        <v>6</v>
      </c>
      <c r="AM264">
        <v>3</v>
      </c>
      <c r="AN264">
        <v>24</v>
      </c>
      <c r="AO264">
        <v>1</v>
      </c>
      <c r="AP264">
        <v>1</v>
      </c>
      <c r="AQ264">
        <v>7</v>
      </c>
      <c r="AR264">
        <v>5</v>
      </c>
      <c r="AS264">
        <v>4</v>
      </c>
      <c r="AT264">
        <v>5</v>
      </c>
      <c r="AU264">
        <v>4</v>
      </c>
      <c r="AV264">
        <v>5</v>
      </c>
      <c r="AW264">
        <v>4</v>
      </c>
      <c r="AX264">
        <v>1</v>
      </c>
      <c r="AY264" cm="1">
        <f t="array" ref="AY264">_xlfn.IFS(AZ264="Positive",1, AZ264="Negative",1, AZ264="Neutral",0)</f>
        <v>1</v>
      </c>
      <c r="AZ264" t="s">
        <v>196</v>
      </c>
      <c r="BA264">
        <v>1</v>
      </c>
      <c r="BB264">
        <v>4</v>
      </c>
      <c r="BC264" s="3">
        <v>0</v>
      </c>
      <c r="BD264" s="3">
        <v>0</v>
      </c>
      <c r="BE264" s="3">
        <v>0</v>
      </c>
      <c r="BF264" s="3">
        <v>0</v>
      </c>
      <c r="BG264" s="3">
        <v>1</v>
      </c>
      <c r="BH264">
        <v>0</v>
      </c>
      <c r="BI264">
        <v>0</v>
      </c>
      <c r="BJ264">
        <v>1</v>
      </c>
      <c r="BK264">
        <v>2</v>
      </c>
      <c r="BL264">
        <v>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 t="s">
        <v>322</v>
      </c>
      <c r="BT264" t="s">
        <v>492</v>
      </c>
      <c r="BU264" t="s">
        <v>326</v>
      </c>
      <c r="BV264" t="s">
        <v>494</v>
      </c>
    </row>
    <row r="265" spans="1:74" s="1" customFormat="1" hidden="1" x14ac:dyDescent="0.2">
      <c r="A265">
        <v>275</v>
      </c>
      <c r="B265">
        <v>45</v>
      </c>
      <c r="C265" t="s">
        <v>122</v>
      </c>
      <c r="D265"/>
      <c r="E265" t="s">
        <v>76</v>
      </c>
      <c r="F265">
        <v>4</v>
      </c>
      <c r="G265">
        <v>2000</v>
      </c>
      <c r="H265">
        <v>22</v>
      </c>
      <c r="I265" t="s">
        <v>64</v>
      </c>
      <c r="J265">
        <v>1</v>
      </c>
      <c r="K265" t="s">
        <v>652</v>
      </c>
      <c r="L265" t="s">
        <v>653</v>
      </c>
      <c r="M265">
        <v>6</v>
      </c>
      <c r="N265">
        <v>62</v>
      </c>
      <c r="O265" t="s">
        <v>497</v>
      </c>
      <c r="P265" t="s">
        <v>278</v>
      </c>
      <c r="Q265" t="s">
        <v>753</v>
      </c>
      <c r="R265" t="s">
        <v>724</v>
      </c>
      <c r="S265" t="s">
        <v>403</v>
      </c>
      <c r="T265" t="s">
        <v>319</v>
      </c>
      <c r="U265" t="s">
        <v>498</v>
      </c>
      <c r="V265" t="s">
        <v>284</v>
      </c>
      <c r="W265" t="s">
        <v>195</v>
      </c>
      <c r="X265" t="s">
        <v>196</v>
      </c>
      <c r="Y265" t="s">
        <v>274</v>
      </c>
      <c r="Z265">
        <v>7</v>
      </c>
      <c r="AA265">
        <v>7</v>
      </c>
      <c r="AB265">
        <v>7</v>
      </c>
      <c r="AC265">
        <v>5</v>
      </c>
      <c r="AD265">
        <v>7</v>
      </c>
      <c r="AE265">
        <v>7</v>
      </c>
      <c r="AF265">
        <v>3</v>
      </c>
      <c r="AG265">
        <v>1</v>
      </c>
      <c r="AH265">
        <v>7</v>
      </c>
      <c r="AI265">
        <v>7</v>
      </c>
      <c r="AJ265">
        <v>1</v>
      </c>
      <c r="AK265">
        <v>7</v>
      </c>
      <c r="AL265">
        <v>7</v>
      </c>
      <c r="AM265">
        <v>1</v>
      </c>
      <c r="AN265">
        <v>171</v>
      </c>
      <c r="AO265">
        <v>5</v>
      </c>
      <c r="AP265">
        <v>1</v>
      </c>
      <c r="AQ265">
        <v>7</v>
      </c>
      <c r="AR265">
        <v>7</v>
      </c>
      <c r="AS265">
        <v>7</v>
      </c>
      <c r="AT265">
        <v>7</v>
      </c>
      <c r="AU265">
        <v>1</v>
      </c>
      <c r="AV265">
        <v>7</v>
      </c>
      <c r="AW265">
        <v>7</v>
      </c>
      <c r="AX265">
        <v>1</v>
      </c>
      <c r="AY265" cm="1">
        <f t="array" ref="AY265">_xlfn.IFS(AZ265="Positive",1, AZ265="Negative",1, AZ265="Neutral",0)</f>
        <v>1</v>
      </c>
      <c r="AZ265" t="s">
        <v>196</v>
      </c>
      <c r="BA265">
        <v>12</v>
      </c>
      <c r="BB265">
        <v>0</v>
      </c>
      <c r="BC265" s="3">
        <v>6</v>
      </c>
      <c r="BD265" s="3">
        <v>0</v>
      </c>
      <c r="BE265" s="3">
        <v>1</v>
      </c>
      <c r="BF265" s="3">
        <v>3</v>
      </c>
      <c r="BG265" s="3">
        <v>2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 t="s">
        <v>285</v>
      </c>
      <c r="BT265" t="s">
        <v>383</v>
      </c>
      <c r="BU265" t="s">
        <v>289</v>
      </c>
      <c r="BV265" t="s">
        <v>386</v>
      </c>
    </row>
    <row r="266" spans="1:74" s="1" customFormat="1" hidden="1" x14ac:dyDescent="0.2">
      <c r="A266">
        <v>276</v>
      </c>
      <c r="B266">
        <v>46</v>
      </c>
      <c r="C266" t="s">
        <v>123</v>
      </c>
      <c r="D266"/>
      <c r="E266" t="s">
        <v>68</v>
      </c>
      <c r="F266">
        <v>22</v>
      </c>
      <c r="G266">
        <v>2000</v>
      </c>
      <c r="H266">
        <v>22</v>
      </c>
      <c r="I266" t="s">
        <v>64</v>
      </c>
      <c r="J266">
        <v>1</v>
      </c>
      <c r="K266" t="s">
        <v>674</v>
      </c>
      <c r="L266" t="s">
        <v>675</v>
      </c>
      <c r="M266">
        <v>12</v>
      </c>
      <c r="N266">
        <v>69</v>
      </c>
      <c r="O266" t="s">
        <v>456</v>
      </c>
      <c r="P266" t="s">
        <v>315</v>
      </c>
      <c r="Q266" t="s">
        <v>752</v>
      </c>
      <c r="R266" t="s">
        <v>754</v>
      </c>
      <c r="S266" t="s">
        <v>499</v>
      </c>
      <c r="T266" t="s">
        <v>357</v>
      </c>
      <c r="U266" t="s">
        <v>459</v>
      </c>
      <c r="V266" t="s">
        <v>321</v>
      </c>
      <c r="W266" t="s">
        <v>195</v>
      </c>
      <c r="X266" t="s">
        <v>196</v>
      </c>
      <c r="Y266" t="s">
        <v>274</v>
      </c>
      <c r="Z266">
        <v>7</v>
      </c>
      <c r="AA266">
        <v>4</v>
      </c>
      <c r="AB266">
        <v>6</v>
      </c>
      <c r="AC266">
        <v>3</v>
      </c>
      <c r="AD266">
        <v>6</v>
      </c>
      <c r="AE266">
        <v>3</v>
      </c>
      <c r="AF266">
        <v>2</v>
      </c>
      <c r="AG266">
        <v>1</v>
      </c>
      <c r="AH266">
        <v>3</v>
      </c>
      <c r="AI266">
        <v>5</v>
      </c>
      <c r="AJ266">
        <v>2</v>
      </c>
      <c r="AK266">
        <v>4</v>
      </c>
      <c r="AL266">
        <v>3</v>
      </c>
      <c r="AM266">
        <v>1</v>
      </c>
      <c r="AN266">
        <v>24</v>
      </c>
      <c r="AO266">
        <v>4</v>
      </c>
      <c r="AP266">
        <v>2</v>
      </c>
      <c r="AQ266">
        <v>3</v>
      </c>
      <c r="AR266">
        <v>4</v>
      </c>
      <c r="AS266">
        <v>5</v>
      </c>
      <c r="AT266">
        <v>5</v>
      </c>
      <c r="AU266">
        <v>5</v>
      </c>
      <c r="AV266">
        <v>5</v>
      </c>
      <c r="AW266">
        <v>5</v>
      </c>
      <c r="AX266">
        <v>1</v>
      </c>
      <c r="AY266" cm="1">
        <f t="array" ref="AY266">_xlfn.IFS(AZ266="Positive",1, AZ266="Negative",1, AZ266="Neutral",0)</f>
        <v>1</v>
      </c>
      <c r="AZ266" t="s">
        <v>196</v>
      </c>
      <c r="BA266">
        <v>13</v>
      </c>
      <c r="BB266">
        <v>1</v>
      </c>
      <c r="BC266" s="3">
        <v>8</v>
      </c>
      <c r="BD266" s="3">
        <v>1</v>
      </c>
      <c r="BE266" s="3">
        <v>1</v>
      </c>
      <c r="BF266" s="3">
        <v>2</v>
      </c>
      <c r="BG266" s="3">
        <v>1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 t="s">
        <v>414</v>
      </c>
      <c r="BT266" t="s">
        <v>313</v>
      </c>
      <c r="BU266" t="s">
        <v>417</v>
      </c>
      <c r="BV266" t="s">
        <v>317</v>
      </c>
    </row>
    <row r="267" spans="1:74" s="1" customFormat="1" hidden="1" x14ac:dyDescent="0.2">
      <c r="A267">
        <v>277</v>
      </c>
      <c r="B267">
        <v>47</v>
      </c>
      <c r="C267" t="s">
        <v>124</v>
      </c>
      <c r="D267"/>
      <c r="E267" t="s">
        <v>73</v>
      </c>
      <c r="F267">
        <v>22</v>
      </c>
      <c r="G267">
        <v>2001</v>
      </c>
      <c r="H267">
        <v>21</v>
      </c>
      <c r="I267" t="s">
        <v>64</v>
      </c>
      <c r="J267">
        <v>1</v>
      </c>
      <c r="K267" t="s">
        <v>676</v>
      </c>
      <c r="L267" t="s">
        <v>632</v>
      </c>
      <c r="M267">
        <v>18</v>
      </c>
      <c r="N267">
        <v>78</v>
      </c>
      <c r="O267" t="s">
        <v>500</v>
      </c>
      <c r="P267" t="s">
        <v>338</v>
      </c>
      <c r="Q267" t="s">
        <v>755</v>
      </c>
      <c r="R267" t="s">
        <v>732</v>
      </c>
      <c r="S267" t="s">
        <v>501</v>
      </c>
      <c r="T267" t="s">
        <v>502</v>
      </c>
      <c r="U267" t="s">
        <v>503</v>
      </c>
      <c r="V267" t="s">
        <v>504</v>
      </c>
      <c r="W267" t="s">
        <v>195</v>
      </c>
      <c r="X267" t="s">
        <v>196</v>
      </c>
      <c r="Y267" t="s">
        <v>274</v>
      </c>
      <c r="Z267">
        <v>7</v>
      </c>
      <c r="AA267">
        <v>3</v>
      </c>
      <c r="AB267">
        <v>7</v>
      </c>
      <c r="AC267">
        <v>5</v>
      </c>
      <c r="AD267">
        <v>5</v>
      </c>
      <c r="AE267">
        <v>5</v>
      </c>
      <c r="AF267">
        <v>3</v>
      </c>
      <c r="AG267">
        <v>3</v>
      </c>
      <c r="AH267">
        <v>6</v>
      </c>
      <c r="AI267">
        <v>6</v>
      </c>
      <c r="AJ267">
        <v>2</v>
      </c>
      <c r="AK267">
        <v>4</v>
      </c>
      <c r="AL267">
        <v>4</v>
      </c>
      <c r="AM267">
        <v>2</v>
      </c>
      <c r="AN267">
        <v>41</v>
      </c>
      <c r="AO267">
        <v>5</v>
      </c>
      <c r="AP267">
        <v>3</v>
      </c>
      <c r="AQ267">
        <v>3</v>
      </c>
      <c r="AR267">
        <v>5</v>
      </c>
      <c r="AS267">
        <v>5</v>
      </c>
      <c r="AT267">
        <v>5</v>
      </c>
      <c r="AU267">
        <v>5</v>
      </c>
      <c r="AV267">
        <v>5</v>
      </c>
      <c r="AW267">
        <v>4</v>
      </c>
      <c r="AX267">
        <v>2</v>
      </c>
      <c r="AY267" cm="1">
        <f t="array" ref="AY267">_xlfn.IFS(AZ267="Positive",1, AZ267="Negative",1, AZ267="Neutral",0)</f>
        <v>1</v>
      </c>
      <c r="AZ267" t="s">
        <v>196</v>
      </c>
      <c r="BA267">
        <v>12</v>
      </c>
      <c r="BB267">
        <v>1</v>
      </c>
      <c r="BC267" s="3">
        <v>7</v>
      </c>
      <c r="BD267" s="3">
        <v>3</v>
      </c>
      <c r="BE267" s="3">
        <v>2</v>
      </c>
      <c r="BF267" s="3">
        <v>0</v>
      </c>
      <c r="BG267" s="3">
        <v>0</v>
      </c>
      <c r="BH267">
        <v>0</v>
      </c>
      <c r="BI267">
        <v>0</v>
      </c>
      <c r="BJ267">
        <v>0</v>
      </c>
      <c r="BK267">
        <v>1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 t="s">
        <v>322</v>
      </c>
      <c r="BT267" t="s">
        <v>453</v>
      </c>
      <c r="BU267" t="s">
        <v>326</v>
      </c>
      <c r="BV267" t="s">
        <v>454</v>
      </c>
    </row>
    <row r="268" spans="1:74" s="1" customFormat="1" hidden="1" x14ac:dyDescent="0.2">
      <c r="A268">
        <v>278</v>
      </c>
      <c r="B268">
        <v>48</v>
      </c>
      <c r="C268" t="s">
        <v>125</v>
      </c>
      <c r="D268"/>
      <c r="E268" t="s">
        <v>63</v>
      </c>
      <c r="F268">
        <v>6</v>
      </c>
      <c r="G268">
        <v>1999</v>
      </c>
      <c r="H268">
        <v>23</v>
      </c>
      <c r="I268" t="s">
        <v>64</v>
      </c>
      <c r="J268">
        <v>1</v>
      </c>
      <c r="K268" t="s">
        <v>657</v>
      </c>
      <c r="L268" t="s">
        <v>669</v>
      </c>
      <c r="M268">
        <v>5</v>
      </c>
      <c r="N268">
        <v>75</v>
      </c>
      <c r="O268">
        <v>7</v>
      </c>
      <c r="P268" t="s">
        <v>505</v>
      </c>
      <c r="Q268" t="s">
        <v>727</v>
      </c>
      <c r="R268" t="s">
        <v>745</v>
      </c>
      <c r="S268" t="s">
        <v>318</v>
      </c>
      <c r="T268" t="s">
        <v>507</v>
      </c>
      <c r="U268" t="s">
        <v>508</v>
      </c>
      <c r="V268" t="s">
        <v>509</v>
      </c>
      <c r="W268" t="s">
        <v>195</v>
      </c>
      <c r="X268" t="s">
        <v>196</v>
      </c>
      <c r="Y268" t="s">
        <v>274</v>
      </c>
      <c r="Z268">
        <v>7</v>
      </c>
      <c r="AA268">
        <v>7</v>
      </c>
      <c r="AB268">
        <v>7</v>
      </c>
      <c r="AC268">
        <v>7</v>
      </c>
      <c r="AD268">
        <v>7</v>
      </c>
      <c r="AE268">
        <v>7</v>
      </c>
      <c r="AF268">
        <v>1</v>
      </c>
      <c r="AG268">
        <v>1</v>
      </c>
      <c r="AH268">
        <v>7</v>
      </c>
      <c r="AI268">
        <v>7</v>
      </c>
      <c r="AJ268">
        <v>1</v>
      </c>
      <c r="AK268">
        <v>6</v>
      </c>
      <c r="AL268">
        <v>5</v>
      </c>
      <c r="AM268">
        <v>6</v>
      </c>
      <c r="AN268">
        <v>7</v>
      </c>
      <c r="AO268">
        <v>7</v>
      </c>
      <c r="AP268">
        <v>2</v>
      </c>
      <c r="AQ268">
        <v>3</v>
      </c>
      <c r="AR268">
        <v>7</v>
      </c>
      <c r="AS268">
        <v>1</v>
      </c>
      <c r="AT268">
        <v>7</v>
      </c>
      <c r="AU268">
        <v>1</v>
      </c>
      <c r="AV268">
        <v>7</v>
      </c>
      <c r="AW268">
        <v>7</v>
      </c>
      <c r="AX268">
        <v>1</v>
      </c>
      <c r="AY268" cm="1">
        <f t="array" ref="AY268">_xlfn.IFS(AZ268="Positive",1, AZ268="Negative",1, AZ268="Neutral",0)</f>
        <v>1</v>
      </c>
      <c r="AZ268" t="s">
        <v>196</v>
      </c>
      <c r="BA268">
        <v>11</v>
      </c>
      <c r="BB268">
        <v>4</v>
      </c>
      <c r="BC268" s="3">
        <v>8</v>
      </c>
      <c r="BD268" s="3">
        <v>0</v>
      </c>
      <c r="BE268" s="3">
        <v>0</v>
      </c>
      <c r="BF268" s="3">
        <v>1</v>
      </c>
      <c r="BG268" s="3">
        <v>2</v>
      </c>
      <c r="BH268">
        <v>1</v>
      </c>
      <c r="BI268">
        <v>0</v>
      </c>
      <c r="BJ268">
        <v>1</v>
      </c>
      <c r="BK268">
        <v>2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5</v>
      </c>
      <c r="BT268" t="s">
        <v>464</v>
      </c>
      <c r="BU268" t="s">
        <v>506</v>
      </c>
      <c r="BV268" t="s">
        <v>466</v>
      </c>
    </row>
    <row r="269" spans="1:74" s="1" customFormat="1" hidden="1" x14ac:dyDescent="0.2">
      <c r="A269"/>
      <c r="B269">
        <v>49</v>
      </c>
      <c r="C269" t="s">
        <v>126</v>
      </c>
      <c r="D269"/>
      <c r="E269" t="s">
        <v>73</v>
      </c>
      <c r="F269">
        <v>2</v>
      </c>
      <c r="G269">
        <v>1999</v>
      </c>
      <c r="H269">
        <v>23</v>
      </c>
      <c r="I269" t="s">
        <v>64</v>
      </c>
      <c r="J269">
        <v>1</v>
      </c>
      <c r="K269" t="s">
        <v>674</v>
      </c>
      <c r="L269" t="s">
        <v>677</v>
      </c>
      <c r="M269">
        <v>4</v>
      </c>
      <c r="N269">
        <v>56</v>
      </c>
      <c r="O269" t="s">
        <v>353</v>
      </c>
      <c r="P269" t="s">
        <v>361</v>
      </c>
      <c r="Q269" t="s">
        <v>752</v>
      </c>
      <c r="R269" t="s">
        <v>756</v>
      </c>
      <c r="S269" t="s">
        <v>396</v>
      </c>
      <c r="T269" t="s">
        <v>423</v>
      </c>
      <c r="U269" t="s">
        <v>358</v>
      </c>
      <c r="V269" t="s">
        <v>366</v>
      </c>
      <c r="W269" t="s">
        <v>195</v>
      </c>
      <c r="X269" t="s">
        <v>196</v>
      </c>
      <c r="Y269" t="s">
        <v>274</v>
      </c>
      <c r="Z269">
        <v>7</v>
      </c>
      <c r="AA269">
        <v>6</v>
      </c>
      <c r="AB269">
        <v>7</v>
      </c>
      <c r="AC269">
        <v>7</v>
      </c>
      <c r="AD269">
        <v>6</v>
      </c>
      <c r="AE269">
        <v>7</v>
      </c>
      <c r="AF269">
        <v>3</v>
      </c>
      <c r="AG269">
        <v>1</v>
      </c>
      <c r="AH269">
        <v>4</v>
      </c>
      <c r="AI269">
        <v>1</v>
      </c>
      <c r="AJ269">
        <v>7</v>
      </c>
      <c r="AK269">
        <v>5</v>
      </c>
      <c r="AL269">
        <v>6</v>
      </c>
      <c r="AM269">
        <v>6</v>
      </c>
      <c r="AN269">
        <v>54</v>
      </c>
      <c r="AO269">
        <v>3</v>
      </c>
      <c r="AP269">
        <v>7</v>
      </c>
      <c r="AQ269">
        <v>7</v>
      </c>
      <c r="AR269">
        <v>6</v>
      </c>
      <c r="AS269">
        <v>6</v>
      </c>
      <c r="AT269">
        <v>6</v>
      </c>
      <c r="AU269">
        <v>6</v>
      </c>
      <c r="AV269">
        <v>6</v>
      </c>
      <c r="AW269">
        <v>7</v>
      </c>
      <c r="AX269">
        <v>3</v>
      </c>
      <c r="AY269" cm="1">
        <f t="array" ref="AY269">_xlfn.IFS(AZ269="Positive",1, AZ269="Negative",1, AZ269="Neutral",0)</f>
        <v>1</v>
      </c>
      <c r="AZ269" t="s">
        <v>196</v>
      </c>
      <c r="BA269">
        <f>SUM(BC269:BG269)</f>
        <v>14</v>
      </c>
      <c r="BB269">
        <f>SUM(BH269:BR269)</f>
        <v>2</v>
      </c>
      <c r="BC269" s="3">
        <v>10</v>
      </c>
      <c r="BD269" s="3">
        <v>0</v>
      </c>
      <c r="BE269" s="3">
        <v>0</v>
      </c>
      <c r="BF269" s="3">
        <v>2</v>
      </c>
      <c r="BG269" s="3">
        <v>2</v>
      </c>
      <c r="BH269">
        <v>0</v>
      </c>
      <c r="BI269">
        <v>0</v>
      </c>
      <c r="BJ269">
        <v>0</v>
      </c>
      <c r="BK269">
        <v>1</v>
      </c>
      <c r="BL269">
        <v>1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 t="s">
        <v>510</v>
      </c>
      <c r="BT269" t="s">
        <v>489</v>
      </c>
      <c r="BU269" t="s">
        <v>511</v>
      </c>
      <c r="BV269" t="s">
        <v>512</v>
      </c>
    </row>
    <row r="270" spans="1:74" s="1" customFormat="1" hidden="1" x14ac:dyDescent="0.2">
      <c r="A270"/>
      <c r="B270">
        <v>50</v>
      </c>
      <c r="C270" t="s">
        <v>127</v>
      </c>
      <c r="D270"/>
      <c r="E270" t="s">
        <v>76</v>
      </c>
      <c r="F270">
        <v>7</v>
      </c>
      <c r="G270">
        <v>1999</v>
      </c>
      <c r="H270">
        <v>23</v>
      </c>
      <c r="I270" t="s">
        <v>69</v>
      </c>
      <c r="J270">
        <v>2</v>
      </c>
      <c r="K270" t="s">
        <v>678</v>
      </c>
      <c r="L270" t="s">
        <v>659</v>
      </c>
      <c r="M270">
        <v>17</v>
      </c>
      <c r="N270">
        <v>49</v>
      </c>
      <c r="O270" t="s">
        <v>314</v>
      </c>
      <c r="P270" t="s">
        <v>278</v>
      </c>
      <c r="Q270" t="s">
        <v>757</v>
      </c>
      <c r="R270" t="s">
        <v>730</v>
      </c>
      <c r="S270" t="s">
        <v>443</v>
      </c>
      <c r="T270" t="s">
        <v>491</v>
      </c>
      <c r="U270" t="s">
        <v>320</v>
      </c>
      <c r="V270" t="s">
        <v>284</v>
      </c>
      <c r="W270" t="s">
        <v>195</v>
      </c>
      <c r="X270" t="s">
        <v>196</v>
      </c>
      <c r="Y270" t="s">
        <v>274</v>
      </c>
      <c r="Z270">
        <v>7</v>
      </c>
      <c r="AA270">
        <v>5</v>
      </c>
      <c r="AB270">
        <v>5</v>
      </c>
      <c r="AC270">
        <v>6</v>
      </c>
      <c r="AD270">
        <v>6</v>
      </c>
      <c r="AE270">
        <v>6</v>
      </c>
      <c r="AF270">
        <v>6</v>
      </c>
      <c r="AG270">
        <v>5</v>
      </c>
      <c r="AH270">
        <v>6</v>
      </c>
      <c r="AI270">
        <v>6</v>
      </c>
      <c r="AJ270">
        <v>2</v>
      </c>
      <c r="AK270">
        <v>6</v>
      </c>
      <c r="AL270">
        <v>6</v>
      </c>
      <c r="AM270">
        <v>4</v>
      </c>
      <c r="AN270">
        <v>230</v>
      </c>
      <c r="AO270">
        <v>5</v>
      </c>
      <c r="AP270">
        <v>6</v>
      </c>
      <c r="AQ270">
        <v>3</v>
      </c>
      <c r="AR270">
        <v>6</v>
      </c>
      <c r="AS270">
        <v>6</v>
      </c>
      <c r="AT270">
        <v>6</v>
      </c>
      <c r="AU270">
        <v>5</v>
      </c>
      <c r="AV270">
        <v>5</v>
      </c>
      <c r="AW270">
        <v>5</v>
      </c>
      <c r="AX270">
        <v>3</v>
      </c>
      <c r="AY270" cm="1">
        <f t="array" ref="AY270">_xlfn.IFS(AZ270="Positive",1, AZ270="Negative",1, AZ270="Neutral",0)</f>
        <v>1</v>
      </c>
      <c r="AZ270" t="s">
        <v>196</v>
      </c>
      <c r="BA270">
        <f>SUM(BC270:BG270)</f>
        <v>3</v>
      </c>
      <c r="BB270">
        <f>SUM(BH270:BR270)</f>
        <v>4</v>
      </c>
      <c r="BC270" s="3">
        <v>1</v>
      </c>
      <c r="BD270" s="3">
        <v>0</v>
      </c>
      <c r="BE270" s="3">
        <v>0</v>
      </c>
      <c r="BF270" s="3">
        <v>0</v>
      </c>
      <c r="BG270" s="3">
        <v>2</v>
      </c>
      <c r="BH270">
        <v>0</v>
      </c>
      <c r="BI270">
        <v>1</v>
      </c>
      <c r="BJ270">
        <v>1</v>
      </c>
      <c r="BK270">
        <v>0</v>
      </c>
      <c r="BL270">
        <v>1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 t="s">
        <v>352</v>
      </c>
      <c r="BT270" t="s">
        <v>388</v>
      </c>
      <c r="BU270" t="s">
        <v>355</v>
      </c>
      <c r="BV270" t="s">
        <v>390</v>
      </c>
    </row>
    <row r="271" spans="1:74" s="1" customFormat="1" hidden="1" x14ac:dyDescent="0.2">
      <c r="A271">
        <v>281</v>
      </c>
      <c r="B271">
        <v>51</v>
      </c>
      <c r="C271" t="s">
        <v>128</v>
      </c>
      <c r="D271"/>
      <c r="E271" t="s">
        <v>63</v>
      </c>
      <c r="F271">
        <v>4</v>
      </c>
      <c r="G271">
        <v>2001</v>
      </c>
      <c r="H271">
        <v>21</v>
      </c>
      <c r="I271" t="s">
        <v>64</v>
      </c>
      <c r="J271">
        <v>1</v>
      </c>
      <c r="K271" t="s">
        <v>642</v>
      </c>
      <c r="L271" t="s">
        <v>679</v>
      </c>
      <c r="M271">
        <v>11</v>
      </c>
      <c r="N271">
        <v>62</v>
      </c>
      <c r="O271" t="s">
        <v>513</v>
      </c>
      <c r="P271" t="s">
        <v>405</v>
      </c>
      <c r="Q271" t="s">
        <v>712</v>
      </c>
      <c r="R271" t="s">
        <v>758</v>
      </c>
      <c r="S271" t="s">
        <v>514</v>
      </c>
      <c r="T271" t="s">
        <v>319</v>
      </c>
      <c r="U271" t="s">
        <v>515</v>
      </c>
      <c r="V271" t="s">
        <v>407</v>
      </c>
      <c r="W271" t="s">
        <v>195</v>
      </c>
      <c r="X271" t="s">
        <v>196</v>
      </c>
      <c r="Y271" t="s">
        <v>274</v>
      </c>
      <c r="Z271">
        <v>7</v>
      </c>
      <c r="AA271">
        <v>4</v>
      </c>
      <c r="AB271">
        <v>6</v>
      </c>
      <c r="AC271">
        <v>5</v>
      </c>
      <c r="AD271">
        <v>1</v>
      </c>
      <c r="AE271">
        <v>1</v>
      </c>
      <c r="AF271">
        <v>4</v>
      </c>
      <c r="AG271">
        <v>1</v>
      </c>
      <c r="AH271">
        <v>3</v>
      </c>
      <c r="AI271">
        <v>7</v>
      </c>
      <c r="AJ271">
        <v>1</v>
      </c>
      <c r="AK271">
        <v>5</v>
      </c>
      <c r="AL271">
        <v>6</v>
      </c>
      <c r="AM271">
        <v>5</v>
      </c>
      <c r="AN271">
        <v>168</v>
      </c>
      <c r="AO271">
        <v>1</v>
      </c>
      <c r="AP271">
        <v>1</v>
      </c>
      <c r="AQ271">
        <v>3</v>
      </c>
      <c r="AR271">
        <v>2</v>
      </c>
      <c r="AS271">
        <v>2</v>
      </c>
      <c r="AT271">
        <v>3</v>
      </c>
      <c r="AU271">
        <v>4</v>
      </c>
      <c r="AV271">
        <v>4</v>
      </c>
      <c r="AW271">
        <v>3</v>
      </c>
      <c r="AX271">
        <v>1</v>
      </c>
      <c r="AY271" cm="1">
        <f t="array" ref="AY271">_xlfn.IFS(AZ271="Positive",1, AZ271="Negative",1, AZ271="Neutral",0)</f>
        <v>1</v>
      </c>
      <c r="AZ271" t="s">
        <v>196</v>
      </c>
      <c r="BA271">
        <v>7</v>
      </c>
      <c r="BB271">
        <v>1</v>
      </c>
      <c r="BC271" s="3">
        <v>4</v>
      </c>
      <c r="BD271" s="3">
        <v>0</v>
      </c>
      <c r="BE271" s="3">
        <v>1</v>
      </c>
      <c r="BF271" s="3">
        <v>1</v>
      </c>
      <c r="BG271" s="3">
        <v>1</v>
      </c>
      <c r="BH271">
        <v>0</v>
      </c>
      <c r="BI271">
        <v>0</v>
      </c>
      <c r="BJ271">
        <v>1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 t="s">
        <v>463</v>
      </c>
      <c r="BT271" t="s">
        <v>275</v>
      </c>
      <c r="BU271" t="s">
        <v>465</v>
      </c>
      <c r="BV271" t="s">
        <v>334</v>
      </c>
    </row>
    <row r="272" spans="1:74" s="1" customFormat="1" x14ac:dyDescent="0.2">
      <c r="A272"/>
      <c r="B272">
        <v>52</v>
      </c>
      <c r="C272" t="s">
        <v>129</v>
      </c>
      <c r="D272"/>
      <c r="E272" t="s">
        <v>76</v>
      </c>
      <c r="F272">
        <v>28</v>
      </c>
      <c r="G272">
        <v>1997</v>
      </c>
      <c r="H272">
        <v>25</v>
      </c>
      <c r="I272" t="s">
        <v>69</v>
      </c>
      <c r="J272">
        <v>2</v>
      </c>
      <c r="K272" t="s">
        <v>656</v>
      </c>
      <c r="L272" t="s">
        <v>666</v>
      </c>
      <c r="M272">
        <v>6</v>
      </c>
      <c r="N272">
        <v>67</v>
      </c>
      <c r="O272" t="s">
        <v>338</v>
      </c>
      <c r="P272" t="s">
        <v>517</v>
      </c>
      <c r="Q272" t="s">
        <v>751</v>
      </c>
      <c r="R272" t="s">
        <v>740</v>
      </c>
      <c r="S272" t="s">
        <v>403</v>
      </c>
      <c r="T272" t="s">
        <v>431</v>
      </c>
      <c r="U272" t="s">
        <v>342</v>
      </c>
      <c r="V272" t="s">
        <v>519</v>
      </c>
      <c r="W272" t="s">
        <v>195</v>
      </c>
      <c r="X272" t="s">
        <v>196</v>
      </c>
      <c r="Y272" t="s">
        <v>274</v>
      </c>
      <c r="Z272">
        <v>7</v>
      </c>
      <c r="AA272">
        <v>5</v>
      </c>
      <c r="AB272">
        <v>2</v>
      </c>
      <c r="AC272">
        <v>4</v>
      </c>
      <c r="AD272">
        <v>7</v>
      </c>
      <c r="AE272">
        <v>5</v>
      </c>
      <c r="AF272">
        <v>2</v>
      </c>
      <c r="AG272">
        <v>3</v>
      </c>
      <c r="AH272">
        <v>3</v>
      </c>
      <c r="AI272">
        <v>4</v>
      </c>
      <c r="AJ272">
        <v>4</v>
      </c>
      <c r="AK272">
        <v>5</v>
      </c>
      <c r="AL272">
        <v>3</v>
      </c>
      <c r="AM272">
        <v>1</v>
      </c>
      <c r="AN272">
        <v>48</v>
      </c>
      <c r="AO272">
        <v>2</v>
      </c>
      <c r="AP272">
        <v>6</v>
      </c>
      <c r="AQ272">
        <v>5</v>
      </c>
      <c r="AR272">
        <v>2</v>
      </c>
      <c r="AS272">
        <v>1</v>
      </c>
      <c r="AT272">
        <v>1</v>
      </c>
      <c r="AU272">
        <v>2</v>
      </c>
      <c r="AV272">
        <v>2</v>
      </c>
      <c r="AW272">
        <v>2</v>
      </c>
      <c r="AX272">
        <v>3</v>
      </c>
      <c r="AY272" cm="1">
        <f t="array" ref="AY272">_xlfn.IFS(AZ272="Positive",1, AZ272="Negative",1, AZ272="Neutral",0)</f>
        <v>1</v>
      </c>
      <c r="AZ272" t="s">
        <v>196</v>
      </c>
      <c r="BA272">
        <f>SUM(BC272:BG272)</f>
        <v>0</v>
      </c>
      <c r="BB272">
        <f>SUM(BH272:BR272)</f>
        <v>4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>
        <v>0</v>
      </c>
      <c r="BI272">
        <v>0</v>
      </c>
      <c r="BJ272">
        <v>2</v>
      </c>
      <c r="BK272">
        <v>0</v>
      </c>
      <c r="BL272">
        <v>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 t="s">
        <v>516</v>
      </c>
      <c r="BT272" t="s">
        <v>433</v>
      </c>
      <c r="BU272" t="s">
        <v>518</v>
      </c>
      <c r="BV272" t="s">
        <v>435</v>
      </c>
    </row>
    <row r="273" spans="1:74" s="1" customFormat="1" hidden="1" x14ac:dyDescent="0.2">
      <c r="A273">
        <v>283</v>
      </c>
      <c r="B273">
        <v>53</v>
      </c>
      <c r="C273" t="s">
        <v>130</v>
      </c>
      <c r="D273"/>
      <c r="E273" t="s">
        <v>97</v>
      </c>
      <c r="F273">
        <v>21</v>
      </c>
      <c r="G273">
        <v>1998</v>
      </c>
      <c r="H273">
        <v>24</v>
      </c>
      <c r="I273" t="s">
        <v>64</v>
      </c>
      <c r="J273">
        <v>1</v>
      </c>
      <c r="K273" t="s">
        <v>416</v>
      </c>
      <c r="L273" t="s">
        <v>680</v>
      </c>
      <c r="M273">
        <v>6</v>
      </c>
      <c r="N273">
        <v>53</v>
      </c>
      <c r="O273" t="s">
        <v>520</v>
      </c>
      <c r="P273">
        <v>5</v>
      </c>
      <c r="Q273" t="s">
        <v>723</v>
      </c>
      <c r="R273" t="s">
        <v>759</v>
      </c>
      <c r="S273" t="s">
        <v>403</v>
      </c>
      <c r="T273" t="s">
        <v>522</v>
      </c>
      <c r="U273" t="s">
        <v>523</v>
      </c>
      <c r="V273" t="s">
        <v>524</v>
      </c>
      <c r="W273" t="s">
        <v>195</v>
      </c>
      <c r="X273" t="s">
        <v>196</v>
      </c>
      <c r="Y273" t="s">
        <v>274</v>
      </c>
      <c r="Z273">
        <v>7</v>
      </c>
      <c r="AA273">
        <v>5</v>
      </c>
      <c r="AB273">
        <v>6</v>
      </c>
      <c r="AC273">
        <v>6</v>
      </c>
      <c r="AD273">
        <v>6</v>
      </c>
      <c r="AE273">
        <v>6</v>
      </c>
      <c r="AF273">
        <v>3</v>
      </c>
      <c r="AG273">
        <v>1</v>
      </c>
      <c r="AH273">
        <v>5</v>
      </c>
      <c r="AI273">
        <v>6</v>
      </c>
      <c r="AJ273">
        <v>2</v>
      </c>
      <c r="AK273">
        <v>4</v>
      </c>
      <c r="AL273">
        <v>4</v>
      </c>
      <c r="AM273">
        <v>1</v>
      </c>
      <c r="AN273">
        <v>8</v>
      </c>
      <c r="AO273">
        <v>1</v>
      </c>
      <c r="AP273">
        <v>2</v>
      </c>
      <c r="AQ273">
        <v>2</v>
      </c>
      <c r="AR273">
        <v>4</v>
      </c>
      <c r="AS273">
        <v>4</v>
      </c>
      <c r="AT273">
        <v>4</v>
      </c>
      <c r="AU273">
        <v>4</v>
      </c>
      <c r="AV273">
        <v>4</v>
      </c>
      <c r="AW273">
        <v>4</v>
      </c>
      <c r="AX273">
        <v>1</v>
      </c>
      <c r="AY273" cm="1">
        <f t="array" ref="AY273">_xlfn.IFS(AZ273="Positive",1, AZ273="Negative",1, AZ273="Neutral",0)</f>
        <v>1</v>
      </c>
      <c r="AZ273" t="s">
        <v>196</v>
      </c>
      <c r="BA273">
        <v>14</v>
      </c>
      <c r="BB273">
        <v>2</v>
      </c>
      <c r="BC273" s="3">
        <v>6</v>
      </c>
      <c r="BD273" s="3">
        <v>2</v>
      </c>
      <c r="BE273" s="3">
        <v>3</v>
      </c>
      <c r="BF273" s="3">
        <v>0</v>
      </c>
      <c r="BG273" s="3">
        <v>3</v>
      </c>
      <c r="BH273">
        <v>0</v>
      </c>
      <c r="BI273">
        <v>0</v>
      </c>
      <c r="BJ273">
        <v>1</v>
      </c>
      <c r="BK273">
        <v>1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4</v>
      </c>
      <c r="BT273">
        <v>1</v>
      </c>
      <c r="BU273" t="s">
        <v>370</v>
      </c>
      <c r="BV273" t="s">
        <v>521</v>
      </c>
    </row>
    <row r="274" spans="1:74" s="1" customFormat="1" hidden="1" x14ac:dyDescent="0.2">
      <c r="A274">
        <v>284</v>
      </c>
      <c r="B274">
        <v>54</v>
      </c>
      <c r="C274" t="s">
        <v>131</v>
      </c>
      <c r="D274"/>
      <c r="E274" t="s">
        <v>93</v>
      </c>
      <c r="F274">
        <v>22</v>
      </c>
      <c r="G274">
        <v>1998</v>
      </c>
      <c r="H274">
        <v>24</v>
      </c>
      <c r="I274" t="s">
        <v>64</v>
      </c>
      <c r="J274">
        <v>1</v>
      </c>
      <c r="K274" t="s">
        <v>456</v>
      </c>
      <c r="L274" t="s">
        <v>681</v>
      </c>
      <c r="M274">
        <v>9</v>
      </c>
      <c r="N274">
        <v>53</v>
      </c>
      <c r="O274" t="s">
        <v>525</v>
      </c>
      <c r="P274" t="s">
        <v>306</v>
      </c>
      <c r="Q274" t="s">
        <v>736</v>
      </c>
      <c r="R274" t="s">
        <v>760</v>
      </c>
      <c r="S274" t="s">
        <v>349</v>
      </c>
      <c r="T274" t="s">
        <v>522</v>
      </c>
      <c r="U274" t="s">
        <v>527</v>
      </c>
      <c r="V274" t="s">
        <v>528</v>
      </c>
      <c r="W274" t="s">
        <v>195</v>
      </c>
      <c r="X274" t="s">
        <v>196</v>
      </c>
      <c r="Y274" t="s">
        <v>274</v>
      </c>
      <c r="Z274">
        <v>7</v>
      </c>
      <c r="AA274">
        <v>7</v>
      </c>
      <c r="AB274">
        <v>7</v>
      </c>
      <c r="AC274">
        <v>4</v>
      </c>
      <c r="AD274">
        <v>1</v>
      </c>
      <c r="AE274">
        <v>6</v>
      </c>
      <c r="AF274">
        <v>1</v>
      </c>
      <c r="AG274">
        <v>3</v>
      </c>
      <c r="AH274">
        <v>7</v>
      </c>
      <c r="AI274">
        <v>7</v>
      </c>
      <c r="AJ274">
        <v>1</v>
      </c>
      <c r="AK274">
        <v>6</v>
      </c>
      <c r="AL274">
        <v>7</v>
      </c>
      <c r="AM274">
        <v>4</v>
      </c>
      <c r="AN274">
        <v>60</v>
      </c>
      <c r="AO274">
        <v>7</v>
      </c>
      <c r="AP274">
        <v>1</v>
      </c>
      <c r="AQ274">
        <v>3</v>
      </c>
      <c r="AR274">
        <v>7</v>
      </c>
      <c r="AS274">
        <v>7</v>
      </c>
      <c r="AT274">
        <v>7</v>
      </c>
      <c r="AU274">
        <v>7</v>
      </c>
      <c r="AV274">
        <v>7</v>
      </c>
      <c r="AW274">
        <v>7</v>
      </c>
      <c r="AX274">
        <v>1</v>
      </c>
      <c r="AY274" cm="1">
        <f t="array" ref="AY274">_xlfn.IFS(AZ274="Positive",1, AZ274="Negative",1, AZ274="Neutral",0)</f>
        <v>1</v>
      </c>
      <c r="AZ274" t="s">
        <v>196</v>
      </c>
      <c r="BA274">
        <v>11</v>
      </c>
      <c r="BB274">
        <v>1</v>
      </c>
      <c r="BC274" s="3">
        <v>4</v>
      </c>
      <c r="BD274" s="3">
        <v>0</v>
      </c>
      <c r="BE274" s="3">
        <v>4</v>
      </c>
      <c r="BF274" s="3">
        <v>0</v>
      </c>
      <c r="BG274" s="3">
        <v>3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0</v>
      </c>
      <c r="BS274" t="s">
        <v>375</v>
      </c>
      <c r="BT274" t="s">
        <v>352</v>
      </c>
      <c r="BU274" t="s">
        <v>377</v>
      </c>
      <c r="BV274" t="s">
        <v>526</v>
      </c>
    </row>
    <row r="275" spans="1:74" s="1" customFormat="1" hidden="1" x14ac:dyDescent="0.2">
      <c r="A275">
        <v>285</v>
      </c>
      <c r="B275">
        <v>55</v>
      </c>
      <c r="C275" t="s">
        <v>132</v>
      </c>
      <c r="D275"/>
      <c r="E275" t="s">
        <v>80</v>
      </c>
      <c r="F275">
        <v>5</v>
      </c>
      <c r="G275">
        <v>1997</v>
      </c>
      <c r="H275">
        <v>25</v>
      </c>
      <c r="I275" t="s">
        <v>64</v>
      </c>
      <c r="J275">
        <v>1</v>
      </c>
      <c r="K275" t="s">
        <v>658</v>
      </c>
      <c r="L275" t="s">
        <v>632</v>
      </c>
      <c r="M275">
        <v>10</v>
      </c>
      <c r="N275">
        <v>62</v>
      </c>
      <c r="O275" t="s">
        <v>408</v>
      </c>
      <c r="P275" t="s">
        <v>354</v>
      </c>
      <c r="Q275" t="s">
        <v>729</v>
      </c>
      <c r="R275" t="s">
        <v>732</v>
      </c>
      <c r="S275" t="s">
        <v>378</v>
      </c>
      <c r="T275" t="s">
        <v>319</v>
      </c>
      <c r="U275" t="s">
        <v>412</v>
      </c>
      <c r="V275" t="s">
        <v>359</v>
      </c>
      <c r="W275" t="s">
        <v>195</v>
      </c>
      <c r="X275" t="s">
        <v>196</v>
      </c>
      <c r="Y275" t="s">
        <v>274</v>
      </c>
      <c r="Z275">
        <v>7</v>
      </c>
      <c r="AA275">
        <v>7</v>
      </c>
      <c r="AB275">
        <v>7</v>
      </c>
      <c r="AC275">
        <v>5</v>
      </c>
      <c r="AD275">
        <v>2</v>
      </c>
      <c r="AE275">
        <v>5</v>
      </c>
      <c r="AF275">
        <v>1</v>
      </c>
      <c r="AG275">
        <v>1</v>
      </c>
      <c r="AH275">
        <v>6</v>
      </c>
      <c r="AI275">
        <v>6</v>
      </c>
      <c r="AJ275">
        <v>2</v>
      </c>
      <c r="AK275">
        <v>6</v>
      </c>
      <c r="AL275">
        <v>6</v>
      </c>
      <c r="AM275">
        <v>7</v>
      </c>
      <c r="AN275">
        <v>5</v>
      </c>
      <c r="AO275">
        <v>1</v>
      </c>
      <c r="AP275">
        <v>1</v>
      </c>
      <c r="AQ275">
        <v>2</v>
      </c>
      <c r="AR275">
        <v>6</v>
      </c>
      <c r="AS275">
        <v>5</v>
      </c>
      <c r="AT275">
        <v>7</v>
      </c>
      <c r="AU275">
        <v>6</v>
      </c>
      <c r="AV275">
        <v>5</v>
      </c>
      <c r="AW275">
        <v>7</v>
      </c>
      <c r="AX275">
        <v>1</v>
      </c>
      <c r="AY275" cm="1">
        <f t="array" ref="AY275">_xlfn.IFS(AZ275="Positive",1, AZ275="Negative",1, AZ275="Neutral",0)</f>
        <v>1</v>
      </c>
      <c r="AZ275" t="s">
        <v>196</v>
      </c>
      <c r="BA275">
        <v>9</v>
      </c>
      <c r="BB275">
        <v>1</v>
      </c>
      <c r="BC275" s="3">
        <v>3</v>
      </c>
      <c r="BD275" s="3">
        <v>2</v>
      </c>
      <c r="BE275" s="3">
        <v>3</v>
      </c>
      <c r="BF275" s="3">
        <v>1</v>
      </c>
      <c r="BG275" s="3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 t="s">
        <v>382</v>
      </c>
      <c r="BT275">
        <v>3</v>
      </c>
      <c r="BU275" t="s">
        <v>385</v>
      </c>
      <c r="BV275" t="s">
        <v>309</v>
      </c>
    </row>
    <row r="276" spans="1:74" s="1" customFormat="1" x14ac:dyDescent="0.2">
      <c r="A276">
        <v>286</v>
      </c>
      <c r="B276">
        <v>56</v>
      </c>
      <c r="C276" t="s">
        <v>133</v>
      </c>
      <c r="D276"/>
      <c r="E276" t="s">
        <v>71</v>
      </c>
      <c r="F276">
        <v>16</v>
      </c>
      <c r="G276">
        <v>1999</v>
      </c>
      <c r="H276">
        <v>23</v>
      </c>
      <c r="I276" t="s">
        <v>69</v>
      </c>
      <c r="J276">
        <v>2</v>
      </c>
      <c r="K276" t="s">
        <v>661</v>
      </c>
      <c r="L276" t="s">
        <v>682</v>
      </c>
      <c r="M276">
        <v>10</v>
      </c>
      <c r="N276">
        <v>63</v>
      </c>
      <c r="O276" t="s">
        <v>529</v>
      </c>
      <c r="P276" t="s">
        <v>438</v>
      </c>
      <c r="Q276" t="s">
        <v>734</v>
      </c>
      <c r="R276" t="s">
        <v>761</v>
      </c>
      <c r="S276" t="s">
        <v>378</v>
      </c>
      <c r="T276" t="s">
        <v>477</v>
      </c>
      <c r="U276" t="s">
        <v>531</v>
      </c>
      <c r="V276" t="s">
        <v>441</v>
      </c>
      <c r="W276" t="s">
        <v>195</v>
      </c>
      <c r="X276" t="s">
        <v>196</v>
      </c>
      <c r="Y276" t="s">
        <v>274</v>
      </c>
      <c r="Z276">
        <v>7</v>
      </c>
      <c r="AA276">
        <v>6</v>
      </c>
      <c r="AB276">
        <v>6</v>
      </c>
      <c r="AC276">
        <v>1</v>
      </c>
      <c r="AD276">
        <v>1</v>
      </c>
      <c r="AE276">
        <v>1</v>
      </c>
      <c r="AF276">
        <v>2</v>
      </c>
      <c r="AG276">
        <v>3</v>
      </c>
      <c r="AH276">
        <v>5</v>
      </c>
      <c r="AI276">
        <v>7</v>
      </c>
      <c r="AJ276">
        <v>1</v>
      </c>
      <c r="AK276">
        <v>5</v>
      </c>
      <c r="AL276">
        <v>2</v>
      </c>
      <c r="AM276">
        <v>5</v>
      </c>
      <c r="AN276">
        <v>168</v>
      </c>
      <c r="AO276">
        <v>5</v>
      </c>
      <c r="AP276">
        <v>2</v>
      </c>
      <c r="AQ276">
        <v>3</v>
      </c>
      <c r="AR276">
        <v>4</v>
      </c>
      <c r="AS276">
        <v>5</v>
      </c>
      <c r="AT276">
        <v>3</v>
      </c>
      <c r="AU276">
        <v>6</v>
      </c>
      <c r="AV276">
        <v>6</v>
      </c>
      <c r="AW276">
        <v>7</v>
      </c>
      <c r="AX276">
        <v>1</v>
      </c>
      <c r="AY276" cm="1">
        <f t="array" ref="AY276">_xlfn.IFS(AZ276="Positive",1, AZ276="Negative",1, AZ276="Neutral",0)</f>
        <v>1</v>
      </c>
      <c r="AZ276" t="s">
        <v>196</v>
      </c>
      <c r="BA276">
        <v>0</v>
      </c>
      <c r="BB276">
        <v>12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>
        <v>0</v>
      </c>
      <c r="BI276">
        <v>0</v>
      </c>
      <c r="BJ276">
        <v>5</v>
      </c>
      <c r="BK276">
        <v>5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2</v>
      </c>
      <c r="BS276" t="s">
        <v>285</v>
      </c>
      <c r="BT276" t="s">
        <v>414</v>
      </c>
      <c r="BU276" t="s">
        <v>289</v>
      </c>
      <c r="BV276" t="s">
        <v>530</v>
      </c>
    </row>
    <row r="277" spans="1:74" s="1" customFormat="1" hidden="1" x14ac:dyDescent="0.2">
      <c r="A277">
        <v>287</v>
      </c>
      <c r="B277">
        <v>57</v>
      </c>
      <c r="C277" t="s">
        <v>134</v>
      </c>
      <c r="D277"/>
      <c r="E277" t="s">
        <v>71</v>
      </c>
      <c r="F277">
        <v>2</v>
      </c>
      <c r="G277">
        <v>2000</v>
      </c>
      <c r="H277">
        <v>22</v>
      </c>
      <c r="I277" t="s">
        <v>64</v>
      </c>
      <c r="J277">
        <v>1</v>
      </c>
      <c r="K277" t="s">
        <v>683</v>
      </c>
      <c r="L277" t="s">
        <v>648</v>
      </c>
      <c r="M277">
        <v>7</v>
      </c>
      <c r="N277">
        <v>68</v>
      </c>
      <c r="O277" t="s">
        <v>532</v>
      </c>
      <c r="P277" t="s">
        <v>325</v>
      </c>
      <c r="Q277" t="s">
        <v>762</v>
      </c>
      <c r="R277" t="s">
        <v>718</v>
      </c>
      <c r="S277" t="s">
        <v>430</v>
      </c>
      <c r="T277" t="s">
        <v>487</v>
      </c>
      <c r="U277" t="s">
        <v>533</v>
      </c>
      <c r="V277" t="s">
        <v>331</v>
      </c>
      <c r="W277" t="s">
        <v>195</v>
      </c>
      <c r="X277" t="s">
        <v>196</v>
      </c>
      <c r="Y277" t="s">
        <v>274</v>
      </c>
      <c r="Z277">
        <v>7</v>
      </c>
      <c r="AA277">
        <v>1</v>
      </c>
      <c r="AB277">
        <v>6</v>
      </c>
      <c r="AC277">
        <v>1</v>
      </c>
      <c r="AD277">
        <v>1</v>
      </c>
      <c r="AE277">
        <v>4</v>
      </c>
      <c r="AF277">
        <v>1</v>
      </c>
      <c r="AG277">
        <v>3</v>
      </c>
      <c r="AH277">
        <v>1</v>
      </c>
      <c r="AI277">
        <v>5</v>
      </c>
      <c r="AJ277">
        <v>3</v>
      </c>
      <c r="AK277">
        <v>5</v>
      </c>
      <c r="AL277">
        <v>1</v>
      </c>
      <c r="AM277">
        <v>5</v>
      </c>
      <c r="AN277">
        <v>71</v>
      </c>
      <c r="AO277">
        <v>5</v>
      </c>
      <c r="AP277">
        <v>5</v>
      </c>
      <c r="AQ277">
        <v>2</v>
      </c>
      <c r="AR277">
        <v>1</v>
      </c>
      <c r="AS277">
        <v>5</v>
      </c>
      <c r="AT277">
        <v>1</v>
      </c>
      <c r="AU277">
        <v>5</v>
      </c>
      <c r="AV277">
        <v>7</v>
      </c>
      <c r="AW277">
        <v>2</v>
      </c>
      <c r="AX277">
        <v>2</v>
      </c>
      <c r="AY277" cm="1">
        <f t="array" ref="AY277">_xlfn.IFS(AZ277="Positive",1, AZ277="Negative",1, AZ277="Neutral",0)</f>
        <v>1</v>
      </c>
      <c r="AZ277" t="s">
        <v>196</v>
      </c>
      <c r="BA277">
        <v>10</v>
      </c>
      <c r="BB277">
        <v>1</v>
      </c>
      <c r="BC277" s="3">
        <v>5</v>
      </c>
      <c r="BD277" s="3">
        <v>2</v>
      </c>
      <c r="BE277" s="3">
        <v>1</v>
      </c>
      <c r="BF277" s="3">
        <v>1</v>
      </c>
      <c r="BG277" s="3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1</v>
      </c>
      <c r="BR277">
        <v>0</v>
      </c>
      <c r="BS277" t="s">
        <v>323</v>
      </c>
      <c r="BT277" t="s">
        <v>323</v>
      </c>
      <c r="BU277" t="s">
        <v>479</v>
      </c>
      <c r="BV277" t="s">
        <v>327</v>
      </c>
    </row>
    <row r="278" spans="1:74" s="1" customFormat="1" hidden="1" x14ac:dyDescent="0.2">
      <c r="A278">
        <v>288</v>
      </c>
      <c r="B278">
        <v>58</v>
      </c>
      <c r="C278" t="s">
        <v>135</v>
      </c>
      <c r="D278"/>
      <c r="E278" t="s">
        <v>97</v>
      </c>
      <c r="F278">
        <v>27</v>
      </c>
      <c r="G278">
        <v>2001</v>
      </c>
      <c r="H278">
        <v>21</v>
      </c>
      <c r="I278" t="s">
        <v>64</v>
      </c>
      <c r="J278">
        <v>1</v>
      </c>
      <c r="K278" t="s">
        <v>679</v>
      </c>
      <c r="L278" t="s">
        <v>668</v>
      </c>
      <c r="M278">
        <v>7</v>
      </c>
      <c r="N278">
        <v>56</v>
      </c>
      <c r="O278" t="s">
        <v>408</v>
      </c>
      <c r="P278" t="s">
        <v>277</v>
      </c>
      <c r="Q278" t="s">
        <v>763</v>
      </c>
      <c r="R278" t="s">
        <v>742</v>
      </c>
      <c r="S278" t="s">
        <v>430</v>
      </c>
      <c r="T278" t="s">
        <v>423</v>
      </c>
      <c r="U278" t="s">
        <v>412</v>
      </c>
      <c r="V278" t="s">
        <v>535</v>
      </c>
      <c r="W278" t="s">
        <v>195</v>
      </c>
      <c r="X278" t="s">
        <v>196</v>
      </c>
      <c r="Y278" t="s">
        <v>274</v>
      </c>
      <c r="Z278">
        <v>7</v>
      </c>
      <c r="AA278">
        <v>3</v>
      </c>
      <c r="AB278">
        <v>7</v>
      </c>
      <c r="AC278">
        <v>6</v>
      </c>
      <c r="AD278">
        <v>1</v>
      </c>
      <c r="AE278">
        <v>6</v>
      </c>
      <c r="AF278">
        <v>6</v>
      </c>
      <c r="AG278">
        <v>1</v>
      </c>
      <c r="AH278">
        <v>2</v>
      </c>
      <c r="AI278">
        <v>7</v>
      </c>
      <c r="AJ278">
        <v>2</v>
      </c>
      <c r="AK278">
        <v>5</v>
      </c>
      <c r="AL278">
        <v>3</v>
      </c>
      <c r="AM278">
        <v>1</v>
      </c>
      <c r="AN278">
        <v>240</v>
      </c>
      <c r="AO278">
        <v>6</v>
      </c>
      <c r="AP278">
        <v>1</v>
      </c>
      <c r="AQ278">
        <v>6</v>
      </c>
      <c r="AR278">
        <v>7</v>
      </c>
      <c r="AS278">
        <v>6</v>
      </c>
      <c r="AT278">
        <v>6</v>
      </c>
      <c r="AU278">
        <v>6</v>
      </c>
      <c r="AV278">
        <v>7</v>
      </c>
      <c r="AW278">
        <v>7</v>
      </c>
      <c r="AX278">
        <v>1</v>
      </c>
      <c r="AY278" cm="1">
        <f t="array" ref="AY278">_xlfn.IFS(AZ278="Positive",1, AZ278="Negative",1, AZ278="Neutral",0)</f>
        <v>1</v>
      </c>
      <c r="AZ278" t="s">
        <v>196</v>
      </c>
      <c r="BA278">
        <v>19</v>
      </c>
      <c r="BB278">
        <v>0</v>
      </c>
      <c r="BC278" s="3">
        <v>12</v>
      </c>
      <c r="BD278" s="3">
        <v>0</v>
      </c>
      <c r="BE278" s="3">
        <v>0</v>
      </c>
      <c r="BF278" s="3">
        <v>5</v>
      </c>
      <c r="BG278" s="3">
        <v>2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 t="s">
        <v>475</v>
      </c>
      <c r="BT278" t="s">
        <v>323</v>
      </c>
      <c r="BU278" t="s">
        <v>534</v>
      </c>
      <c r="BV278" t="s">
        <v>327</v>
      </c>
    </row>
    <row r="279" spans="1:74" s="1" customFormat="1" x14ac:dyDescent="0.2">
      <c r="A279">
        <v>289</v>
      </c>
      <c r="B279">
        <v>59</v>
      </c>
      <c r="C279" t="s">
        <v>136</v>
      </c>
      <c r="D279"/>
      <c r="E279" t="s">
        <v>76</v>
      </c>
      <c r="F279">
        <v>1</v>
      </c>
      <c r="G279">
        <v>2000</v>
      </c>
      <c r="H279">
        <v>22</v>
      </c>
      <c r="I279" t="s">
        <v>64</v>
      </c>
      <c r="J279">
        <v>1</v>
      </c>
      <c r="K279" t="s">
        <v>639</v>
      </c>
      <c r="L279" t="s">
        <v>666</v>
      </c>
      <c r="M279">
        <v>7</v>
      </c>
      <c r="N279">
        <v>50</v>
      </c>
      <c r="O279" t="s">
        <v>315</v>
      </c>
      <c r="P279" t="s">
        <v>460</v>
      </c>
      <c r="Q279" t="s">
        <v>708</v>
      </c>
      <c r="R279" t="s">
        <v>740</v>
      </c>
      <c r="S279" t="s">
        <v>430</v>
      </c>
      <c r="T279" t="s">
        <v>538</v>
      </c>
      <c r="U279" t="s">
        <v>474</v>
      </c>
      <c r="V279" t="s">
        <v>462</v>
      </c>
      <c r="W279" t="s">
        <v>195</v>
      </c>
      <c r="X279" t="s">
        <v>196</v>
      </c>
      <c r="Y279" t="s">
        <v>274</v>
      </c>
      <c r="Z279">
        <v>7</v>
      </c>
      <c r="AA279">
        <v>5</v>
      </c>
      <c r="AB279">
        <v>5</v>
      </c>
      <c r="AC279">
        <v>5</v>
      </c>
      <c r="AD279">
        <v>7</v>
      </c>
      <c r="AE279">
        <v>6</v>
      </c>
      <c r="AF279">
        <v>5</v>
      </c>
      <c r="AG279">
        <v>1</v>
      </c>
      <c r="AH279">
        <v>5</v>
      </c>
      <c r="AI279">
        <v>7</v>
      </c>
      <c r="AJ279">
        <v>1</v>
      </c>
      <c r="AK279">
        <v>5</v>
      </c>
      <c r="AL279">
        <v>5</v>
      </c>
      <c r="AM279">
        <v>4</v>
      </c>
      <c r="AN279">
        <v>14</v>
      </c>
      <c r="AO279">
        <v>4</v>
      </c>
      <c r="AP279">
        <v>1</v>
      </c>
      <c r="AQ279">
        <v>2</v>
      </c>
      <c r="AR279">
        <v>4</v>
      </c>
      <c r="AS279">
        <v>4</v>
      </c>
      <c r="AT279">
        <v>4</v>
      </c>
      <c r="AU279">
        <v>4</v>
      </c>
      <c r="AV279">
        <v>4</v>
      </c>
      <c r="AW279">
        <v>4</v>
      </c>
      <c r="AX279">
        <v>1</v>
      </c>
      <c r="AY279" cm="1">
        <f t="array" ref="AY279">_xlfn.IFS(AZ279="Positive",1, AZ279="Negative",1, AZ279="Neutral",0)</f>
        <v>1</v>
      </c>
      <c r="AZ279" t="s">
        <v>196</v>
      </c>
      <c r="BA279">
        <v>0</v>
      </c>
      <c r="BB279">
        <v>5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>
        <v>0</v>
      </c>
      <c r="BI279">
        <v>0</v>
      </c>
      <c r="BJ279">
        <v>1</v>
      </c>
      <c r="BK279">
        <v>2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1</v>
      </c>
      <c r="BS279" t="s">
        <v>536</v>
      </c>
      <c r="BT279" t="s">
        <v>475</v>
      </c>
      <c r="BU279" t="s">
        <v>537</v>
      </c>
      <c r="BV279" t="s">
        <v>476</v>
      </c>
    </row>
    <row r="280" spans="1:74" s="1" customFormat="1" hidden="1" x14ac:dyDescent="0.2">
      <c r="A280">
        <v>290</v>
      </c>
      <c r="B280">
        <v>60</v>
      </c>
      <c r="C280" t="s">
        <v>137</v>
      </c>
      <c r="D280"/>
      <c r="E280" t="s">
        <v>93</v>
      </c>
      <c r="F280">
        <v>28</v>
      </c>
      <c r="G280">
        <v>2000</v>
      </c>
      <c r="H280">
        <v>22</v>
      </c>
      <c r="I280" t="s">
        <v>64</v>
      </c>
      <c r="J280">
        <v>1</v>
      </c>
      <c r="K280" t="s">
        <v>517</v>
      </c>
      <c r="L280" t="s">
        <v>684</v>
      </c>
      <c r="M280">
        <v>12</v>
      </c>
      <c r="N280">
        <v>64</v>
      </c>
      <c r="O280" t="s">
        <v>513</v>
      </c>
      <c r="P280" t="s">
        <v>539</v>
      </c>
      <c r="Q280" t="s">
        <v>744</v>
      </c>
      <c r="R280" t="s">
        <v>764</v>
      </c>
      <c r="S280" t="s">
        <v>499</v>
      </c>
      <c r="T280" t="s">
        <v>540</v>
      </c>
      <c r="U280" t="s">
        <v>515</v>
      </c>
      <c r="V280" t="s">
        <v>541</v>
      </c>
      <c r="W280" t="s">
        <v>195</v>
      </c>
      <c r="X280" t="s">
        <v>196</v>
      </c>
      <c r="Y280" t="s">
        <v>274</v>
      </c>
      <c r="Z280">
        <v>7</v>
      </c>
      <c r="AA280">
        <v>4</v>
      </c>
      <c r="AB280">
        <v>7</v>
      </c>
      <c r="AC280">
        <v>3</v>
      </c>
      <c r="AD280">
        <v>3</v>
      </c>
      <c r="AE280">
        <v>7</v>
      </c>
      <c r="AF280">
        <v>3</v>
      </c>
      <c r="AG280">
        <v>1</v>
      </c>
      <c r="AH280">
        <v>5</v>
      </c>
      <c r="AI280">
        <v>7</v>
      </c>
      <c r="AJ280">
        <v>1</v>
      </c>
      <c r="AK280">
        <v>5</v>
      </c>
      <c r="AL280">
        <v>6</v>
      </c>
      <c r="AM280">
        <v>2</v>
      </c>
      <c r="AN280">
        <v>183</v>
      </c>
      <c r="AO280">
        <v>4</v>
      </c>
      <c r="AP280">
        <v>1</v>
      </c>
      <c r="AQ280">
        <v>2</v>
      </c>
      <c r="AR280">
        <v>4</v>
      </c>
      <c r="AS280">
        <v>6</v>
      </c>
      <c r="AT280">
        <v>6</v>
      </c>
      <c r="AU280">
        <v>6</v>
      </c>
      <c r="AV280">
        <v>4</v>
      </c>
      <c r="AW280">
        <v>3</v>
      </c>
      <c r="AX280">
        <v>1</v>
      </c>
      <c r="AY280" cm="1">
        <f t="array" ref="AY280">_xlfn.IFS(AZ280="Positive",1, AZ280="Negative",1, AZ280="Neutral",0)</f>
        <v>1</v>
      </c>
      <c r="AZ280" t="s">
        <v>196</v>
      </c>
      <c r="BA280">
        <v>11</v>
      </c>
      <c r="BB280">
        <v>4</v>
      </c>
      <c r="BC280" s="3">
        <v>4</v>
      </c>
      <c r="BD280" s="3">
        <v>0</v>
      </c>
      <c r="BE280" s="3">
        <v>3</v>
      </c>
      <c r="BF280" s="3">
        <v>2</v>
      </c>
      <c r="BG280" s="3">
        <v>2</v>
      </c>
      <c r="BH280">
        <v>0</v>
      </c>
      <c r="BI280">
        <v>0</v>
      </c>
      <c r="BJ280">
        <v>3</v>
      </c>
      <c r="BK280">
        <v>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 t="s">
        <v>463</v>
      </c>
      <c r="BT280" t="s">
        <v>286</v>
      </c>
      <c r="BU280" t="s">
        <v>465</v>
      </c>
      <c r="BV280" t="s">
        <v>290</v>
      </c>
    </row>
    <row r="281" spans="1:74" s="1" customFormat="1" hidden="1" x14ac:dyDescent="0.2">
      <c r="A281">
        <v>291</v>
      </c>
      <c r="B281">
        <v>61</v>
      </c>
      <c r="C281" t="s">
        <v>138</v>
      </c>
      <c r="D281"/>
      <c r="E281" t="s">
        <v>88</v>
      </c>
      <c r="F281">
        <v>20</v>
      </c>
      <c r="G281">
        <v>1998</v>
      </c>
      <c r="H281">
        <v>24</v>
      </c>
      <c r="I281" t="s">
        <v>69</v>
      </c>
      <c r="J281">
        <v>2</v>
      </c>
      <c r="K281" t="s">
        <v>651</v>
      </c>
      <c r="L281" t="s">
        <v>653</v>
      </c>
      <c r="M281">
        <v>8</v>
      </c>
      <c r="N281">
        <v>54</v>
      </c>
      <c r="O281" t="s">
        <v>360</v>
      </c>
      <c r="P281" t="s">
        <v>542</v>
      </c>
      <c r="Q281" t="s">
        <v>721</v>
      </c>
      <c r="R281" t="s">
        <v>724</v>
      </c>
      <c r="S281" t="s">
        <v>291</v>
      </c>
      <c r="T281" t="s">
        <v>455</v>
      </c>
      <c r="U281" t="s">
        <v>365</v>
      </c>
      <c r="V281" t="s">
        <v>543</v>
      </c>
      <c r="W281" t="s">
        <v>195</v>
      </c>
      <c r="X281" t="s">
        <v>196</v>
      </c>
      <c r="Y281" t="s">
        <v>274</v>
      </c>
      <c r="Z281">
        <v>7</v>
      </c>
      <c r="AA281">
        <v>5</v>
      </c>
      <c r="AB281">
        <v>7</v>
      </c>
      <c r="AC281">
        <v>1</v>
      </c>
      <c r="AD281">
        <v>2</v>
      </c>
      <c r="AE281">
        <v>1</v>
      </c>
      <c r="AF281">
        <v>1</v>
      </c>
      <c r="AG281">
        <v>5</v>
      </c>
      <c r="AH281">
        <v>5</v>
      </c>
      <c r="AI281">
        <v>6</v>
      </c>
      <c r="AJ281">
        <v>1</v>
      </c>
      <c r="AK281">
        <v>4</v>
      </c>
      <c r="AL281">
        <v>2</v>
      </c>
      <c r="AM281">
        <v>1</v>
      </c>
      <c r="AN281">
        <v>204</v>
      </c>
      <c r="AO281">
        <v>1</v>
      </c>
      <c r="AP281">
        <v>2</v>
      </c>
      <c r="AQ281">
        <v>3</v>
      </c>
      <c r="AR281">
        <v>2</v>
      </c>
      <c r="AS281">
        <v>5</v>
      </c>
      <c r="AT281">
        <v>5</v>
      </c>
      <c r="AU281">
        <v>6</v>
      </c>
      <c r="AV281">
        <v>6</v>
      </c>
      <c r="AW281">
        <v>7</v>
      </c>
      <c r="AX281">
        <v>1</v>
      </c>
      <c r="AY281" cm="1">
        <f t="array" ref="AY281">_xlfn.IFS(AZ281="Positive",1, AZ281="Negative",1, AZ281="Neutral",0)</f>
        <v>1</v>
      </c>
      <c r="AZ281" t="s">
        <v>196</v>
      </c>
      <c r="BA281">
        <v>7</v>
      </c>
      <c r="BB281">
        <v>4</v>
      </c>
      <c r="BC281" s="3">
        <v>6</v>
      </c>
      <c r="BD281" s="3">
        <v>0</v>
      </c>
      <c r="BE281" s="3">
        <v>1</v>
      </c>
      <c r="BF281" s="3">
        <v>0</v>
      </c>
      <c r="BG281" s="3">
        <v>0</v>
      </c>
      <c r="BH281">
        <v>0</v>
      </c>
      <c r="BI281">
        <v>0</v>
      </c>
      <c r="BJ281">
        <v>2</v>
      </c>
      <c r="BK281">
        <v>2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 t="s">
        <v>510</v>
      </c>
      <c r="BT281" t="s">
        <v>480</v>
      </c>
      <c r="BU281" t="s">
        <v>511</v>
      </c>
      <c r="BV281" t="s">
        <v>482</v>
      </c>
    </row>
    <row r="282" spans="1:74" s="1" customFormat="1" x14ac:dyDescent="0.2">
      <c r="A282">
        <v>292</v>
      </c>
      <c r="B282">
        <v>62</v>
      </c>
      <c r="C282" t="s">
        <v>139</v>
      </c>
      <c r="D282"/>
      <c r="E282" t="s">
        <v>80</v>
      </c>
      <c r="F282">
        <v>19</v>
      </c>
      <c r="G282">
        <v>1999</v>
      </c>
      <c r="H282">
        <v>23</v>
      </c>
      <c r="I282" t="s">
        <v>64</v>
      </c>
      <c r="J282">
        <v>1</v>
      </c>
      <c r="K282" t="s">
        <v>652</v>
      </c>
      <c r="L282" t="s">
        <v>677</v>
      </c>
      <c r="M282">
        <v>15</v>
      </c>
      <c r="N282">
        <v>56</v>
      </c>
      <c r="O282" t="s">
        <v>369</v>
      </c>
      <c r="P282" t="s">
        <v>456</v>
      </c>
      <c r="Q282" t="s">
        <v>753</v>
      </c>
      <c r="R282" t="s">
        <v>756</v>
      </c>
      <c r="S282" t="s">
        <v>363</v>
      </c>
      <c r="T282" t="s">
        <v>423</v>
      </c>
      <c r="U282" t="s">
        <v>544</v>
      </c>
      <c r="V282" t="s">
        <v>458</v>
      </c>
      <c r="W282" t="s">
        <v>195</v>
      </c>
      <c r="X282" t="s">
        <v>196</v>
      </c>
      <c r="Y282" t="s">
        <v>274</v>
      </c>
      <c r="Z282">
        <v>7</v>
      </c>
      <c r="AA282">
        <v>6</v>
      </c>
      <c r="AB282">
        <v>7</v>
      </c>
      <c r="AC282">
        <v>7</v>
      </c>
      <c r="AD282">
        <v>3</v>
      </c>
      <c r="AE282">
        <v>7</v>
      </c>
      <c r="AF282">
        <v>4</v>
      </c>
      <c r="AG282">
        <v>1</v>
      </c>
      <c r="AH282">
        <v>6</v>
      </c>
      <c r="AI282">
        <v>7</v>
      </c>
      <c r="AJ282">
        <v>1</v>
      </c>
      <c r="AK282">
        <v>7</v>
      </c>
      <c r="AL282">
        <v>7</v>
      </c>
      <c r="AM282">
        <v>7</v>
      </c>
      <c r="AN282">
        <v>14</v>
      </c>
      <c r="AO282">
        <v>1</v>
      </c>
      <c r="AP282">
        <v>1</v>
      </c>
      <c r="AQ282">
        <v>7</v>
      </c>
      <c r="AR282">
        <v>7</v>
      </c>
      <c r="AS282">
        <v>7</v>
      </c>
      <c r="AT282">
        <v>7</v>
      </c>
      <c r="AU282">
        <v>6</v>
      </c>
      <c r="AV282">
        <v>7</v>
      </c>
      <c r="AW282">
        <v>6</v>
      </c>
      <c r="AX282">
        <v>1</v>
      </c>
      <c r="AY282" cm="1">
        <f t="array" ref="AY282">_xlfn.IFS(AZ282="Positive",1, AZ282="Negative",1, AZ282="Neutral",0)</f>
        <v>1</v>
      </c>
      <c r="AZ282" t="s">
        <v>196</v>
      </c>
      <c r="BA282">
        <v>0</v>
      </c>
      <c r="BB282">
        <v>2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 t="s">
        <v>322</v>
      </c>
      <c r="BT282" t="s">
        <v>313</v>
      </c>
      <c r="BU282" t="s">
        <v>326</v>
      </c>
      <c r="BV282" t="s">
        <v>317</v>
      </c>
    </row>
    <row r="283" spans="1:74" s="1" customFormat="1" x14ac:dyDescent="0.2">
      <c r="A283">
        <v>293</v>
      </c>
      <c r="B283">
        <v>63</v>
      </c>
      <c r="C283" t="s">
        <v>140</v>
      </c>
      <c r="D283"/>
      <c r="E283" t="s">
        <v>97</v>
      </c>
      <c r="F283">
        <v>21</v>
      </c>
      <c r="G283">
        <v>1997</v>
      </c>
      <c r="H283">
        <v>25</v>
      </c>
      <c r="I283" t="s">
        <v>64</v>
      </c>
      <c r="J283">
        <v>1</v>
      </c>
      <c r="K283" t="s">
        <v>658</v>
      </c>
      <c r="L283" t="s">
        <v>634</v>
      </c>
      <c r="M283">
        <v>15</v>
      </c>
      <c r="N283">
        <v>60</v>
      </c>
      <c r="O283" t="s">
        <v>463</v>
      </c>
      <c r="P283" t="s">
        <v>545</v>
      </c>
      <c r="Q283" t="s">
        <v>729</v>
      </c>
      <c r="R283" t="s">
        <v>747</v>
      </c>
      <c r="S283" t="s">
        <v>363</v>
      </c>
      <c r="T283" t="s">
        <v>444</v>
      </c>
      <c r="U283" t="s">
        <v>546</v>
      </c>
      <c r="V283" t="s">
        <v>547</v>
      </c>
      <c r="W283" t="s">
        <v>195</v>
      </c>
      <c r="X283" t="s">
        <v>196</v>
      </c>
      <c r="Y283" t="s">
        <v>274</v>
      </c>
      <c r="Z283">
        <v>7</v>
      </c>
      <c r="AA283">
        <v>5</v>
      </c>
      <c r="AB283">
        <v>6</v>
      </c>
      <c r="AC283">
        <v>6</v>
      </c>
      <c r="AD283">
        <v>2</v>
      </c>
      <c r="AE283">
        <v>4</v>
      </c>
      <c r="AF283">
        <v>6</v>
      </c>
      <c r="AG283">
        <v>1</v>
      </c>
      <c r="AH283">
        <v>6</v>
      </c>
      <c r="AI283">
        <v>7</v>
      </c>
      <c r="AJ283">
        <v>1</v>
      </c>
      <c r="AK283">
        <v>6</v>
      </c>
      <c r="AL283">
        <v>6</v>
      </c>
      <c r="AM283">
        <v>2</v>
      </c>
      <c r="AN283">
        <v>180</v>
      </c>
      <c r="AO283">
        <v>6</v>
      </c>
      <c r="AP283">
        <v>2</v>
      </c>
      <c r="AQ283">
        <v>2</v>
      </c>
      <c r="AR283">
        <v>3</v>
      </c>
      <c r="AS283">
        <v>6</v>
      </c>
      <c r="AT283">
        <v>4</v>
      </c>
      <c r="AU283">
        <v>5</v>
      </c>
      <c r="AV283">
        <v>4</v>
      </c>
      <c r="AW283">
        <v>2</v>
      </c>
      <c r="AX283">
        <v>1</v>
      </c>
      <c r="AY283" cm="1">
        <f t="array" ref="AY283">_xlfn.IFS(AZ283="Positive",1, AZ283="Negative",1, AZ283="Neutral",0)</f>
        <v>1</v>
      </c>
      <c r="AZ283" t="s">
        <v>196</v>
      </c>
      <c r="BA283">
        <v>0</v>
      </c>
      <c r="BB283">
        <v>4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>
        <v>0</v>
      </c>
      <c r="BI283">
        <v>0</v>
      </c>
      <c r="BJ283">
        <v>0</v>
      </c>
      <c r="BK283">
        <v>2</v>
      </c>
      <c r="BL283">
        <v>2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 t="s">
        <v>322</v>
      </c>
      <c r="BT283" t="s">
        <v>399</v>
      </c>
      <c r="BU283" t="s">
        <v>326</v>
      </c>
      <c r="BV283" t="s">
        <v>447</v>
      </c>
    </row>
    <row r="284" spans="1:74" s="1" customFormat="1" hidden="1" x14ac:dyDescent="0.2">
      <c r="A284">
        <v>294</v>
      </c>
      <c r="B284">
        <v>64</v>
      </c>
      <c r="C284" t="s">
        <v>141</v>
      </c>
      <c r="D284"/>
      <c r="E284" t="s">
        <v>82</v>
      </c>
      <c r="F284">
        <v>5</v>
      </c>
      <c r="G284">
        <v>2000</v>
      </c>
      <c r="H284">
        <v>22</v>
      </c>
      <c r="I284" t="s">
        <v>64</v>
      </c>
      <c r="J284">
        <v>1</v>
      </c>
      <c r="K284" t="s">
        <v>678</v>
      </c>
      <c r="L284" t="s">
        <v>648</v>
      </c>
      <c r="M284">
        <v>14</v>
      </c>
      <c r="N284">
        <v>74</v>
      </c>
      <c r="O284" t="s">
        <v>542</v>
      </c>
      <c r="P284" t="s">
        <v>542</v>
      </c>
      <c r="Q284" t="s">
        <v>757</v>
      </c>
      <c r="R284" t="s">
        <v>718</v>
      </c>
      <c r="S284" t="s">
        <v>550</v>
      </c>
      <c r="T284" t="s">
        <v>551</v>
      </c>
      <c r="U284" t="s">
        <v>552</v>
      </c>
      <c r="V284" t="s">
        <v>543</v>
      </c>
      <c r="W284" t="s">
        <v>195</v>
      </c>
      <c r="X284" t="s">
        <v>196</v>
      </c>
      <c r="Y284" t="s">
        <v>274</v>
      </c>
      <c r="Z284">
        <v>7</v>
      </c>
      <c r="AA284">
        <v>5</v>
      </c>
      <c r="AB284">
        <v>6</v>
      </c>
      <c r="AC284">
        <v>6</v>
      </c>
      <c r="AD284">
        <v>5</v>
      </c>
      <c r="AE284">
        <v>4</v>
      </c>
      <c r="AF284">
        <v>5</v>
      </c>
      <c r="AG284">
        <v>4</v>
      </c>
      <c r="AH284">
        <v>5</v>
      </c>
      <c r="AI284">
        <v>6</v>
      </c>
      <c r="AJ284">
        <v>2</v>
      </c>
      <c r="AK284">
        <v>6</v>
      </c>
      <c r="AL284">
        <v>6</v>
      </c>
      <c r="AM284">
        <v>3</v>
      </c>
      <c r="AN284">
        <v>56</v>
      </c>
      <c r="AO284">
        <v>6</v>
      </c>
      <c r="AP284">
        <v>2</v>
      </c>
      <c r="AQ284">
        <v>2</v>
      </c>
      <c r="AR284">
        <v>5</v>
      </c>
      <c r="AS284">
        <v>6</v>
      </c>
      <c r="AT284">
        <v>5</v>
      </c>
      <c r="AU284">
        <v>5</v>
      </c>
      <c r="AV284">
        <v>4</v>
      </c>
      <c r="AW284">
        <v>5</v>
      </c>
      <c r="AX284">
        <v>1</v>
      </c>
      <c r="AY284" cm="1">
        <f t="array" ref="AY284">_xlfn.IFS(AZ284="Positive",1, AZ284="Negative",1, AZ284="Neutral",0)</f>
        <v>1</v>
      </c>
      <c r="AZ284" t="s">
        <v>196</v>
      </c>
      <c r="BA284">
        <v>9</v>
      </c>
      <c r="BB284">
        <v>2</v>
      </c>
      <c r="BC284" s="3">
        <v>5</v>
      </c>
      <c r="BD284" s="3">
        <v>2</v>
      </c>
      <c r="BE284" s="3">
        <v>2</v>
      </c>
      <c r="BF284" s="3">
        <v>0</v>
      </c>
      <c r="BG284" s="3">
        <v>0</v>
      </c>
      <c r="BH284">
        <v>0</v>
      </c>
      <c r="BI284">
        <v>0</v>
      </c>
      <c r="BJ284">
        <v>2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 t="s">
        <v>425</v>
      </c>
      <c r="BT284" t="s">
        <v>548</v>
      </c>
      <c r="BU284" t="s">
        <v>428</v>
      </c>
      <c r="BV284" t="s">
        <v>549</v>
      </c>
    </row>
    <row r="285" spans="1:74" s="1" customFormat="1" hidden="1" x14ac:dyDescent="0.2">
      <c r="A285">
        <v>295</v>
      </c>
      <c r="B285">
        <v>65</v>
      </c>
      <c r="C285" t="s">
        <v>142</v>
      </c>
      <c r="D285"/>
      <c r="E285" t="s">
        <v>93</v>
      </c>
      <c r="F285">
        <v>3</v>
      </c>
      <c r="G285">
        <v>1998</v>
      </c>
      <c r="H285">
        <v>24</v>
      </c>
      <c r="I285" t="s">
        <v>64</v>
      </c>
      <c r="J285">
        <v>1</v>
      </c>
      <c r="K285" t="s">
        <v>657</v>
      </c>
      <c r="L285" t="s">
        <v>660</v>
      </c>
      <c r="M285">
        <v>9</v>
      </c>
      <c r="N285">
        <v>79</v>
      </c>
      <c r="O285">
        <v>6</v>
      </c>
      <c r="P285" t="s">
        <v>554</v>
      </c>
      <c r="Q285" t="s">
        <v>727</v>
      </c>
      <c r="R285" t="s">
        <v>733</v>
      </c>
      <c r="S285" t="s">
        <v>349</v>
      </c>
      <c r="T285" t="s">
        <v>557</v>
      </c>
      <c r="U285" t="s">
        <v>436</v>
      </c>
      <c r="V285" t="s">
        <v>558</v>
      </c>
      <c r="W285" t="s">
        <v>195</v>
      </c>
      <c r="X285" t="s">
        <v>196</v>
      </c>
      <c r="Y285" t="s">
        <v>274</v>
      </c>
      <c r="Z285">
        <v>7</v>
      </c>
      <c r="AA285">
        <v>1</v>
      </c>
      <c r="AB285">
        <v>5</v>
      </c>
      <c r="AC285">
        <v>1</v>
      </c>
      <c r="AD285">
        <v>1</v>
      </c>
      <c r="AE285">
        <v>1</v>
      </c>
      <c r="AF285">
        <v>1</v>
      </c>
      <c r="AG285">
        <v>7</v>
      </c>
      <c r="AH285">
        <v>1</v>
      </c>
      <c r="AI285">
        <v>1</v>
      </c>
      <c r="AJ285">
        <v>3</v>
      </c>
      <c r="AK285">
        <v>1</v>
      </c>
      <c r="AL285">
        <v>1</v>
      </c>
      <c r="AM285">
        <v>1</v>
      </c>
      <c r="AN285">
        <v>228</v>
      </c>
      <c r="AO285">
        <v>7</v>
      </c>
      <c r="AP285">
        <v>4</v>
      </c>
      <c r="AQ285">
        <v>4</v>
      </c>
      <c r="AR285">
        <v>7</v>
      </c>
      <c r="AS285">
        <v>1</v>
      </c>
      <c r="AT285">
        <v>7</v>
      </c>
      <c r="AU285">
        <v>1</v>
      </c>
      <c r="AV285">
        <v>7</v>
      </c>
      <c r="AW285">
        <v>1</v>
      </c>
      <c r="AX285">
        <v>2</v>
      </c>
      <c r="AY285" cm="1">
        <f t="array" ref="AY285">_xlfn.IFS(AZ285="Positive",1, AZ285="Negative",1, AZ285="Neutral",0)</f>
        <v>1</v>
      </c>
      <c r="AZ285" t="s">
        <v>196</v>
      </c>
      <c r="BA285">
        <v>20</v>
      </c>
      <c r="BB285">
        <v>4</v>
      </c>
      <c r="BC285" s="3">
        <v>10</v>
      </c>
      <c r="BD285" s="3">
        <v>0</v>
      </c>
      <c r="BE285" s="3">
        <v>3</v>
      </c>
      <c r="BF285" s="3">
        <v>7</v>
      </c>
      <c r="BG285" s="3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4</v>
      </c>
      <c r="BS285" t="s">
        <v>553</v>
      </c>
      <c r="BT285" t="s">
        <v>536</v>
      </c>
      <c r="BU285" t="s">
        <v>555</v>
      </c>
      <c r="BV285" t="s">
        <v>556</v>
      </c>
    </row>
    <row r="286" spans="1:74" s="1" customFormat="1" hidden="1" x14ac:dyDescent="0.2">
      <c r="A286">
        <v>296</v>
      </c>
      <c r="B286">
        <v>66</v>
      </c>
      <c r="C286" t="s">
        <v>143</v>
      </c>
      <c r="D286"/>
      <c r="E286" t="s">
        <v>80</v>
      </c>
      <c r="F286">
        <v>13</v>
      </c>
      <c r="G286">
        <v>2002</v>
      </c>
      <c r="H286">
        <v>20</v>
      </c>
      <c r="I286" t="s">
        <v>69</v>
      </c>
      <c r="J286">
        <v>2</v>
      </c>
      <c r="K286" t="s">
        <v>644</v>
      </c>
      <c r="L286" t="s">
        <v>685</v>
      </c>
      <c r="M286">
        <v>14</v>
      </c>
      <c r="N286">
        <v>71</v>
      </c>
      <c r="O286" t="s">
        <v>389</v>
      </c>
      <c r="P286" t="s">
        <v>460</v>
      </c>
      <c r="Q286" t="s">
        <v>714</v>
      </c>
      <c r="R286" t="s">
        <v>765</v>
      </c>
      <c r="S286" t="s">
        <v>550</v>
      </c>
      <c r="T286" t="s">
        <v>329</v>
      </c>
      <c r="U286" t="s">
        <v>391</v>
      </c>
      <c r="V286" t="s">
        <v>462</v>
      </c>
      <c r="W286" t="s">
        <v>195</v>
      </c>
      <c r="X286" t="s">
        <v>196</v>
      </c>
      <c r="Y286" t="s">
        <v>274</v>
      </c>
      <c r="Z286">
        <v>7</v>
      </c>
      <c r="AA286">
        <v>4</v>
      </c>
      <c r="AB286">
        <v>5</v>
      </c>
      <c r="AC286">
        <v>4</v>
      </c>
      <c r="AD286">
        <v>3</v>
      </c>
      <c r="AE286">
        <v>5</v>
      </c>
      <c r="AF286">
        <v>4</v>
      </c>
      <c r="AG286">
        <v>5</v>
      </c>
      <c r="AH286">
        <v>3</v>
      </c>
      <c r="AI286">
        <v>4</v>
      </c>
      <c r="AJ286">
        <v>5</v>
      </c>
      <c r="AK286">
        <v>4</v>
      </c>
      <c r="AL286">
        <v>4</v>
      </c>
      <c r="AM286">
        <v>4</v>
      </c>
      <c r="AN286">
        <v>175</v>
      </c>
      <c r="AO286">
        <v>6</v>
      </c>
      <c r="AP286">
        <v>3</v>
      </c>
      <c r="AQ286">
        <v>6</v>
      </c>
      <c r="AR286">
        <v>5</v>
      </c>
      <c r="AS286">
        <v>5</v>
      </c>
      <c r="AT286">
        <v>3</v>
      </c>
      <c r="AU286">
        <v>5</v>
      </c>
      <c r="AV286">
        <v>2</v>
      </c>
      <c r="AW286">
        <v>5</v>
      </c>
      <c r="AX286">
        <v>2</v>
      </c>
      <c r="AY286" cm="1">
        <f t="array" ref="AY286">_xlfn.IFS(AZ286="Positive",1, AZ286="Negative",1, AZ286="Neutral",0)</f>
        <v>1</v>
      </c>
      <c r="AZ286" t="s">
        <v>196</v>
      </c>
      <c r="BA286">
        <v>7</v>
      </c>
      <c r="BB286">
        <v>3</v>
      </c>
      <c r="BC286" s="3">
        <v>5</v>
      </c>
      <c r="BD286" s="3">
        <v>0</v>
      </c>
      <c r="BE286" s="3">
        <v>2</v>
      </c>
      <c r="BF286" s="3">
        <v>0</v>
      </c>
      <c r="BG286" s="3">
        <v>0</v>
      </c>
      <c r="BH286">
        <v>0</v>
      </c>
      <c r="BI286">
        <v>0</v>
      </c>
      <c r="BJ286">
        <v>2</v>
      </c>
      <c r="BK286">
        <v>0</v>
      </c>
      <c r="BL286">
        <v>1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 t="s">
        <v>463</v>
      </c>
      <c r="BT286" t="s">
        <v>352</v>
      </c>
      <c r="BU286" t="s">
        <v>465</v>
      </c>
      <c r="BV286" t="s">
        <v>526</v>
      </c>
    </row>
    <row r="287" spans="1:74" s="1" customFormat="1" hidden="1" x14ac:dyDescent="0.2">
      <c r="A287">
        <v>297</v>
      </c>
      <c r="B287">
        <v>67</v>
      </c>
      <c r="C287" t="s">
        <v>144</v>
      </c>
      <c r="D287"/>
      <c r="E287" t="s">
        <v>82</v>
      </c>
      <c r="F287">
        <v>19</v>
      </c>
      <c r="G287">
        <v>2001</v>
      </c>
      <c r="H287">
        <v>21</v>
      </c>
      <c r="I287" t="s">
        <v>64</v>
      </c>
      <c r="J287">
        <v>1</v>
      </c>
      <c r="K287" t="s">
        <v>661</v>
      </c>
      <c r="L287" t="s">
        <v>647</v>
      </c>
      <c r="M287">
        <v>5</v>
      </c>
      <c r="N287">
        <v>58</v>
      </c>
      <c r="O287" t="s">
        <v>287</v>
      </c>
      <c r="P287" t="s">
        <v>315</v>
      </c>
      <c r="Q287" t="s">
        <v>734</v>
      </c>
      <c r="R287" t="s">
        <v>717</v>
      </c>
      <c r="S287" t="s">
        <v>318</v>
      </c>
      <c r="T287" t="s">
        <v>364</v>
      </c>
      <c r="U287" t="s">
        <v>293</v>
      </c>
      <c r="V287" t="s">
        <v>321</v>
      </c>
      <c r="W287" t="s">
        <v>195</v>
      </c>
      <c r="X287" t="s">
        <v>196</v>
      </c>
      <c r="Y287" t="s">
        <v>274</v>
      </c>
      <c r="Z287">
        <v>7</v>
      </c>
      <c r="AA287">
        <v>4</v>
      </c>
      <c r="AB287">
        <v>7</v>
      </c>
      <c r="AC287">
        <v>7</v>
      </c>
      <c r="AD287">
        <v>3</v>
      </c>
      <c r="AE287">
        <v>6</v>
      </c>
      <c r="AF287">
        <v>2</v>
      </c>
      <c r="AG287">
        <v>5</v>
      </c>
      <c r="AH287">
        <v>5</v>
      </c>
      <c r="AI287">
        <v>6</v>
      </c>
      <c r="AJ287">
        <v>5</v>
      </c>
      <c r="AK287">
        <v>4</v>
      </c>
      <c r="AL287">
        <v>4</v>
      </c>
      <c r="AM287">
        <v>5</v>
      </c>
      <c r="AN287">
        <v>7</v>
      </c>
      <c r="AO287">
        <v>4</v>
      </c>
      <c r="AP287">
        <v>3</v>
      </c>
      <c r="AQ287">
        <v>3</v>
      </c>
      <c r="AR287">
        <v>4</v>
      </c>
      <c r="AS287">
        <v>5</v>
      </c>
      <c r="AT287">
        <v>5</v>
      </c>
      <c r="AU287">
        <v>4</v>
      </c>
      <c r="AV287">
        <v>5</v>
      </c>
      <c r="AW287">
        <v>6</v>
      </c>
      <c r="AX287">
        <v>2</v>
      </c>
      <c r="AY287" cm="1">
        <f t="array" ref="AY287">_xlfn.IFS(AZ287="Positive",1, AZ287="Negative",1, AZ287="Neutral",0)</f>
        <v>1</v>
      </c>
      <c r="AZ287" t="s">
        <v>196</v>
      </c>
      <c r="BA287">
        <v>17</v>
      </c>
      <c r="BB287">
        <v>3</v>
      </c>
      <c r="BC287" s="3">
        <v>10</v>
      </c>
      <c r="BD287" s="3">
        <v>2</v>
      </c>
      <c r="BE287" s="3">
        <v>2</v>
      </c>
      <c r="BF287" s="3">
        <v>2</v>
      </c>
      <c r="BG287" s="3">
        <v>1</v>
      </c>
      <c r="BH287">
        <v>0</v>
      </c>
      <c r="BI287">
        <v>0</v>
      </c>
      <c r="BJ287">
        <v>1</v>
      </c>
      <c r="BK287">
        <v>1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4</v>
      </c>
      <c r="BT287" t="s">
        <v>275</v>
      </c>
      <c r="BU287" t="s">
        <v>370</v>
      </c>
      <c r="BV287" t="s">
        <v>334</v>
      </c>
    </row>
    <row r="288" spans="1:74" s="1" customFormat="1" hidden="1" x14ac:dyDescent="0.2">
      <c r="A288">
        <v>298</v>
      </c>
      <c r="B288">
        <v>68</v>
      </c>
      <c r="C288" t="s">
        <v>145</v>
      </c>
      <c r="D288"/>
      <c r="E288" t="s">
        <v>68</v>
      </c>
      <c r="F288">
        <v>26</v>
      </c>
      <c r="G288">
        <v>1998</v>
      </c>
      <c r="H288">
        <v>24</v>
      </c>
      <c r="I288" t="s">
        <v>64</v>
      </c>
      <c r="J288">
        <v>1</v>
      </c>
      <c r="K288" t="s">
        <v>676</v>
      </c>
      <c r="L288" t="s">
        <v>686</v>
      </c>
      <c r="M288">
        <v>7</v>
      </c>
      <c r="N288">
        <v>67</v>
      </c>
      <c r="O288" t="s">
        <v>438</v>
      </c>
      <c r="P288" t="s">
        <v>353</v>
      </c>
      <c r="Q288" t="s">
        <v>755</v>
      </c>
      <c r="R288" t="s">
        <v>766</v>
      </c>
      <c r="S288" t="s">
        <v>430</v>
      </c>
      <c r="T288" t="s">
        <v>431</v>
      </c>
      <c r="U288" t="s">
        <v>561</v>
      </c>
      <c r="V288" t="s">
        <v>437</v>
      </c>
      <c r="W288" t="s">
        <v>195</v>
      </c>
      <c r="X288" t="s">
        <v>196</v>
      </c>
      <c r="Y288" t="s">
        <v>274</v>
      </c>
      <c r="Z288">
        <v>7</v>
      </c>
      <c r="AA288">
        <v>5</v>
      </c>
      <c r="AB288">
        <v>7</v>
      </c>
      <c r="AC288">
        <v>7</v>
      </c>
      <c r="AD288">
        <v>3</v>
      </c>
      <c r="AE288">
        <v>7</v>
      </c>
      <c r="AF288">
        <v>2</v>
      </c>
      <c r="AG288">
        <v>1</v>
      </c>
      <c r="AH288">
        <v>7</v>
      </c>
      <c r="AI288">
        <v>7</v>
      </c>
      <c r="AJ288">
        <v>1</v>
      </c>
      <c r="AK288">
        <v>7</v>
      </c>
      <c r="AL288">
        <v>7</v>
      </c>
      <c r="AM288">
        <v>5</v>
      </c>
      <c r="AN288">
        <v>8</v>
      </c>
      <c r="AO288">
        <v>2</v>
      </c>
      <c r="AP288">
        <v>1</v>
      </c>
      <c r="AQ288">
        <v>7</v>
      </c>
      <c r="AR288">
        <v>7</v>
      </c>
      <c r="AS288">
        <v>7</v>
      </c>
      <c r="AT288">
        <v>7</v>
      </c>
      <c r="AU288">
        <v>7</v>
      </c>
      <c r="AV288">
        <v>7</v>
      </c>
      <c r="AW288">
        <v>7</v>
      </c>
      <c r="AX288">
        <v>1</v>
      </c>
      <c r="AY288" cm="1">
        <f t="array" ref="AY288">_xlfn.IFS(AZ288="Positive",1, AZ288="Negative",1, AZ288="Neutral",0)</f>
        <v>1</v>
      </c>
      <c r="AZ288" t="s">
        <v>196</v>
      </c>
      <c r="BA288">
        <v>10</v>
      </c>
      <c r="BB288">
        <v>0</v>
      </c>
      <c r="BC288" s="3">
        <v>8</v>
      </c>
      <c r="BD288" s="3">
        <v>0</v>
      </c>
      <c r="BE288" s="3">
        <v>0</v>
      </c>
      <c r="BF288" s="3">
        <v>1</v>
      </c>
      <c r="BG288" s="3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 t="s">
        <v>305</v>
      </c>
      <c r="BT288" t="s">
        <v>559</v>
      </c>
      <c r="BU288" t="s">
        <v>308</v>
      </c>
      <c r="BV288" t="s">
        <v>560</v>
      </c>
    </row>
    <row r="289" spans="1:74" s="1" customFormat="1" hidden="1" x14ac:dyDescent="0.2">
      <c r="A289">
        <v>299</v>
      </c>
      <c r="B289">
        <v>69</v>
      </c>
      <c r="C289" t="s">
        <v>146</v>
      </c>
      <c r="D289"/>
      <c r="E289" t="s">
        <v>97</v>
      </c>
      <c r="F289">
        <v>16</v>
      </c>
      <c r="G289">
        <v>2000</v>
      </c>
      <c r="H289">
        <v>22</v>
      </c>
      <c r="I289" t="s">
        <v>69</v>
      </c>
      <c r="J289">
        <v>2</v>
      </c>
      <c r="K289" t="s">
        <v>687</v>
      </c>
      <c r="L289" t="s">
        <v>688</v>
      </c>
      <c r="M289">
        <v>13</v>
      </c>
      <c r="N289">
        <v>66</v>
      </c>
      <c r="O289">
        <v>5</v>
      </c>
      <c r="P289" t="s">
        <v>562</v>
      </c>
      <c r="Q289" t="s">
        <v>767</v>
      </c>
      <c r="R289" t="s">
        <v>768</v>
      </c>
      <c r="S289" t="s">
        <v>328</v>
      </c>
      <c r="T289" t="s">
        <v>282</v>
      </c>
      <c r="U289" t="s">
        <v>563</v>
      </c>
      <c r="V289" t="s">
        <v>564</v>
      </c>
      <c r="W289" t="s">
        <v>195</v>
      </c>
      <c r="X289" t="s">
        <v>196</v>
      </c>
      <c r="Y289" t="s">
        <v>274</v>
      </c>
      <c r="Z289">
        <v>7</v>
      </c>
      <c r="AA289">
        <v>7</v>
      </c>
      <c r="AB289">
        <v>7</v>
      </c>
      <c r="AC289">
        <v>7</v>
      </c>
      <c r="AD289">
        <v>7</v>
      </c>
      <c r="AE289">
        <v>7</v>
      </c>
      <c r="AF289">
        <v>1</v>
      </c>
      <c r="AG289">
        <v>1</v>
      </c>
      <c r="AH289">
        <v>7</v>
      </c>
      <c r="AI289">
        <v>5</v>
      </c>
      <c r="AJ289">
        <v>1</v>
      </c>
      <c r="AK289">
        <v>6</v>
      </c>
      <c r="AL289">
        <v>2</v>
      </c>
      <c r="AM289">
        <v>1</v>
      </c>
      <c r="AN289">
        <v>6</v>
      </c>
      <c r="AO289">
        <v>1</v>
      </c>
      <c r="AP289">
        <v>1</v>
      </c>
      <c r="AQ289">
        <v>1</v>
      </c>
      <c r="AR289">
        <v>7</v>
      </c>
      <c r="AS289">
        <v>7</v>
      </c>
      <c r="AT289">
        <v>7</v>
      </c>
      <c r="AU289">
        <v>7</v>
      </c>
      <c r="AV289">
        <v>7</v>
      </c>
      <c r="AW289">
        <v>7</v>
      </c>
      <c r="AX289">
        <v>1</v>
      </c>
      <c r="AY289" cm="1">
        <f t="array" ref="AY289">_xlfn.IFS(AZ289="Positive",1, AZ289="Negative",1, AZ289="Neutral",0)</f>
        <v>1</v>
      </c>
      <c r="AZ289" t="s">
        <v>196</v>
      </c>
      <c r="BA289">
        <v>9</v>
      </c>
      <c r="BB289">
        <v>2</v>
      </c>
      <c r="BC289" s="3">
        <v>2</v>
      </c>
      <c r="BD289" s="3">
        <v>1</v>
      </c>
      <c r="BE289" s="3">
        <v>2</v>
      </c>
      <c r="BF289" s="3">
        <v>3</v>
      </c>
      <c r="BG289" s="3">
        <v>1</v>
      </c>
      <c r="BH289">
        <v>0</v>
      </c>
      <c r="BI289">
        <v>0</v>
      </c>
      <c r="BJ289">
        <v>2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 t="s">
        <v>313</v>
      </c>
      <c r="BT289" t="s">
        <v>295</v>
      </c>
      <c r="BU289" t="s">
        <v>316</v>
      </c>
      <c r="BV289" t="s">
        <v>473</v>
      </c>
    </row>
    <row r="290" spans="1:74" s="1" customFormat="1" hidden="1" x14ac:dyDescent="0.2">
      <c r="A290">
        <v>300</v>
      </c>
      <c r="B290">
        <v>70</v>
      </c>
      <c r="C290" t="s">
        <v>147</v>
      </c>
      <c r="D290"/>
      <c r="E290" t="s">
        <v>85</v>
      </c>
      <c r="F290">
        <v>28</v>
      </c>
      <c r="G290">
        <v>1997</v>
      </c>
      <c r="H290">
        <v>25</v>
      </c>
      <c r="I290" t="s">
        <v>64</v>
      </c>
      <c r="J290">
        <v>1</v>
      </c>
      <c r="K290" t="s">
        <v>661</v>
      </c>
      <c r="L290" t="s">
        <v>632</v>
      </c>
      <c r="M290">
        <v>5</v>
      </c>
      <c r="N290">
        <v>64</v>
      </c>
      <c r="O290" t="s">
        <v>442</v>
      </c>
      <c r="P290" t="s">
        <v>539</v>
      </c>
      <c r="Q290" t="s">
        <v>734</v>
      </c>
      <c r="R290" t="s">
        <v>732</v>
      </c>
      <c r="S290" t="s">
        <v>318</v>
      </c>
      <c r="T290" t="s">
        <v>540</v>
      </c>
      <c r="U290" t="s">
        <v>445</v>
      </c>
      <c r="V290" t="s">
        <v>541</v>
      </c>
      <c r="W290" t="s">
        <v>195</v>
      </c>
      <c r="X290" t="s">
        <v>196</v>
      </c>
      <c r="Y290" t="s">
        <v>274</v>
      </c>
      <c r="Z290">
        <v>7</v>
      </c>
      <c r="AA290">
        <v>6</v>
      </c>
      <c r="AB290">
        <v>6</v>
      </c>
      <c r="AC290">
        <v>5</v>
      </c>
      <c r="AD290">
        <v>6</v>
      </c>
      <c r="AE290">
        <v>6</v>
      </c>
      <c r="AF290">
        <v>3</v>
      </c>
      <c r="AG290">
        <v>1</v>
      </c>
      <c r="AH290">
        <v>7</v>
      </c>
      <c r="AI290">
        <v>7</v>
      </c>
      <c r="AJ290">
        <v>1</v>
      </c>
      <c r="AK290">
        <v>7</v>
      </c>
      <c r="AL290">
        <v>7</v>
      </c>
      <c r="AM290">
        <v>4</v>
      </c>
      <c r="AN290">
        <v>4</v>
      </c>
      <c r="AO290">
        <v>2</v>
      </c>
      <c r="AP290">
        <v>1</v>
      </c>
      <c r="AQ290">
        <v>7</v>
      </c>
      <c r="AR290">
        <v>7</v>
      </c>
      <c r="AS290">
        <v>7</v>
      </c>
      <c r="AT290">
        <v>7</v>
      </c>
      <c r="AU290">
        <v>4</v>
      </c>
      <c r="AV290">
        <v>7</v>
      </c>
      <c r="AW290">
        <v>7</v>
      </c>
      <c r="AX290">
        <v>1</v>
      </c>
      <c r="AY290" cm="1">
        <f t="array" ref="AY290">_xlfn.IFS(AZ290="Positive",1, AZ290="Negative",1, AZ290="Neutral",0)</f>
        <v>1</v>
      </c>
      <c r="AZ290" t="s">
        <v>196</v>
      </c>
      <c r="BA290">
        <v>6</v>
      </c>
      <c r="BB290">
        <v>3</v>
      </c>
      <c r="BC290" s="3">
        <v>3</v>
      </c>
      <c r="BD290" s="3">
        <v>2</v>
      </c>
      <c r="BE290" s="3">
        <v>1</v>
      </c>
      <c r="BF290" s="3">
        <v>0</v>
      </c>
      <c r="BG290" s="3">
        <v>0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2</v>
      </c>
      <c r="BR290">
        <v>0</v>
      </c>
      <c r="BS290">
        <v>4</v>
      </c>
      <c r="BT290" t="s">
        <v>453</v>
      </c>
      <c r="BU290" t="s">
        <v>370</v>
      </c>
      <c r="BV290" t="s">
        <v>454</v>
      </c>
    </row>
    <row r="291" spans="1:74" s="1" customFormat="1" x14ac:dyDescent="0.2">
      <c r="A291">
        <v>301</v>
      </c>
      <c r="B291">
        <v>71</v>
      </c>
      <c r="C291" t="s">
        <v>148</v>
      </c>
      <c r="D291"/>
      <c r="E291" t="s">
        <v>85</v>
      </c>
      <c r="F291">
        <v>20</v>
      </c>
      <c r="G291">
        <v>2002</v>
      </c>
      <c r="H291">
        <v>20</v>
      </c>
      <c r="I291" t="s">
        <v>64</v>
      </c>
      <c r="J291">
        <v>1</v>
      </c>
      <c r="K291" t="s">
        <v>637</v>
      </c>
      <c r="L291" t="s">
        <v>677</v>
      </c>
      <c r="M291">
        <v>5</v>
      </c>
      <c r="N291">
        <v>67</v>
      </c>
      <c r="O291" t="s">
        <v>513</v>
      </c>
      <c r="P291" t="s">
        <v>325</v>
      </c>
      <c r="Q291" t="s">
        <v>706</v>
      </c>
      <c r="R291" t="s">
        <v>756</v>
      </c>
      <c r="S291" t="s">
        <v>318</v>
      </c>
      <c r="T291" t="s">
        <v>431</v>
      </c>
      <c r="U291" t="s">
        <v>515</v>
      </c>
      <c r="V291" t="s">
        <v>331</v>
      </c>
      <c r="W291" t="s">
        <v>195</v>
      </c>
      <c r="X291" t="s">
        <v>196</v>
      </c>
      <c r="Y291" t="s">
        <v>274</v>
      </c>
      <c r="Z291">
        <v>7</v>
      </c>
      <c r="AA291">
        <v>5</v>
      </c>
      <c r="AB291">
        <v>6</v>
      </c>
      <c r="AC291">
        <v>6</v>
      </c>
      <c r="AD291">
        <v>6</v>
      </c>
      <c r="AE291">
        <v>7</v>
      </c>
      <c r="AF291">
        <v>1</v>
      </c>
      <c r="AG291">
        <v>2</v>
      </c>
      <c r="AH291">
        <v>6</v>
      </c>
      <c r="AI291">
        <v>7</v>
      </c>
      <c r="AJ291">
        <v>2</v>
      </c>
      <c r="AK291">
        <v>6</v>
      </c>
      <c r="AL291">
        <v>6</v>
      </c>
      <c r="AM291">
        <v>6</v>
      </c>
      <c r="AN291">
        <v>176</v>
      </c>
      <c r="AO291">
        <v>5</v>
      </c>
      <c r="AP291">
        <v>3</v>
      </c>
      <c r="AQ291">
        <v>6</v>
      </c>
      <c r="AR291">
        <v>5</v>
      </c>
      <c r="AS291">
        <v>5</v>
      </c>
      <c r="AT291">
        <v>5</v>
      </c>
      <c r="AU291">
        <v>7</v>
      </c>
      <c r="AV291">
        <v>5</v>
      </c>
      <c r="AW291">
        <v>6</v>
      </c>
      <c r="AX291">
        <v>2</v>
      </c>
      <c r="AY291" cm="1">
        <f t="array" ref="AY291">_xlfn.IFS(AZ291="Positive",1, AZ291="Negative",1, AZ291="Neutral",0)</f>
        <v>1</v>
      </c>
      <c r="AZ291" t="s">
        <v>196</v>
      </c>
      <c r="BA291">
        <v>0</v>
      </c>
      <c r="BB291">
        <v>8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>
        <v>0</v>
      </c>
      <c r="BI291">
        <v>0</v>
      </c>
      <c r="BJ291">
        <v>4</v>
      </c>
      <c r="BK291">
        <v>0</v>
      </c>
      <c r="BL291">
        <v>4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 t="s">
        <v>322</v>
      </c>
      <c r="BT291" t="s">
        <v>453</v>
      </c>
      <c r="BU291" t="s">
        <v>326</v>
      </c>
      <c r="BV291" t="s">
        <v>454</v>
      </c>
    </row>
    <row r="292" spans="1:74" s="1" customFormat="1" hidden="1" x14ac:dyDescent="0.2">
      <c r="A292">
        <v>302</v>
      </c>
      <c r="B292">
        <v>72</v>
      </c>
      <c r="C292" t="s">
        <v>149</v>
      </c>
      <c r="D292"/>
      <c r="E292" t="s">
        <v>71</v>
      </c>
      <c r="F292">
        <v>26</v>
      </c>
      <c r="G292">
        <v>1999</v>
      </c>
      <c r="H292">
        <v>23</v>
      </c>
      <c r="I292" t="s">
        <v>64</v>
      </c>
      <c r="J292">
        <v>1</v>
      </c>
      <c r="K292" t="s">
        <v>416</v>
      </c>
      <c r="L292" t="s">
        <v>660</v>
      </c>
      <c r="M292">
        <v>6</v>
      </c>
      <c r="N292">
        <v>63</v>
      </c>
      <c r="O292" t="s">
        <v>565</v>
      </c>
      <c r="P292">
        <v>6</v>
      </c>
      <c r="Q292" t="s">
        <v>723</v>
      </c>
      <c r="R292" t="s">
        <v>733</v>
      </c>
      <c r="S292" t="s">
        <v>403</v>
      </c>
      <c r="T292" t="s">
        <v>477</v>
      </c>
      <c r="U292" t="s">
        <v>566</v>
      </c>
      <c r="V292" t="s">
        <v>471</v>
      </c>
      <c r="W292" t="s">
        <v>195</v>
      </c>
      <c r="X292" t="s">
        <v>196</v>
      </c>
      <c r="Y292" t="s">
        <v>274</v>
      </c>
      <c r="Z292">
        <v>7</v>
      </c>
      <c r="AA292">
        <v>6</v>
      </c>
      <c r="AB292">
        <v>6</v>
      </c>
      <c r="AC292">
        <v>6</v>
      </c>
      <c r="AD292">
        <v>1</v>
      </c>
      <c r="AE292">
        <v>5</v>
      </c>
      <c r="AF292">
        <v>3</v>
      </c>
      <c r="AG292">
        <v>1</v>
      </c>
      <c r="AH292">
        <v>6</v>
      </c>
      <c r="AI292">
        <v>7</v>
      </c>
      <c r="AJ292">
        <v>1</v>
      </c>
      <c r="AK292">
        <v>6</v>
      </c>
      <c r="AL292">
        <v>6</v>
      </c>
      <c r="AM292">
        <v>4</v>
      </c>
      <c r="AN292">
        <v>48</v>
      </c>
      <c r="AO292">
        <v>5</v>
      </c>
      <c r="AP292">
        <v>1</v>
      </c>
      <c r="AQ292">
        <v>2</v>
      </c>
      <c r="AR292">
        <v>4</v>
      </c>
      <c r="AS292">
        <v>6</v>
      </c>
      <c r="AT292">
        <v>4</v>
      </c>
      <c r="AU292">
        <v>6</v>
      </c>
      <c r="AV292">
        <v>6</v>
      </c>
      <c r="AW292">
        <v>6</v>
      </c>
      <c r="AX292">
        <v>1</v>
      </c>
      <c r="AY292" cm="1">
        <f t="array" ref="AY292">_xlfn.IFS(AZ292="Positive",1, AZ292="Negative",1, AZ292="Neutral",0)</f>
        <v>1</v>
      </c>
      <c r="AZ292" t="s">
        <v>196</v>
      </c>
      <c r="BA292">
        <v>8</v>
      </c>
      <c r="BB292">
        <v>1</v>
      </c>
      <c r="BC292" s="3">
        <v>5</v>
      </c>
      <c r="BD292" s="3">
        <v>2</v>
      </c>
      <c r="BE292" s="3">
        <v>1</v>
      </c>
      <c r="BF292" s="3">
        <v>0</v>
      </c>
      <c r="BG292" s="3">
        <v>0</v>
      </c>
      <c r="BH292">
        <v>0</v>
      </c>
      <c r="BI292">
        <v>0</v>
      </c>
      <c r="BJ292">
        <v>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 t="s">
        <v>296</v>
      </c>
      <c r="BT292" t="s">
        <v>367</v>
      </c>
      <c r="BU292" t="s">
        <v>362</v>
      </c>
      <c r="BV292" t="s">
        <v>371</v>
      </c>
    </row>
    <row r="293" spans="1:74" s="1" customFormat="1" hidden="1" x14ac:dyDescent="0.2">
      <c r="A293">
        <v>303</v>
      </c>
      <c r="B293">
        <v>73</v>
      </c>
      <c r="C293" t="s">
        <v>150</v>
      </c>
      <c r="D293"/>
      <c r="E293" t="s">
        <v>71</v>
      </c>
      <c r="F293">
        <v>30</v>
      </c>
      <c r="G293">
        <v>2000</v>
      </c>
      <c r="H293">
        <v>22</v>
      </c>
      <c r="I293" t="s">
        <v>69</v>
      </c>
      <c r="J293">
        <v>2</v>
      </c>
      <c r="K293" t="s">
        <v>416</v>
      </c>
      <c r="L293" t="s">
        <v>679</v>
      </c>
      <c r="M293">
        <v>7</v>
      </c>
      <c r="N293">
        <v>47</v>
      </c>
      <c r="O293" t="s">
        <v>568</v>
      </c>
      <c r="P293">
        <v>6</v>
      </c>
      <c r="Q293" t="s">
        <v>723</v>
      </c>
      <c r="R293" t="s">
        <v>758</v>
      </c>
      <c r="S293" t="s">
        <v>430</v>
      </c>
      <c r="T293" t="s">
        <v>401</v>
      </c>
      <c r="U293" t="s">
        <v>570</v>
      </c>
      <c r="V293" t="s">
        <v>471</v>
      </c>
      <c r="W293" t="s">
        <v>195</v>
      </c>
      <c r="X293" t="s">
        <v>196</v>
      </c>
      <c r="Y293" t="s">
        <v>274</v>
      </c>
      <c r="Z293">
        <v>7</v>
      </c>
      <c r="AA293">
        <v>1</v>
      </c>
      <c r="AB293">
        <v>4</v>
      </c>
      <c r="AC293">
        <v>6</v>
      </c>
      <c r="AD293">
        <v>1</v>
      </c>
      <c r="AE293">
        <v>1</v>
      </c>
      <c r="AF293">
        <v>6</v>
      </c>
      <c r="AG293">
        <v>1</v>
      </c>
      <c r="AH293">
        <v>7</v>
      </c>
      <c r="AI293">
        <v>4</v>
      </c>
      <c r="AJ293">
        <v>1</v>
      </c>
      <c r="AK293">
        <v>3</v>
      </c>
      <c r="AL293">
        <v>5</v>
      </c>
      <c r="AM293">
        <v>3</v>
      </c>
      <c r="AN293">
        <v>4</v>
      </c>
      <c r="AO293">
        <v>5</v>
      </c>
      <c r="AP293">
        <v>2</v>
      </c>
      <c r="AQ293">
        <v>2</v>
      </c>
      <c r="AR293">
        <v>7</v>
      </c>
      <c r="AS293">
        <v>7</v>
      </c>
      <c r="AT293">
        <v>7</v>
      </c>
      <c r="AU293">
        <v>7</v>
      </c>
      <c r="AV293">
        <v>7</v>
      </c>
      <c r="AW293">
        <v>7</v>
      </c>
      <c r="AX293">
        <v>1</v>
      </c>
      <c r="AY293" cm="1">
        <f t="array" ref="AY293">_xlfn.IFS(AZ293="Positive",1, AZ293="Negative",1, AZ293="Neutral",0)</f>
        <v>1</v>
      </c>
      <c r="AZ293" t="s">
        <v>196</v>
      </c>
      <c r="BA293">
        <v>9</v>
      </c>
      <c r="BB293">
        <v>5</v>
      </c>
      <c r="BC293" s="3">
        <v>5</v>
      </c>
      <c r="BD293" s="3">
        <v>0</v>
      </c>
      <c r="BE293" s="3">
        <v>1</v>
      </c>
      <c r="BF293" s="3">
        <v>1</v>
      </c>
      <c r="BG293" s="3">
        <v>2</v>
      </c>
      <c r="BH293">
        <v>0</v>
      </c>
      <c r="BI293">
        <v>0</v>
      </c>
      <c r="BJ293">
        <v>0</v>
      </c>
      <c r="BK293">
        <v>1</v>
      </c>
      <c r="BL293">
        <v>0</v>
      </c>
      <c r="BM293">
        <v>2</v>
      </c>
      <c r="BN293">
        <v>0</v>
      </c>
      <c r="BO293">
        <v>0</v>
      </c>
      <c r="BP293">
        <v>0</v>
      </c>
      <c r="BQ293">
        <v>1</v>
      </c>
      <c r="BR293">
        <v>1</v>
      </c>
      <c r="BS293" t="s">
        <v>567</v>
      </c>
      <c r="BT293" t="s">
        <v>484</v>
      </c>
      <c r="BU293" t="s">
        <v>569</v>
      </c>
      <c r="BV293" t="s">
        <v>486</v>
      </c>
    </row>
    <row r="294" spans="1:74" s="1" customFormat="1" x14ac:dyDescent="0.2">
      <c r="A294">
        <v>304</v>
      </c>
      <c r="B294">
        <v>74</v>
      </c>
      <c r="C294" t="s">
        <v>151</v>
      </c>
      <c r="D294"/>
      <c r="E294" t="s">
        <v>73</v>
      </c>
      <c r="F294">
        <v>27</v>
      </c>
      <c r="G294">
        <v>2000</v>
      </c>
      <c r="H294">
        <v>22</v>
      </c>
      <c r="I294" t="s">
        <v>69</v>
      </c>
      <c r="J294">
        <v>2</v>
      </c>
      <c r="K294" t="s">
        <v>644</v>
      </c>
      <c r="L294" t="s">
        <v>647</v>
      </c>
      <c r="M294">
        <v>4</v>
      </c>
      <c r="N294">
        <v>61</v>
      </c>
      <c r="O294" t="s">
        <v>384</v>
      </c>
      <c r="P294" t="s">
        <v>361</v>
      </c>
      <c r="Q294" t="s">
        <v>714</v>
      </c>
      <c r="R294" t="s">
        <v>717</v>
      </c>
      <c r="S294" t="s">
        <v>396</v>
      </c>
      <c r="T294" t="s">
        <v>292</v>
      </c>
      <c r="U294" t="s">
        <v>387</v>
      </c>
      <c r="V294" t="s">
        <v>366</v>
      </c>
      <c r="W294" t="s">
        <v>195</v>
      </c>
      <c r="X294" t="s">
        <v>196</v>
      </c>
      <c r="Y294" t="s">
        <v>274</v>
      </c>
      <c r="Z294">
        <v>7</v>
      </c>
      <c r="AA294">
        <v>6</v>
      </c>
      <c r="AB294">
        <v>7</v>
      </c>
      <c r="AC294">
        <v>7</v>
      </c>
      <c r="AD294">
        <v>6</v>
      </c>
      <c r="AE294">
        <v>7</v>
      </c>
      <c r="AF294">
        <v>2</v>
      </c>
      <c r="AG294">
        <v>1</v>
      </c>
      <c r="AH294">
        <v>7</v>
      </c>
      <c r="AI294">
        <v>5</v>
      </c>
      <c r="AJ294">
        <v>2</v>
      </c>
      <c r="AK294">
        <v>7</v>
      </c>
      <c r="AL294">
        <v>4</v>
      </c>
      <c r="AM294">
        <v>6</v>
      </c>
      <c r="AN294">
        <v>63</v>
      </c>
      <c r="AO294">
        <v>1</v>
      </c>
      <c r="AP294">
        <v>3</v>
      </c>
      <c r="AQ294">
        <v>6</v>
      </c>
      <c r="AR294">
        <v>3</v>
      </c>
      <c r="AS294">
        <v>5</v>
      </c>
      <c r="AT294">
        <v>7</v>
      </c>
      <c r="AU294">
        <v>7</v>
      </c>
      <c r="AV294">
        <v>2</v>
      </c>
      <c r="AW294">
        <v>7</v>
      </c>
      <c r="AX294">
        <v>2</v>
      </c>
      <c r="AY294" cm="1">
        <f t="array" ref="AY294">_xlfn.IFS(AZ294="Positive",1, AZ294="Negative",1, AZ294="Neutral",0)</f>
        <v>1</v>
      </c>
      <c r="AZ294" t="s">
        <v>196</v>
      </c>
      <c r="BA294">
        <v>0</v>
      </c>
      <c r="BB294">
        <v>5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>
        <v>0</v>
      </c>
      <c r="BI294">
        <v>0</v>
      </c>
      <c r="BJ294">
        <v>4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1</v>
      </c>
      <c r="BR294">
        <v>0</v>
      </c>
      <c r="BS294" t="s">
        <v>414</v>
      </c>
      <c r="BT294" t="s">
        <v>475</v>
      </c>
      <c r="BU294" t="s">
        <v>417</v>
      </c>
      <c r="BV294" t="s">
        <v>476</v>
      </c>
    </row>
    <row r="295" spans="1:74" s="1" customFormat="1" hidden="1" x14ac:dyDescent="0.2">
      <c r="A295">
        <v>305</v>
      </c>
      <c r="B295">
        <v>75</v>
      </c>
      <c r="C295" t="s">
        <v>152</v>
      </c>
      <c r="D295"/>
      <c r="E295" t="s">
        <v>88</v>
      </c>
      <c r="F295">
        <v>27</v>
      </c>
      <c r="G295">
        <v>2000</v>
      </c>
      <c r="H295">
        <v>22</v>
      </c>
      <c r="I295" t="s">
        <v>69</v>
      </c>
      <c r="J295">
        <v>2</v>
      </c>
      <c r="K295" t="s">
        <v>652</v>
      </c>
      <c r="L295" t="s">
        <v>689</v>
      </c>
      <c r="M295">
        <v>11</v>
      </c>
      <c r="N295">
        <v>43</v>
      </c>
      <c r="O295" t="s">
        <v>571</v>
      </c>
      <c r="P295" t="s">
        <v>572</v>
      </c>
      <c r="Q295" t="s">
        <v>753</v>
      </c>
      <c r="R295" t="s">
        <v>769</v>
      </c>
      <c r="S295" t="s">
        <v>514</v>
      </c>
      <c r="T295" t="s">
        <v>336</v>
      </c>
      <c r="U295" t="s">
        <v>573</v>
      </c>
      <c r="V295" t="s">
        <v>574</v>
      </c>
      <c r="W295" t="s">
        <v>195</v>
      </c>
      <c r="X295" t="s">
        <v>196</v>
      </c>
      <c r="Y295" t="s">
        <v>274</v>
      </c>
      <c r="Z295">
        <v>7</v>
      </c>
      <c r="AA295">
        <v>7</v>
      </c>
      <c r="AB295">
        <v>6</v>
      </c>
      <c r="AC295">
        <v>1</v>
      </c>
      <c r="AD295">
        <v>1</v>
      </c>
      <c r="AE295">
        <v>2</v>
      </c>
      <c r="AF295">
        <v>1</v>
      </c>
      <c r="AG295">
        <v>1</v>
      </c>
      <c r="AH295">
        <v>7</v>
      </c>
      <c r="AI295">
        <v>7</v>
      </c>
      <c r="AJ295">
        <v>1</v>
      </c>
      <c r="AK295">
        <v>3</v>
      </c>
      <c r="AL295">
        <v>1</v>
      </c>
      <c r="AM295">
        <v>1</v>
      </c>
      <c r="AN295">
        <v>16</v>
      </c>
      <c r="AO295">
        <v>1</v>
      </c>
      <c r="AP295">
        <v>1</v>
      </c>
      <c r="AQ295">
        <v>5</v>
      </c>
      <c r="AR295">
        <v>5</v>
      </c>
      <c r="AS295">
        <v>7</v>
      </c>
      <c r="AT295">
        <v>4</v>
      </c>
      <c r="AU295">
        <v>7</v>
      </c>
      <c r="AV295">
        <v>7</v>
      </c>
      <c r="AW295">
        <v>7</v>
      </c>
      <c r="AX295">
        <v>1</v>
      </c>
      <c r="AY295" cm="1">
        <f t="array" ref="AY295">_xlfn.IFS(AZ295="Positive",1, AZ295="Negative",1, AZ295="Neutral",0)</f>
        <v>1</v>
      </c>
      <c r="AZ295" t="s">
        <v>196</v>
      </c>
      <c r="BA295">
        <v>17</v>
      </c>
      <c r="BB295">
        <v>2</v>
      </c>
      <c r="BC295" s="3">
        <v>12</v>
      </c>
      <c r="BD295" s="3">
        <v>0</v>
      </c>
      <c r="BE295" s="3">
        <v>2</v>
      </c>
      <c r="BF295" s="3">
        <v>1</v>
      </c>
      <c r="BG295" s="3">
        <v>2</v>
      </c>
      <c r="BH295">
        <v>1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 t="s">
        <v>399</v>
      </c>
      <c r="BT295">
        <v>3</v>
      </c>
      <c r="BU295" t="s">
        <v>400</v>
      </c>
      <c r="BV295" t="s">
        <v>309</v>
      </c>
    </row>
    <row r="296" spans="1:74" s="1" customFormat="1" x14ac:dyDescent="0.2">
      <c r="A296">
        <v>306</v>
      </c>
      <c r="B296">
        <v>76</v>
      </c>
      <c r="C296" t="s">
        <v>153</v>
      </c>
      <c r="D296"/>
      <c r="E296" t="s">
        <v>82</v>
      </c>
      <c r="F296">
        <v>15</v>
      </c>
      <c r="G296">
        <v>1999</v>
      </c>
      <c r="H296">
        <v>23</v>
      </c>
      <c r="I296" t="s">
        <v>64</v>
      </c>
      <c r="J296">
        <v>1</v>
      </c>
      <c r="K296" t="s">
        <v>658</v>
      </c>
      <c r="L296" t="s">
        <v>669</v>
      </c>
      <c r="M296">
        <v>11</v>
      </c>
      <c r="N296">
        <v>57</v>
      </c>
      <c r="O296" t="s">
        <v>346</v>
      </c>
      <c r="P296" t="s">
        <v>369</v>
      </c>
      <c r="Q296" t="s">
        <v>729</v>
      </c>
      <c r="R296" t="s">
        <v>745</v>
      </c>
      <c r="S296" t="s">
        <v>514</v>
      </c>
      <c r="T296" t="s">
        <v>575</v>
      </c>
      <c r="U296" t="s">
        <v>350</v>
      </c>
      <c r="V296" t="s">
        <v>374</v>
      </c>
      <c r="W296" t="s">
        <v>195</v>
      </c>
      <c r="X296" t="s">
        <v>196</v>
      </c>
      <c r="Y296" t="s">
        <v>274</v>
      </c>
      <c r="Z296">
        <v>7</v>
      </c>
      <c r="AA296">
        <v>6</v>
      </c>
      <c r="AB296">
        <v>6</v>
      </c>
      <c r="AC296">
        <v>6</v>
      </c>
      <c r="AD296">
        <v>6</v>
      </c>
      <c r="AE296">
        <v>6</v>
      </c>
      <c r="AF296">
        <v>1</v>
      </c>
      <c r="AG296">
        <v>3</v>
      </c>
      <c r="AH296">
        <v>6</v>
      </c>
      <c r="AI296">
        <v>6</v>
      </c>
      <c r="AJ296">
        <v>1</v>
      </c>
      <c r="AK296">
        <v>5</v>
      </c>
      <c r="AL296">
        <v>4</v>
      </c>
      <c r="AM296">
        <v>1</v>
      </c>
      <c r="AN296">
        <v>24</v>
      </c>
      <c r="AO296">
        <v>6</v>
      </c>
      <c r="AP296">
        <v>1</v>
      </c>
      <c r="AQ296">
        <v>3</v>
      </c>
      <c r="AR296">
        <v>4</v>
      </c>
      <c r="AS296">
        <v>6</v>
      </c>
      <c r="AT296">
        <v>4</v>
      </c>
      <c r="AU296">
        <v>6</v>
      </c>
      <c r="AV296">
        <v>6</v>
      </c>
      <c r="AW296">
        <v>6</v>
      </c>
      <c r="AX296">
        <v>1</v>
      </c>
      <c r="AY296" cm="1">
        <f t="array" ref="AY296">_xlfn.IFS(AZ296="Positive",1, AZ296="Negative",1, AZ296="Neutral",0)</f>
        <v>1</v>
      </c>
      <c r="AZ296" t="s">
        <v>196</v>
      </c>
      <c r="BA296">
        <v>0</v>
      </c>
      <c r="BB296">
        <v>4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>
        <v>0</v>
      </c>
      <c r="BI296">
        <v>0</v>
      </c>
      <c r="BJ296">
        <v>3</v>
      </c>
      <c r="BK296">
        <v>1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 t="s">
        <v>467</v>
      </c>
      <c r="BT296" t="s">
        <v>484</v>
      </c>
      <c r="BU296" t="s">
        <v>469</v>
      </c>
      <c r="BV296" t="s">
        <v>486</v>
      </c>
    </row>
    <row r="297" spans="1:74" s="1" customFormat="1" hidden="1" x14ac:dyDescent="0.2">
      <c r="A297">
        <v>307</v>
      </c>
      <c r="B297">
        <v>77</v>
      </c>
      <c r="C297" t="s">
        <v>154</v>
      </c>
      <c r="D297"/>
      <c r="E297" t="s">
        <v>73</v>
      </c>
      <c r="F297">
        <v>8</v>
      </c>
      <c r="G297">
        <v>2000</v>
      </c>
      <c r="H297">
        <v>22</v>
      </c>
      <c r="I297" t="s">
        <v>64</v>
      </c>
      <c r="J297">
        <v>1</v>
      </c>
      <c r="K297" t="s">
        <v>690</v>
      </c>
      <c r="L297" t="s">
        <v>650</v>
      </c>
      <c r="M297">
        <v>11</v>
      </c>
      <c r="N297">
        <v>56</v>
      </c>
      <c r="O297" t="s">
        <v>278</v>
      </c>
      <c r="P297" t="s">
        <v>307</v>
      </c>
      <c r="Q297" t="s">
        <v>770</v>
      </c>
      <c r="R297" t="s">
        <v>720</v>
      </c>
      <c r="S297" t="s">
        <v>514</v>
      </c>
      <c r="T297" t="s">
        <v>423</v>
      </c>
      <c r="U297" t="s">
        <v>380</v>
      </c>
      <c r="V297" t="s">
        <v>312</v>
      </c>
      <c r="W297" t="s">
        <v>195</v>
      </c>
      <c r="X297" t="s">
        <v>196</v>
      </c>
      <c r="Y297" t="s">
        <v>274</v>
      </c>
      <c r="Z297">
        <v>7</v>
      </c>
      <c r="AA297">
        <v>5</v>
      </c>
      <c r="AB297">
        <v>6</v>
      </c>
      <c r="AC297">
        <v>6</v>
      </c>
      <c r="AD297">
        <v>6</v>
      </c>
      <c r="AE297">
        <v>2</v>
      </c>
      <c r="AF297">
        <v>3</v>
      </c>
      <c r="AG297">
        <v>5</v>
      </c>
      <c r="AH297">
        <v>5</v>
      </c>
      <c r="AI297">
        <v>7</v>
      </c>
      <c r="AJ297">
        <v>2</v>
      </c>
      <c r="AK297">
        <v>5</v>
      </c>
      <c r="AL297">
        <v>4</v>
      </c>
      <c r="AM297">
        <v>1</v>
      </c>
      <c r="AN297">
        <v>24</v>
      </c>
      <c r="AO297">
        <v>2</v>
      </c>
      <c r="AP297">
        <v>2</v>
      </c>
      <c r="AQ297">
        <v>2</v>
      </c>
      <c r="AR297">
        <v>6</v>
      </c>
      <c r="AS297">
        <v>6</v>
      </c>
      <c r="AT297">
        <v>6</v>
      </c>
      <c r="AU297">
        <v>6</v>
      </c>
      <c r="AV297">
        <v>6</v>
      </c>
      <c r="AW297">
        <v>6</v>
      </c>
      <c r="AX297">
        <v>1</v>
      </c>
      <c r="AY297" cm="1">
        <f t="array" ref="AY297">_xlfn.IFS(AZ297="Positive",1, AZ297="Negative",1, AZ297="Neutral",0)</f>
        <v>1</v>
      </c>
      <c r="AZ297" t="s">
        <v>196</v>
      </c>
      <c r="BA297">
        <v>28</v>
      </c>
      <c r="BB297">
        <v>0</v>
      </c>
      <c r="BC297" s="3">
        <v>20</v>
      </c>
      <c r="BD297" s="3">
        <v>1</v>
      </c>
      <c r="BE297" s="3">
        <v>2</v>
      </c>
      <c r="BF297" s="3">
        <v>4</v>
      </c>
      <c r="BG297" s="3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 t="s">
        <v>313</v>
      </c>
      <c r="BT297" t="s">
        <v>576</v>
      </c>
      <c r="BU297" t="s">
        <v>316</v>
      </c>
      <c r="BV297" t="s">
        <v>577</v>
      </c>
    </row>
    <row r="298" spans="1:74" s="1" customFormat="1" hidden="1" x14ac:dyDescent="0.2">
      <c r="A298">
        <v>308</v>
      </c>
      <c r="B298">
        <v>78</v>
      </c>
      <c r="C298" t="s">
        <v>155</v>
      </c>
      <c r="D298"/>
      <c r="E298" t="s">
        <v>93</v>
      </c>
      <c r="F298">
        <v>7</v>
      </c>
      <c r="G298">
        <v>1999</v>
      </c>
      <c r="H298">
        <v>23</v>
      </c>
      <c r="I298" t="s">
        <v>64</v>
      </c>
      <c r="J298">
        <v>1</v>
      </c>
      <c r="K298" t="s">
        <v>664</v>
      </c>
      <c r="L298" t="s">
        <v>691</v>
      </c>
      <c r="M298">
        <v>4</v>
      </c>
      <c r="N298">
        <v>76</v>
      </c>
      <c r="O298" t="s">
        <v>562</v>
      </c>
      <c r="P298" t="s">
        <v>278</v>
      </c>
      <c r="Q298" t="s">
        <v>738</v>
      </c>
      <c r="R298" t="s">
        <v>771</v>
      </c>
      <c r="S298" t="s">
        <v>396</v>
      </c>
      <c r="T298" t="s">
        <v>580</v>
      </c>
      <c r="U298" t="s">
        <v>581</v>
      </c>
      <c r="V298" t="s">
        <v>284</v>
      </c>
      <c r="W298" t="s">
        <v>195</v>
      </c>
      <c r="X298" t="s">
        <v>196</v>
      </c>
      <c r="Y298" t="s">
        <v>274</v>
      </c>
      <c r="Z298">
        <v>7</v>
      </c>
      <c r="AA298">
        <v>6</v>
      </c>
      <c r="AB298">
        <v>7</v>
      </c>
      <c r="AC298">
        <v>7</v>
      </c>
      <c r="AD298">
        <v>3</v>
      </c>
      <c r="AE298">
        <v>5</v>
      </c>
      <c r="AF298">
        <v>3</v>
      </c>
      <c r="AG298">
        <v>1</v>
      </c>
      <c r="AH298">
        <v>6</v>
      </c>
      <c r="AI298">
        <v>7</v>
      </c>
      <c r="AJ298">
        <v>1</v>
      </c>
      <c r="AK298">
        <v>4</v>
      </c>
      <c r="AL298">
        <v>3</v>
      </c>
      <c r="AM298">
        <v>4</v>
      </c>
      <c r="AN298">
        <v>5</v>
      </c>
      <c r="AO298">
        <v>1</v>
      </c>
      <c r="AP298">
        <v>1</v>
      </c>
      <c r="AQ298">
        <v>3</v>
      </c>
      <c r="AR298">
        <v>4</v>
      </c>
      <c r="AS298">
        <v>5</v>
      </c>
      <c r="AT298">
        <v>5</v>
      </c>
      <c r="AU298">
        <v>6</v>
      </c>
      <c r="AV298">
        <v>7</v>
      </c>
      <c r="AW298">
        <v>7</v>
      </c>
      <c r="AX298">
        <v>1</v>
      </c>
      <c r="AY298" cm="1">
        <f t="array" ref="AY298">_xlfn.IFS(AZ298="Positive",1, AZ298="Negative",1, AZ298="Neutral",0)</f>
        <v>1</v>
      </c>
      <c r="AZ298" t="s">
        <v>196</v>
      </c>
      <c r="BA298">
        <v>7</v>
      </c>
      <c r="BB298">
        <v>0</v>
      </c>
      <c r="BC298" s="3">
        <v>6</v>
      </c>
      <c r="BD298" s="3">
        <v>0</v>
      </c>
      <c r="BE298" s="3">
        <v>1</v>
      </c>
      <c r="BF298" s="3">
        <v>0</v>
      </c>
      <c r="BG298" s="3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 t="s">
        <v>305</v>
      </c>
      <c r="BT298" t="s">
        <v>578</v>
      </c>
      <c r="BU298" t="s">
        <v>308</v>
      </c>
      <c r="BV298" t="s">
        <v>579</v>
      </c>
    </row>
    <row r="299" spans="1:74" s="1" customFormat="1" hidden="1" x14ac:dyDescent="0.2">
      <c r="A299">
        <v>309</v>
      </c>
      <c r="B299">
        <v>79</v>
      </c>
      <c r="C299" t="s">
        <v>156</v>
      </c>
      <c r="D299"/>
      <c r="E299" t="s">
        <v>93</v>
      </c>
      <c r="F299">
        <v>7</v>
      </c>
      <c r="G299">
        <v>1999</v>
      </c>
      <c r="H299">
        <v>23</v>
      </c>
      <c r="I299" t="s">
        <v>69</v>
      </c>
      <c r="J299">
        <v>2</v>
      </c>
      <c r="K299" t="s">
        <v>637</v>
      </c>
      <c r="L299" t="s">
        <v>679</v>
      </c>
      <c r="M299">
        <v>10</v>
      </c>
      <c r="N299">
        <v>62</v>
      </c>
      <c r="O299" t="s">
        <v>460</v>
      </c>
      <c r="P299" t="s">
        <v>288</v>
      </c>
      <c r="Q299" t="s">
        <v>706</v>
      </c>
      <c r="R299" t="s">
        <v>758</v>
      </c>
      <c r="S299" t="s">
        <v>378</v>
      </c>
      <c r="T299" t="s">
        <v>319</v>
      </c>
      <c r="U299" t="s">
        <v>582</v>
      </c>
      <c r="V299" t="s">
        <v>294</v>
      </c>
      <c r="W299" t="s">
        <v>195</v>
      </c>
      <c r="X299" t="s">
        <v>196</v>
      </c>
      <c r="Y299" t="s">
        <v>274</v>
      </c>
      <c r="Z299">
        <v>7</v>
      </c>
      <c r="AA299">
        <v>7</v>
      </c>
      <c r="AB299">
        <v>7</v>
      </c>
      <c r="AC299">
        <v>5</v>
      </c>
      <c r="AD299">
        <v>5</v>
      </c>
      <c r="AE299">
        <v>7</v>
      </c>
      <c r="AF299">
        <v>1</v>
      </c>
      <c r="AG299">
        <v>2</v>
      </c>
      <c r="AH299">
        <v>7</v>
      </c>
      <c r="AI299">
        <v>7</v>
      </c>
      <c r="AJ299">
        <v>1</v>
      </c>
      <c r="AK299">
        <v>4</v>
      </c>
      <c r="AL299">
        <v>4</v>
      </c>
      <c r="AM299">
        <v>2</v>
      </c>
      <c r="AN299">
        <v>155</v>
      </c>
      <c r="AO299">
        <v>2</v>
      </c>
      <c r="AP299">
        <v>1</v>
      </c>
      <c r="AQ299">
        <v>5</v>
      </c>
      <c r="AR299">
        <v>2</v>
      </c>
      <c r="AS299">
        <v>5</v>
      </c>
      <c r="AT299">
        <v>5</v>
      </c>
      <c r="AU299">
        <v>6</v>
      </c>
      <c r="AV299">
        <v>4</v>
      </c>
      <c r="AW299">
        <v>6</v>
      </c>
      <c r="AX299">
        <v>1</v>
      </c>
      <c r="AY299" cm="1">
        <f t="array" ref="AY299">_xlfn.IFS(AZ299="Positive",1, AZ299="Negative",1, AZ299="Neutral",0)</f>
        <v>1</v>
      </c>
      <c r="AZ299" t="s">
        <v>196</v>
      </c>
      <c r="BA299">
        <v>19</v>
      </c>
      <c r="BB299">
        <v>0</v>
      </c>
      <c r="BC299" s="3">
        <v>14</v>
      </c>
      <c r="BD299" s="3">
        <v>0</v>
      </c>
      <c r="BE299" s="3">
        <v>2</v>
      </c>
      <c r="BF299" s="3">
        <v>3</v>
      </c>
      <c r="BG299" s="3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 t="s">
        <v>567</v>
      </c>
      <c r="BT299">
        <v>2</v>
      </c>
      <c r="BU299" t="s">
        <v>569</v>
      </c>
      <c r="BV299" t="s">
        <v>340</v>
      </c>
    </row>
    <row r="300" spans="1:74" s="1" customFormat="1" hidden="1" x14ac:dyDescent="0.2">
      <c r="A300">
        <v>310</v>
      </c>
      <c r="B300">
        <v>80</v>
      </c>
      <c r="C300" t="s">
        <v>157</v>
      </c>
      <c r="D300"/>
      <c r="E300" t="s">
        <v>73</v>
      </c>
      <c r="F300">
        <v>10</v>
      </c>
      <c r="G300">
        <v>1999</v>
      </c>
      <c r="H300">
        <v>23</v>
      </c>
      <c r="I300" t="s">
        <v>64</v>
      </c>
      <c r="J300">
        <v>1</v>
      </c>
      <c r="K300" t="s">
        <v>651</v>
      </c>
      <c r="L300" t="s">
        <v>692</v>
      </c>
      <c r="M300">
        <v>11</v>
      </c>
      <c r="N300">
        <v>72</v>
      </c>
      <c r="O300" t="s">
        <v>408</v>
      </c>
      <c r="P300" t="s">
        <v>583</v>
      </c>
      <c r="Q300" t="s">
        <v>721</v>
      </c>
      <c r="R300" t="s">
        <v>772</v>
      </c>
      <c r="S300" t="s">
        <v>514</v>
      </c>
      <c r="T300" t="s">
        <v>379</v>
      </c>
      <c r="U300" t="s">
        <v>412</v>
      </c>
      <c r="V300" t="s">
        <v>584</v>
      </c>
      <c r="W300" t="s">
        <v>195</v>
      </c>
      <c r="X300" t="s">
        <v>196</v>
      </c>
      <c r="Y300" t="s">
        <v>274</v>
      </c>
      <c r="Z300">
        <v>7</v>
      </c>
      <c r="AA300">
        <v>7</v>
      </c>
      <c r="AB300">
        <v>7</v>
      </c>
      <c r="AC300">
        <v>7</v>
      </c>
      <c r="AD300">
        <v>7</v>
      </c>
      <c r="AE300">
        <v>7</v>
      </c>
      <c r="AF300">
        <v>6</v>
      </c>
      <c r="AG300">
        <v>1</v>
      </c>
      <c r="AH300">
        <v>6</v>
      </c>
      <c r="AI300">
        <v>7</v>
      </c>
      <c r="AJ300">
        <v>1</v>
      </c>
      <c r="AK300">
        <v>7</v>
      </c>
      <c r="AL300">
        <v>7</v>
      </c>
      <c r="AM300">
        <v>7</v>
      </c>
      <c r="AN300">
        <v>4</v>
      </c>
      <c r="AO300">
        <v>3</v>
      </c>
      <c r="AP300">
        <v>1</v>
      </c>
      <c r="AQ300">
        <v>2</v>
      </c>
      <c r="AR300">
        <v>7</v>
      </c>
      <c r="AS300">
        <v>7</v>
      </c>
      <c r="AT300">
        <v>7</v>
      </c>
      <c r="AU300">
        <v>7</v>
      </c>
      <c r="AV300">
        <v>7</v>
      </c>
      <c r="AW300">
        <v>7</v>
      </c>
      <c r="AX300">
        <v>1</v>
      </c>
      <c r="AY300" cm="1">
        <f t="array" ref="AY300">_xlfn.IFS(AZ300="Positive",1, AZ300="Negative",1, AZ300="Neutral",0)</f>
        <v>1</v>
      </c>
      <c r="AZ300" t="s">
        <v>196</v>
      </c>
      <c r="BA300">
        <v>6</v>
      </c>
      <c r="BB300">
        <v>0</v>
      </c>
      <c r="BC300" s="3">
        <v>3</v>
      </c>
      <c r="BD300" s="3">
        <v>0</v>
      </c>
      <c r="BE300" s="3">
        <v>1</v>
      </c>
      <c r="BF300" s="3">
        <v>1</v>
      </c>
      <c r="BG300" s="3">
        <v>1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4</v>
      </c>
      <c r="BT300" t="s">
        <v>492</v>
      </c>
      <c r="BU300" t="s">
        <v>370</v>
      </c>
      <c r="BV300" t="s">
        <v>494</v>
      </c>
    </row>
    <row r="301" spans="1:74" s="1" customFormat="1" hidden="1" x14ac:dyDescent="0.2">
      <c r="A301">
        <v>311</v>
      </c>
      <c r="B301">
        <v>81</v>
      </c>
      <c r="C301" t="s">
        <v>158</v>
      </c>
      <c r="D301"/>
      <c r="E301" t="s">
        <v>97</v>
      </c>
      <c r="F301">
        <v>10</v>
      </c>
      <c r="G301">
        <v>2000</v>
      </c>
      <c r="H301">
        <v>22</v>
      </c>
      <c r="I301" t="s">
        <v>69</v>
      </c>
      <c r="J301">
        <v>2</v>
      </c>
      <c r="K301" t="s">
        <v>517</v>
      </c>
      <c r="L301" t="s">
        <v>693</v>
      </c>
      <c r="M301">
        <v>2</v>
      </c>
      <c r="N301">
        <v>49</v>
      </c>
      <c r="O301" t="s">
        <v>585</v>
      </c>
      <c r="P301" t="s">
        <v>277</v>
      </c>
      <c r="Q301" t="s">
        <v>744</v>
      </c>
      <c r="R301" t="s">
        <v>773</v>
      </c>
      <c r="S301" t="s">
        <v>281</v>
      </c>
      <c r="T301" t="s">
        <v>491</v>
      </c>
      <c r="U301" t="s">
        <v>587</v>
      </c>
      <c r="V301" t="s">
        <v>535</v>
      </c>
      <c r="W301" t="s">
        <v>195</v>
      </c>
      <c r="X301" t="s">
        <v>196</v>
      </c>
      <c r="Y301" t="s">
        <v>274</v>
      </c>
      <c r="Z301">
        <v>7</v>
      </c>
      <c r="AA301">
        <v>4</v>
      </c>
      <c r="AB301">
        <v>6</v>
      </c>
      <c r="AC301">
        <v>5</v>
      </c>
      <c r="AD301">
        <v>6</v>
      </c>
      <c r="AE301">
        <v>5</v>
      </c>
      <c r="AF301">
        <v>6</v>
      </c>
      <c r="AG301">
        <v>1</v>
      </c>
      <c r="AH301">
        <v>5</v>
      </c>
      <c r="AI301">
        <v>7</v>
      </c>
      <c r="AJ301">
        <v>1</v>
      </c>
      <c r="AK301">
        <v>6</v>
      </c>
      <c r="AL301">
        <v>5</v>
      </c>
      <c r="AM301">
        <v>3</v>
      </c>
      <c r="AN301">
        <v>51</v>
      </c>
      <c r="AO301">
        <v>2</v>
      </c>
      <c r="AP301">
        <v>1</v>
      </c>
      <c r="AQ301">
        <v>5</v>
      </c>
      <c r="AR301">
        <v>6</v>
      </c>
      <c r="AS301">
        <v>6</v>
      </c>
      <c r="AT301">
        <v>5</v>
      </c>
      <c r="AU301">
        <v>7</v>
      </c>
      <c r="AV301">
        <v>7</v>
      </c>
      <c r="AW301">
        <v>5</v>
      </c>
      <c r="AX301">
        <v>1</v>
      </c>
      <c r="AY301" cm="1">
        <f t="array" ref="AY301">_xlfn.IFS(AZ301="Positive",1, AZ301="Negative",1, AZ301="Neutral",0)</f>
        <v>1</v>
      </c>
      <c r="AZ301" t="s">
        <v>196</v>
      </c>
      <c r="BA301">
        <v>12</v>
      </c>
      <c r="BB301">
        <v>2</v>
      </c>
      <c r="BC301" s="3">
        <v>6</v>
      </c>
      <c r="BD301" s="3">
        <v>1</v>
      </c>
      <c r="BE301" s="3">
        <v>3</v>
      </c>
      <c r="BF301" s="3">
        <v>0</v>
      </c>
      <c r="BG301" s="3">
        <v>2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1</v>
      </c>
      <c r="BR301">
        <v>0</v>
      </c>
      <c r="BS301" t="s">
        <v>492</v>
      </c>
      <c r="BT301" t="s">
        <v>345</v>
      </c>
      <c r="BU301" t="s">
        <v>586</v>
      </c>
      <c r="BV301" t="s">
        <v>348</v>
      </c>
    </row>
    <row r="302" spans="1:74" s="1" customFormat="1" hidden="1" x14ac:dyDescent="0.2">
      <c r="A302">
        <v>312</v>
      </c>
      <c r="B302">
        <v>82</v>
      </c>
      <c r="C302" t="s">
        <v>159</v>
      </c>
      <c r="D302"/>
      <c r="E302" t="s">
        <v>78</v>
      </c>
      <c r="F302">
        <v>11</v>
      </c>
      <c r="G302">
        <v>2000</v>
      </c>
      <c r="H302">
        <v>22</v>
      </c>
      <c r="I302" t="s">
        <v>69</v>
      </c>
      <c r="J302">
        <v>2</v>
      </c>
      <c r="K302" t="s">
        <v>694</v>
      </c>
      <c r="L302" t="s">
        <v>660</v>
      </c>
      <c r="M302">
        <v>16</v>
      </c>
      <c r="N302">
        <v>55</v>
      </c>
      <c r="O302" t="s">
        <v>572</v>
      </c>
      <c r="P302" t="s">
        <v>338</v>
      </c>
      <c r="Q302" t="s">
        <v>774</v>
      </c>
      <c r="R302" t="s">
        <v>733</v>
      </c>
      <c r="S302" t="s">
        <v>588</v>
      </c>
      <c r="T302" t="s">
        <v>404</v>
      </c>
      <c r="U302" t="s">
        <v>589</v>
      </c>
      <c r="V302" t="s">
        <v>504</v>
      </c>
      <c r="W302" t="s">
        <v>195</v>
      </c>
      <c r="X302" t="s">
        <v>196</v>
      </c>
      <c r="Y302" t="s">
        <v>274</v>
      </c>
      <c r="Z302">
        <v>7</v>
      </c>
      <c r="AA302">
        <v>5</v>
      </c>
      <c r="AB302">
        <v>6</v>
      </c>
      <c r="AC302">
        <v>2</v>
      </c>
      <c r="AD302">
        <v>4</v>
      </c>
      <c r="AE302">
        <v>2</v>
      </c>
      <c r="AF302">
        <v>3</v>
      </c>
      <c r="AG302">
        <v>3</v>
      </c>
      <c r="AH302">
        <v>5</v>
      </c>
      <c r="AI302">
        <v>5</v>
      </c>
      <c r="AJ302">
        <v>1</v>
      </c>
      <c r="AK302">
        <v>4</v>
      </c>
      <c r="AL302">
        <v>5</v>
      </c>
      <c r="AM302">
        <v>3</v>
      </c>
      <c r="AN302">
        <v>132</v>
      </c>
      <c r="AO302">
        <v>2</v>
      </c>
      <c r="AP302">
        <v>3</v>
      </c>
      <c r="AQ302">
        <v>4</v>
      </c>
      <c r="AR302">
        <v>2</v>
      </c>
      <c r="AS302">
        <v>5</v>
      </c>
      <c r="AT302">
        <v>4</v>
      </c>
      <c r="AU302">
        <v>5</v>
      </c>
      <c r="AV302">
        <v>5</v>
      </c>
      <c r="AW302">
        <v>3</v>
      </c>
      <c r="AX302">
        <v>2</v>
      </c>
      <c r="AY302" cm="1">
        <f t="array" ref="AY302">_xlfn.IFS(AZ302="Positive",1, AZ302="Negative",1, AZ302="Neutral",0)</f>
        <v>1</v>
      </c>
      <c r="AZ302" t="s">
        <v>196</v>
      </c>
      <c r="BA302">
        <v>5</v>
      </c>
      <c r="BB302">
        <v>0</v>
      </c>
      <c r="BC302" s="3">
        <v>3</v>
      </c>
      <c r="BD302" s="3">
        <v>0</v>
      </c>
      <c r="BE302" s="3">
        <v>0</v>
      </c>
      <c r="BF302" s="3">
        <v>2</v>
      </c>
      <c r="BG302" s="3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 t="s">
        <v>295</v>
      </c>
      <c r="BT302" t="s">
        <v>367</v>
      </c>
      <c r="BU302" t="s">
        <v>299</v>
      </c>
      <c r="BV302" t="s">
        <v>371</v>
      </c>
    </row>
    <row r="303" spans="1:74" s="1" customFormat="1" x14ac:dyDescent="0.2">
      <c r="A303">
        <v>313</v>
      </c>
      <c r="B303">
        <v>83</v>
      </c>
      <c r="C303" t="s">
        <v>160</v>
      </c>
      <c r="D303"/>
      <c r="E303" t="s">
        <v>68</v>
      </c>
      <c r="F303">
        <v>23</v>
      </c>
      <c r="G303">
        <v>1998</v>
      </c>
      <c r="H303">
        <v>24</v>
      </c>
      <c r="I303" t="s">
        <v>69</v>
      </c>
      <c r="J303">
        <v>2</v>
      </c>
      <c r="K303" t="s">
        <v>694</v>
      </c>
      <c r="L303" t="s">
        <v>662</v>
      </c>
      <c r="M303">
        <v>10</v>
      </c>
      <c r="N303">
        <v>68</v>
      </c>
      <c r="O303" t="s">
        <v>565</v>
      </c>
      <c r="P303" t="s">
        <v>314</v>
      </c>
      <c r="Q303" t="s">
        <v>774</v>
      </c>
      <c r="R303" t="s">
        <v>735</v>
      </c>
      <c r="S303" t="s">
        <v>378</v>
      </c>
      <c r="T303" t="s">
        <v>487</v>
      </c>
      <c r="U303" t="s">
        <v>566</v>
      </c>
      <c r="V303" t="s">
        <v>351</v>
      </c>
      <c r="W303" t="s">
        <v>195</v>
      </c>
      <c r="X303" t="s">
        <v>196</v>
      </c>
      <c r="Y303" t="s">
        <v>274</v>
      </c>
      <c r="Z303">
        <v>7</v>
      </c>
      <c r="AA303">
        <v>5</v>
      </c>
      <c r="AB303">
        <v>5</v>
      </c>
      <c r="AC303">
        <v>4</v>
      </c>
      <c r="AD303">
        <v>5</v>
      </c>
      <c r="AE303">
        <v>5</v>
      </c>
      <c r="AF303">
        <v>1</v>
      </c>
      <c r="AG303">
        <v>1</v>
      </c>
      <c r="AH303">
        <v>1</v>
      </c>
      <c r="AI303">
        <v>5</v>
      </c>
      <c r="AJ303">
        <v>1</v>
      </c>
      <c r="AK303">
        <v>3</v>
      </c>
      <c r="AL303">
        <v>2</v>
      </c>
      <c r="AM303">
        <v>1</v>
      </c>
      <c r="AN303">
        <v>139</v>
      </c>
      <c r="AO303">
        <v>1</v>
      </c>
      <c r="AP303">
        <v>2</v>
      </c>
      <c r="AQ303">
        <v>3</v>
      </c>
      <c r="AR303">
        <v>2</v>
      </c>
      <c r="AS303">
        <v>4</v>
      </c>
      <c r="AT303">
        <v>5</v>
      </c>
      <c r="AU303">
        <v>4</v>
      </c>
      <c r="AV303">
        <v>4</v>
      </c>
      <c r="AW303">
        <v>5</v>
      </c>
      <c r="AX303">
        <v>1</v>
      </c>
      <c r="AY303" cm="1">
        <f t="array" ref="AY303">_xlfn.IFS(AZ303="Positive",1, AZ303="Negative",1, AZ303="Neutral",0)</f>
        <v>1</v>
      </c>
      <c r="AZ303" t="s">
        <v>196</v>
      </c>
      <c r="BA303">
        <v>0</v>
      </c>
      <c r="BB303">
        <v>3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>
        <v>0</v>
      </c>
      <c r="BI303">
        <v>0</v>
      </c>
      <c r="BJ303">
        <v>0</v>
      </c>
      <c r="BK303">
        <v>0</v>
      </c>
      <c r="BL303">
        <v>3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 t="s">
        <v>295</v>
      </c>
      <c r="BT303">
        <v>4</v>
      </c>
      <c r="BU303" t="s">
        <v>299</v>
      </c>
      <c r="BV303" t="s">
        <v>590</v>
      </c>
    </row>
    <row r="304" spans="1:74" s="1" customFormat="1" hidden="1" x14ac:dyDescent="0.2">
      <c r="A304">
        <v>314</v>
      </c>
      <c r="B304">
        <v>84</v>
      </c>
      <c r="C304" t="s">
        <v>161</v>
      </c>
      <c r="D304"/>
      <c r="E304" t="s">
        <v>71</v>
      </c>
      <c r="F304">
        <v>7</v>
      </c>
      <c r="G304">
        <v>2001</v>
      </c>
      <c r="H304">
        <v>21</v>
      </c>
      <c r="I304" t="s">
        <v>69</v>
      </c>
      <c r="J304">
        <v>2</v>
      </c>
      <c r="K304" t="s">
        <v>667</v>
      </c>
      <c r="L304" t="s">
        <v>689</v>
      </c>
      <c r="M304">
        <v>12</v>
      </c>
      <c r="N304">
        <v>46</v>
      </c>
      <c r="O304" t="s">
        <v>481</v>
      </c>
      <c r="P304" t="s">
        <v>369</v>
      </c>
      <c r="Q304" t="s">
        <v>741</v>
      </c>
      <c r="R304" t="s">
        <v>769</v>
      </c>
      <c r="S304" t="s">
        <v>499</v>
      </c>
      <c r="T304" t="s">
        <v>457</v>
      </c>
      <c r="U304" t="s">
        <v>593</v>
      </c>
      <c r="V304" t="s">
        <v>374</v>
      </c>
      <c r="W304" t="s">
        <v>195</v>
      </c>
      <c r="X304" t="s">
        <v>196</v>
      </c>
      <c r="Y304" t="s">
        <v>274</v>
      </c>
      <c r="Z304">
        <v>7</v>
      </c>
      <c r="AA304">
        <v>5</v>
      </c>
      <c r="AB304">
        <v>5</v>
      </c>
      <c r="AC304">
        <v>4</v>
      </c>
      <c r="AD304">
        <v>3</v>
      </c>
      <c r="AE304">
        <v>3</v>
      </c>
      <c r="AF304">
        <v>5</v>
      </c>
      <c r="AG304">
        <v>6</v>
      </c>
      <c r="AH304">
        <v>4</v>
      </c>
      <c r="AI304">
        <v>5</v>
      </c>
      <c r="AJ304">
        <v>1</v>
      </c>
      <c r="AK304">
        <v>2</v>
      </c>
      <c r="AL304">
        <v>2</v>
      </c>
      <c r="AM304">
        <v>4</v>
      </c>
      <c r="AN304">
        <v>120</v>
      </c>
      <c r="AO304">
        <v>5</v>
      </c>
      <c r="AP304">
        <v>2</v>
      </c>
      <c r="AQ304">
        <v>2</v>
      </c>
      <c r="AR304">
        <v>3</v>
      </c>
      <c r="AS304">
        <v>5</v>
      </c>
      <c r="AT304">
        <v>4</v>
      </c>
      <c r="AU304">
        <v>5</v>
      </c>
      <c r="AV304">
        <v>6</v>
      </c>
      <c r="AW304">
        <v>4</v>
      </c>
      <c r="AX304">
        <v>1</v>
      </c>
      <c r="AY304" cm="1">
        <f t="array" ref="AY304">_xlfn.IFS(AZ304="Positive",1, AZ304="Negative",1, AZ304="Neutral",0)</f>
        <v>1</v>
      </c>
      <c r="AZ304" t="s">
        <v>196</v>
      </c>
      <c r="BA304">
        <v>11</v>
      </c>
      <c r="BB304">
        <v>0</v>
      </c>
      <c r="BC304" s="3">
        <v>11</v>
      </c>
      <c r="BD304" s="3">
        <v>0</v>
      </c>
      <c r="BE304" s="3">
        <v>0</v>
      </c>
      <c r="BF304" s="3">
        <v>0</v>
      </c>
      <c r="BG304" s="3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 t="s">
        <v>464</v>
      </c>
      <c r="BT304" t="s">
        <v>516</v>
      </c>
      <c r="BU304" t="s">
        <v>591</v>
      </c>
      <c r="BV304" t="s">
        <v>592</v>
      </c>
    </row>
    <row r="305" spans="1:74" s="1" customFormat="1" hidden="1" x14ac:dyDescent="0.2">
      <c r="A305">
        <v>315</v>
      </c>
      <c r="B305">
        <v>85</v>
      </c>
      <c r="C305" t="s">
        <v>162</v>
      </c>
      <c r="D305"/>
      <c r="E305" t="s">
        <v>97</v>
      </c>
      <c r="F305">
        <v>9</v>
      </c>
      <c r="G305">
        <v>1999</v>
      </c>
      <c r="H305">
        <v>23</v>
      </c>
      <c r="I305" t="s">
        <v>64</v>
      </c>
      <c r="J305">
        <v>1</v>
      </c>
      <c r="K305" t="s">
        <v>661</v>
      </c>
      <c r="L305" t="s">
        <v>647</v>
      </c>
      <c r="M305">
        <v>7</v>
      </c>
      <c r="N305">
        <v>75</v>
      </c>
      <c r="O305" t="s">
        <v>542</v>
      </c>
      <c r="P305" t="s">
        <v>542</v>
      </c>
      <c r="Q305" t="s">
        <v>734</v>
      </c>
      <c r="R305" t="s">
        <v>717</v>
      </c>
      <c r="S305" t="s">
        <v>430</v>
      </c>
      <c r="T305" t="s">
        <v>507</v>
      </c>
      <c r="U305" t="s">
        <v>552</v>
      </c>
      <c r="V305" t="s">
        <v>543</v>
      </c>
      <c r="W305" t="s">
        <v>195</v>
      </c>
      <c r="X305" t="s">
        <v>196</v>
      </c>
      <c r="Y305" t="s">
        <v>274</v>
      </c>
      <c r="Z305">
        <v>7</v>
      </c>
      <c r="AA305">
        <v>7</v>
      </c>
      <c r="AB305">
        <v>6</v>
      </c>
      <c r="AC305">
        <v>6</v>
      </c>
      <c r="AD305">
        <v>7</v>
      </c>
      <c r="AE305">
        <v>6</v>
      </c>
      <c r="AF305">
        <v>3</v>
      </c>
      <c r="AG305">
        <v>1</v>
      </c>
      <c r="AH305">
        <v>7</v>
      </c>
      <c r="AI305">
        <v>7</v>
      </c>
      <c r="AJ305">
        <v>1</v>
      </c>
      <c r="AK305">
        <v>7</v>
      </c>
      <c r="AL305">
        <v>7</v>
      </c>
      <c r="AM305">
        <v>7</v>
      </c>
      <c r="AN305">
        <v>6</v>
      </c>
      <c r="AO305">
        <v>1</v>
      </c>
      <c r="AP305">
        <v>1</v>
      </c>
      <c r="AQ305">
        <v>7</v>
      </c>
      <c r="AR305">
        <v>6</v>
      </c>
      <c r="AS305">
        <v>6</v>
      </c>
      <c r="AT305">
        <v>6</v>
      </c>
      <c r="AU305">
        <v>5</v>
      </c>
      <c r="AV305">
        <v>7</v>
      </c>
      <c r="AW305">
        <v>7</v>
      </c>
      <c r="AX305">
        <v>1</v>
      </c>
      <c r="AY305" cm="1">
        <f t="array" ref="AY305">_xlfn.IFS(AZ305="Positive",1, AZ305="Negative",1, AZ305="Neutral",0)</f>
        <v>1</v>
      </c>
      <c r="AZ305" t="s">
        <v>196</v>
      </c>
      <c r="BA305">
        <v>1</v>
      </c>
      <c r="BB305">
        <v>7</v>
      </c>
      <c r="BC305" s="3">
        <v>1</v>
      </c>
      <c r="BD305" s="3">
        <v>0</v>
      </c>
      <c r="BE305" s="3">
        <v>0</v>
      </c>
      <c r="BF305" s="3">
        <v>0</v>
      </c>
      <c r="BG305" s="3">
        <v>0</v>
      </c>
      <c r="BH305">
        <v>0</v>
      </c>
      <c r="BI305">
        <v>0</v>
      </c>
      <c r="BJ305">
        <v>3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4</v>
      </c>
      <c r="BR305">
        <v>0</v>
      </c>
      <c r="BS305" t="s">
        <v>567</v>
      </c>
      <c r="BT305" t="s">
        <v>475</v>
      </c>
      <c r="BU305" t="s">
        <v>569</v>
      </c>
      <c r="BV305" t="s">
        <v>476</v>
      </c>
    </row>
    <row r="306" spans="1:74" s="1" customFormat="1" x14ac:dyDescent="0.2">
      <c r="A306">
        <v>316</v>
      </c>
      <c r="B306">
        <v>86</v>
      </c>
      <c r="C306" t="s">
        <v>163</v>
      </c>
      <c r="D306"/>
      <c r="E306" t="s">
        <v>71</v>
      </c>
      <c r="F306">
        <v>10</v>
      </c>
      <c r="G306">
        <v>2000</v>
      </c>
      <c r="H306">
        <v>22</v>
      </c>
      <c r="I306" t="s">
        <v>164</v>
      </c>
      <c r="J306">
        <v>3</v>
      </c>
      <c r="K306" t="s">
        <v>694</v>
      </c>
      <c r="L306" t="s">
        <v>688</v>
      </c>
      <c r="M306">
        <v>5</v>
      </c>
      <c r="N306">
        <v>63</v>
      </c>
      <c r="O306" t="s">
        <v>353</v>
      </c>
      <c r="P306" t="s">
        <v>307</v>
      </c>
      <c r="Q306" t="s">
        <v>774</v>
      </c>
      <c r="R306" t="s">
        <v>768</v>
      </c>
      <c r="S306" t="s">
        <v>318</v>
      </c>
      <c r="T306" t="s">
        <v>477</v>
      </c>
      <c r="U306" t="s">
        <v>358</v>
      </c>
      <c r="V306" t="s">
        <v>312</v>
      </c>
      <c r="W306" t="s">
        <v>195</v>
      </c>
      <c r="X306" t="s">
        <v>196</v>
      </c>
      <c r="Y306" t="s">
        <v>274</v>
      </c>
      <c r="Z306">
        <v>7</v>
      </c>
      <c r="AA306">
        <v>7</v>
      </c>
      <c r="AB306">
        <v>7</v>
      </c>
      <c r="AC306">
        <v>7</v>
      </c>
      <c r="AD306">
        <v>5</v>
      </c>
      <c r="AE306">
        <v>6</v>
      </c>
      <c r="AF306">
        <v>6</v>
      </c>
      <c r="AG306">
        <v>4</v>
      </c>
      <c r="AH306">
        <v>6</v>
      </c>
      <c r="AI306">
        <v>6</v>
      </c>
      <c r="AJ306">
        <v>3</v>
      </c>
      <c r="AK306">
        <v>5</v>
      </c>
      <c r="AL306">
        <v>5</v>
      </c>
      <c r="AM306">
        <v>2</v>
      </c>
      <c r="AN306">
        <v>120</v>
      </c>
      <c r="AO306">
        <v>6</v>
      </c>
      <c r="AP306">
        <v>3</v>
      </c>
      <c r="AQ306">
        <v>1</v>
      </c>
      <c r="AR306">
        <v>4</v>
      </c>
      <c r="AS306">
        <v>5</v>
      </c>
      <c r="AT306">
        <v>6</v>
      </c>
      <c r="AU306">
        <v>6</v>
      </c>
      <c r="AV306">
        <v>6</v>
      </c>
      <c r="AW306">
        <v>6</v>
      </c>
      <c r="AX306">
        <v>2</v>
      </c>
      <c r="AY306" cm="1">
        <f t="array" ref="AY306">_xlfn.IFS(AZ306="Positive",1, AZ306="Negative",1, AZ306="Neutral",0)</f>
        <v>1</v>
      </c>
      <c r="AZ306" t="s">
        <v>196</v>
      </c>
      <c r="BA306">
        <v>0</v>
      </c>
      <c r="BB306">
        <v>2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>
        <v>0</v>
      </c>
      <c r="BI306">
        <v>0</v>
      </c>
      <c r="BJ306">
        <v>2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 t="s">
        <v>295</v>
      </c>
      <c r="BT306" t="s">
        <v>480</v>
      </c>
      <c r="BU306" t="s">
        <v>299</v>
      </c>
      <c r="BV306" t="s">
        <v>482</v>
      </c>
    </row>
    <row r="307" spans="1:74" s="1" customFormat="1" hidden="1" x14ac:dyDescent="0.2">
      <c r="A307">
        <v>317</v>
      </c>
      <c r="B307">
        <v>87</v>
      </c>
      <c r="C307" t="s">
        <v>165</v>
      </c>
      <c r="D307"/>
      <c r="E307" t="s">
        <v>68</v>
      </c>
      <c r="F307">
        <v>8</v>
      </c>
      <c r="G307">
        <v>1999</v>
      </c>
      <c r="H307">
        <v>23</v>
      </c>
      <c r="I307" t="s">
        <v>64</v>
      </c>
      <c r="J307">
        <v>1</v>
      </c>
      <c r="K307" t="s">
        <v>678</v>
      </c>
      <c r="L307" t="s">
        <v>654</v>
      </c>
      <c r="M307">
        <v>14</v>
      </c>
      <c r="N307">
        <v>57</v>
      </c>
      <c r="O307">
        <v>7</v>
      </c>
      <c r="P307">
        <v>7</v>
      </c>
      <c r="Q307" t="s">
        <v>757</v>
      </c>
      <c r="R307" t="s">
        <v>728</v>
      </c>
      <c r="S307" t="s">
        <v>550</v>
      </c>
      <c r="T307" t="s">
        <v>575</v>
      </c>
      <c r="U307" t="s">
        <v>508</v>
      </c>
      <c r="V307" t="s">
        <v>594</v>
      </c>
      <c r="W307" t="s">
        <v>195</v>
      </c>
      <c r="X307" t="s">
        <v>196</v>
      </c>
      <c r="Y307" t="s">
        <v>274</v>
      </c>
      <c r="Z307">
        <v>7</v>
      </c>
      <c r="AA307">
        <v>7</v>
      </c>
      <c r="AB307">
        <v>7</v>
      </c>
      <c r="AC307">
        <v>7</v>
      </c>
      <c r="AD307">
        <v>5</v>
      </c>
      <c r="AE307">
        <v>6</v>
      </c>
      <c r="AF307">
        <v>1</v>
      </c>
      <c r="AG307">
        <v>1</v>
      </c>
      <c r="AH307">
        <v>7</v>
      </c>
      <c r="AI307">
        <v>7</v>
      </c>
      <c r="AJ307">
        <v>1</v>
      </c>
      <c r="AK307">
        <v>7</v>
      </c>
      <c r="AL307">
        <v>5</v>
      </c>
      <c r="AM307">
        <v>6</v>
      </c>
      <c r="AN307">
        <v>6</v>
      </c>
      <c r="AO307">
        <v>6</v>
      </c>
      <c r="AP307">
        <v>1</v>
      </c>
      <c r="AQ307">
        <v>5</v>
      </c>
      <c r="AR307">
        <v>7</v>
      </c>
      <c r="AS307">
        <v>7</v>
      </c>
      <c r="AT307">
        <v>7</v>
      </c>
      <c r="AU307">
        <v>7</v>
      </c>
      <c r="AV307">
        <v>7</v>
      </c>
      <c r="AW307">
        <v>7</v>
      </c>
      <c r="AX307">
        <v>1</v>
      </c>
      <c r="AY307" cm="1">
        <f t="array" ref="AY307">_xlfn.IFS(AZ307="Positive",1, AZ307="Negative",1, AZ307="Neutral",0)</f>
        <v>1</v>
      </c>
      <c r="AZ307" t="s">
        <v>196</v>
      </c>
      <c r="BA307">
        <v>10</v>
      </c>
      <c r="BB307">
        <v>0</v>
      </c>
      <c r="BC307" s="3">
        <v>8</v>
      </c>
      <c r="BD307" s="3">
        <v>1</v>
      </c>
      <c r="BE307" s="3">
        <v>1</v>
      </c>
      <c r="BF307" s="3">
        <v>0</v>
      </c>
      <c r="BG307" s="3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 t="s">
        <v>405</v>
      </c>
      <c r="BT307" t="s">
        <v>276</v>
      </c>
      <c r="BU307" t="s">
        <v>406</v>
      </c>
      <c r="BV307" t="s">
        <v>280</v>
      </c>
    </row>
    <row r="308" spans="1:74" s="1" customFormat="1" hidden="1" x14ac:dyDescent="0.2">
      <c r="A308">
        <v>318</v>
      </c>
      <c r="B308">
        <v>88</v>
      </c>
      <c r="C308" t="s">
        <v>166</v>
      </c>
      <c r="D308"/>
      <c r="E308" t="s">
        <v>82</v>
      </c>
      <c r="F308">
        <v>1</v>
      </c>
      <c r="G308">
        <v>2000</v>
      </c>
      <c r="H308">
        <v>22</v>
      </c>
      <c r="I308" t="s">
        <v>64</v>
      </c>
      <c r="J308">
        <v>1</v>
      </c>
      <c r="K308" t="s">
        <v>644</v>
      </c>
      <c r="L308" t="s">
        <v>679</v>
      </c>
      <c r="M308">
        <v>11</v>
      </c>
      <c r="N308">
        <v>59</v>
      </c>
      <c r="O308" t="s">
        <v>394</v>
      </c>
      <c r="P308" t="s">
        <v>481</v>
      </c>
      <c r="Q308" t="s">
        <v>714</v>
      </c>
      <c r="R308" t="s">
        <v>758</v>
      </c>
      <c r="S308" t="s">
        <v>514</v>
      </c>
      <c r="T308" t="s">
        <v>341</v>
      </c>
      <c r="U308" t="s">
        <v>478</v>
      </c>
      <c r="V308" t="s">
        <v>483</v>
      </c>
      <c r="W308" t="s">
        <v>195</v>
      </c>
      <c r="X308" t="s">
        <v>196</v>
      </c>
      <c r="Y308" t="s">
        <v>274</v>
      </c>
      <c r="Z308">
        <v>7</v>
      </c>
      <c r="AA308">
        <v>5</v>
      </c>
      <c r="AB308">
        <v>6</v>
      </c>
      <c r="AC308">
        <v>7</v>
      </c>
      <c r="AD308">
        <v>7</v>
      </c>
      <c r="AE308">
        <v>2</v>
      </c>
      <c r="AF308">
        <v>1</v>
      </c>
      <c r="AG308">
        <v>3</v>
      </c>
      <c r="AH308">
        <v>2</v>
      </c>
      <c r="AI308">
        <v>3</v>
      </c>
      <c r="AJ308">
        <v>1</v>
      </c>
      <c r="AK308">
        <v>1</v>
      </c>
      <c r="AL308">
        <v>2</v>
      </c>
      <c r="AM308">
        <v>2</v>
      </c>
      <c r="AN308">
        <v>70</v>
      </c>
      <c r="AO308">
        <v>1</v>
      </c>
      <c r="AP308">
        <v>4</v>
      </c>
      <c r="AQ308">
        <v>4</v>
      </c>
      <c r="AR308">
        <v>2</v>
      </c>
      <c r="AS308">
        <v>2</v>
      </c>
      <c r="AT308">
        <v>3</v>
      </c>
      <c r="AU308">
        <v>3</v>
      </c>
      <c r="AV308">
        <v>5</v>
      </c>
      <c r="AW308">
        <v>4</v>
      </c>
      <c r="AX308">
        <v>2</v>
      </c>
      <c r="AY308" cm="1">
        <f t="array" ref="AY308">_xlfn.IFS(AZ308="Positive",1, AZ308="Negative",1, AZ308="Neutral",0)</f>
        <v>1</v>
      </c>
      <c r="AZ308" t="s">
        <v>196</v>
      </c>
      <c r="BA308">
        <v>22</v>
      </c>
      <c r="BB308">
        <v>2</v>
      </c>
      <c r="BC308" s="3">
        <v>16</v>
      </c>
      <c r="BD308" s="3">
        <v>1</v>
      </c>
      <c r="BE308" s="3">
        <v>4</v>
      </c>
      <c r="BF308" s="3">
        <v>1</v>
      </c>
      <c r="BG308" s="3">
        <v>0</v>
      </c>
      <c r="BH308">
        <v>1</v>
      </c>
      <c r="BI308">
        <v>0</v>
      </c>
      <c r="BJ308">
        <v>1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 t="s">
        <v>296</v>
      </c>
      <c r="BT308" t="s">
        <v>595</v>
      </c>
      <c r="BU308" t="s">
        <v>362</v>
      </c>
      <c r="BV308" t="s">
        <v>596</v>
      </c>
    </row>
    <row r="309" spans="1:74" s="1" customFormat="1" hidden="1" x14ac:dyDescent="0.2">
      <c r="A309">
        <v>319</v>
      </c>
      <c r="B309">
        <v>89</v>
      </c>
      <c r="C309" t="s">
        <v>167</v>
      </c>
      <c r="D309"/>
      <c r="E309" t="s">
        <v>88</v>
      </c>
      <c r="F309">
        <v>1</v>
      </c>
      <c r="G309">
        <v>2000</v>
      </c>
      <c r="H309">
        <v>22</v>
      </c>
      <c r="I309" t="s">
        <v>64</v>
      </c>
      <c r="J309">
        <v>1</v>
      </c>
      <c r="K309" t="s">
        <v>655</v>
      </c>
      <c r="L309" t="s">
        <v>647</v>
      </c>
      <c r="M309">
        <v>4</v>
      </c>
      <c r="N309">
        <v>69</v>
      </c>
      <c r="O309" t="s">
        <v>325</v>
      </c>
      <c r="P309" t="s">
        <v>307</v>
      </c>
      <c r="Q309" t="s">
        <v>725</v>
      </c>
      <c r="R309" t="s">
        <v>717</v>
      </c>
      <c r="S309" t="s">
        <v>396</v>
      </c>
      <c r="T309" t="s">
        <v>357</v>
      </c>
      <c r="U309" t="s">
        <v>597</v>
      </c>
      <c r="V309" t="s">
        <v>312</v>
      </c>
      <c r="W309" t="s">
        <v>195</v>
      </c>
      <c r="X309" t="s">
        <v>196</v>
      </c>
      <c r="Y309" t="s">
        <v>274</v>
      </c>
      <c r="Z309">
        <v>7</v>
      </c>
      <c r="AA309">
        <v>6</v>
      </c>
      <c r="AB309">
        <v>6</v>
      </c>
      <c r="AC309">
        <v>5</v>
      </c>
      <c r="AD309">
        <v>4</v>
      </c>
      <c r="AE309">
        <v>3</v>
      </c>
      <c r="AF309">
        <v>3</v>
      </c>
      <c r="AG309">
        <v>3</v>
      </c>
      <c r="AH309">
        <v>6</v>
      </c>
      <c r="AI309">
        <v>7</v>
      </c>
      <c r="AJ309">
        <v>1</v>
      </c>
      <c r="AK309">
        <v>5</v>
      </c>
      <c r="AL309">
        <v>5</v>
      </c>
      <c r="AM309">
        <v>6</v>
      </c>
      <c r="AN309">
        <v>8</v>
      </c>
      <c r="AO309">
        <v>2</v>
      </c>
      <c r="AP309">
        <v>1</v>
      </c>
      <c r="AQ309">
        <v>5</v>
      </c>
      <c r="AR309">
        <v>6</v>
      </c>
      <c r="AS309">
        <v>6</v>
      </c>
      <c r="AT309">
        <v>5</v>
      </c>
      <c r="AU309">
        <v>6</v>
      </c>
      <c r="AV309">
        <v>7</v>
      </c>
      <c r="AW309">
        <v>6</v>
      </c>
      <c r="AX309">
        <v>1</v>
      </c>
      <c r="AY309" cm="1">
        <f t="array" ref="AY309">_xlfn.IFS(AZ309="Positive",1, AZ309="Negative",1, AZ309="Neutral",0)</f>
        <v>1</v>
      </c>
      <c r="AZ309" t="s">
        <v>196</v>
      </c>
      <c r="BA309">
        <v>5</v>
      </c>
      <c r="BB309">
        <v>0</v>
      </c>
      <c r="BC309" s="3">
        <v>4</v>
      </c>
      <c r="BD309" s="3">
        <v>0</v>
      </c>
      <c r="BE309" s="3">
        <v>1</v>
      </c>
      <c r="BF309" s="3">
        <v>0</v>
      </c>
      <c r="BG309" s="3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 t="s">
        <v>567</v>
      </c>
      <c r="BT309" t="s">
        <v>475</v>
      </c>
      <c r="BU309" t="s">
        <v>569</v>
      </c>
      <c r="BV309" t="s">
        <v>476</v>
      </c>
    </row>
    <row r="310" spans="1:74" s="1" customFormat="1" hidden="1" x14ac:dyDescent="0.2">
      <c r="A310">
        <v>320</v>
      </c>
      <c r="B310">
        <v>90</v>
      </c>
      <c r="C310" t="s">
        <v>168</v>
      </c>
      <c r="D310"/>
      <c r="E310" t="s">
        <v>88</v>
      </c>
      <c r="F310">
        <v>18</v>
      </c>
      <c r="G310">
        <v>1999</v>
      </c>
      <c r="H310">
        <v>23</v>
      </c>
      <c r="I310" t="s">
        <v>64</v>
      </c>
      <c r="J310">
        <v>1</v>
      </c>
      <c r="K310" t="s">
        <v>637</v>
      </c>
      <c r="L310" t="s">
        <v>647</v>
      </c>
      <c r="M310">
        <v>16</v>
      </c>
      <c r="N310">
        <v>53</v>
      </c>
      <c r="O310" t="s">
        <v>598</v>
      </c>
      <c r="P310" t="s">
        <v>481</v>
      </c>
      <c r="Q310" t="s">
        <v>706</v>
      </c>
      <c r="R310" t="s">
        <v>717</v>
      </c>
      <c r="S310" t="s">
        <v>588</v>
      </c>
      <c r="T310" t="s">
        <v>522</v>
      </c>
      <c r="U310" t="s">
        <v>599</v>
      </c>
      <c r="V310" t="s">
        <v>483</v>
      </c>
      <c r="W310" t="s">
        <v>195</v>
      </c>
      <c r="X310" t="s">
        <v>196</v>
      </c>
      <c r="Y310" t="s">
        <v>274</v>
      </c>
      <c r="Z310">
        <v>7</v>
      </c>
      <c r="AA310">
        <v>1</v>
      </c>
      <c r="AB310">
        <v>6</v>
      </c>
      <c r="AC310">
        <v>1</v>
      </c>
      <c r="AD310">
        <v>1</v>
      </c>
      <c r="AE310">
        <v>1</v>
      </c>
      <c r="AF310">
        <v>1</v>
      </c>
      <c r="AG310">
        <v>2</v>
      </c>
      <c r="AH310">
        <v>3</v>
      </c>
      <c r="AI310">
        <v>5</v>
      </c>
      <c r="AJ310">
        <v>1</v>
      </c>
      <c r="AK310">
        <v>5</v>
      </c>
      <c r="AL310">
        <v>5</v>
      </c>
      <c r="AM310">
        <v>4</v>
      </c>
      <c r="AN310">
        <v>6</v>
      </c>
      <c r="AO310">
        <v>1</v>
      </c>
      <c r="AP310">
        <v>1</v>
      </c>
      <c r="AQ310">
        <v>4</v>
      </c>
      <c r="AR310">
        <v>3</v>
      </c>
      <c r="AS310">
        <v>4</v>
      </c>
      <c r="AT310">
        <v>1</v>
      </c>
      <c r="AU310">
        <v>2</v>
      </c>
      <c r="AV310">
        <v>3</v>
      </c>
      <c r="AW310">
        <v>3</v>
      </c>
      <c r="AX310">
        <v>1</v>
      </c>
      <c r="AY310" cm="1">
        <f t="array" ref="AY310">_xlfn.IFS(AZ310="Positive",1, AZ310="Negative",1, AZ310="Neutral",0)</f>
        <v>1</v>
      </c>
      <c r="AZ310" t="s">
        <v>196</v>
      </c>
      <c r="BA310">
        <v>6</v>
      </c>
      <c r="BB310">
        <v>0</v>
      </c>
      <c r="BC310" s="3">
        <v>5</v>
      </c>
      <c r="BD310" s="3">
        <v>1</v>
      </c>
      <c r="BE310" s="3">
        <v>0</v>
      </c>
      <c r="BF310" s="3">
        <v>0</v>
      </c>
      <c r="BG310" s="3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 t="s">
        <v>285</v>
      </c>
      <c r="BT310" t="s">
        <v>548</v>
      </c>
      <c r="BU310" t="s">
        <v>289</v>
      </c>
      <c r="BV310" t="s">
        <v>549</v>
      </c>
    </row>
    <row r="311" spans="1:74" s="1" customFormat="1" hidden="1" x14ac:dyDescent="0.2">
      <c r="A311"/>
      <c r="B311">
        <v>91</v>
      </c>
      <c r="C311" t="s">
        <v>169</v>
      </c>
      <c r="D311"/>
      <c r="E311" t="s">
        <v>88</v>
      </c>
      <c r="F311">
        <v>15</v>
      </c>
      <c r="G311">
        <v>1999</v>
      </c>
      <c r="H311">
        <v>23</v>
      </c>
      <c r="I311" t="s">
        <v>69</v>
      </c>
      <c r="J311">
        <v>2</v>
      </c>
      <c r="K311" t="s">
        <v>642</v>
      </c>
      <c r="L311" t="s">
        <v>634</v>
      </c>
      <c r="M311">
        <v>19</v>
      </c>
      <c r="N311">
        <v>66</v>
      </c>
      <c r="O311" t="s">
        <v>600</v>
      </c>
      <c r="P311">
        <v>5</v>
      </c>
      <c r="Q311" t="s">
        <v>712</v>
      </c>
      <c r="R311" t="s">
        <v>747</v>
      </c>
      <c r="S311" t="s">
        <v>356</v>
      </c>
      <c r="T311" t="s">
        <v>282</v>
      </c>
      <c r="U311" t="s">
        <v>601</v>
      </c>
      <c r="V311" t="s">
        <v>524</v>
      </c>
      <c r="W311" t="s">
        <v>195</v>
      </c>
      <c r="X311" t="s">
        <v>196</v>
      </c>
      <c r="Y311" t="s">
        <v>274</v>
      </c>
      <c r="Z311">
        <v>7</v>
      </c>
      <c r="AA311">
        <v>6</v>
      </c>
      <c r="AB311">
        <v>6</v>
      </c>
      <c r="AC311">
        <v>6</v>
      </c>
      <c r="AD311">
        <v>6</v>
      </c>
      <c r="AE311">
        <v>6</v>
      </c>
      <c r="AF311">
        <v>6</v>
      </c>
      <c r="AG311">
        <v>2</v>
      </c>
      <c r="AH311">
        <v>5</v>
      </c>
      <c r="AI311">
        <v>6</v>
      </c>
      <c r="AJ311">
        <v>2</v>
      </c>
      <c r="AK311">
        <v>6</v>
      </c>
      <c r="AL311">
        <v>4</v>
      </c>
      <c r="AM311">
        <v>6</v>
      </c>
      <c r="AN311">
        <v>24</v>
      </c>
      <c r="AO311">
        <v>1</v>
      </c>
      <c r="AP311">
        <v>6</v>
      </c>
      <c r="AQ311">
        <v>6</v>
      </c>
      <c r="AR311">
        <v>4</v>
      </c>
      <c r="AS311">
        <v>4</v>
      </c>
      <c r="AT311">
        <v>4</v>
      </c>
      <c r="AU311">
        <v>4</v>
      </c>
      <c r="AV311">
        <v>5</v>
      </c>
      <c r="AW311">
        <v>5</v>
      </c>
      <c r="AX311">
        <v>3</v>
      </c>
      <c r="AY311">
        <v>1</v>
      </c>
      <c r="AZ311" t="s">
        <v>196</v>
      </c>
      <c r="BA311">
        <f>SUM(BC311:BG311)</f>
        <v>4</v>
      </c>
      <c r="BB311">
        <f>SUM(BH311:BR311)</f>
        <v>1</v>
      </c>
      <c r="BC311" s="3">
        <v>1</v>
      </c>
      <c r="BD311" s="3">
        <v>1</v>
      </c>
      <c r="BE311" s="3">
        <v>2</v>
      </c>
      <c r="BF311" s="3">
        <v>0</v>
      </c>
      <c r="BG311" s="3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0</v>
      </c>
      <c r="BS311" t="s">
        <v>492</v>
      </c>
      <c r="BT311" t="s">
        <v>489</v>
      </c>
      <c r="BU311" t="s">
        <v>586</v>
      </c>
      <c r="BV311" t="s">
        <v>512</v>
      </c>
    </row>
    <row r="312" spans="1:74" s="1" customFormat="1" hidden="1" x14ac:dyDescent="0.2">
      <c r="A312">
        <v>322</v>
      </c>
      <c r="B312">
        <v>92</v>
      </c>
      <c r="C312" t="s">
        <v>170</v>
      </c>
      <c r="D312"/>
      <c r="E312" t="s">
        <v>68</v>
      </c>
      <c r="F312">
        <v>24</v>
      </c>
      <c r="G312">
        <v>1999</v>
      </c>
      <c r="H312">
        <v>23</v>
      </c>
      <c r="I312" t="s">
        <v>69</v>
      </c>
      <c r="J312">
        <v>2</v>
      </c>
      <c r="K312" t="s">
        <v>687</v>
      </c>
      <c r="L312" t="s">
        <v>669</v>
      </c>
      <c r="M312">
        <v>6</v>
      </c>
      <c r="N312">
        <v>50</v>
      </c>
      <c r="O312" t="s">
        <v>360</v>
      </c>
      <c r="P312" t="s">
        <v>442</v>
      </c>
      <c r="Q312" t="s">
        <v>767</v>
      </c>
      <c r="R312" t="s">
        <v>745</v>
      </c>
      <c r="S312" t="s">
        <v>403</v>
      </c>
      <c r="T312" t="s">
        <v>538</v>
      </c>
      <c r="U312" t="s">
        <v>365</v>
      </c>
      <c r="V312" t="s">
        <v>602</v>
      </c>
      <c r="W312" t="s">
        <v>195</v>
      </c>
      <c r="X312" t="s">
        <v>196</v>
      </c>
      <c r="Y312" t="s">
        <v>274</v>
      </c>
      <c r="Z312">
        <v>7</v>
      </c>
      <c r="AA312">
        <v>6</v>
      </c>
      <c r="AB312">
        <v>5</v>
      </c>
      <c r="AC312">
        <v>3</v>
      </c>
      <c r="AD312">
        <v>3</v>
      </c>
      <c r="AE312">
        <v>3</v>
      </c>
      <c r="AF312">
        <v>3</v>
      </c>
      <c r="AG312">
        <v>1</v>
      </c>
      <c r="AH312">
        <v>3</v>
      </c>
      <c r="AI312">
        <v>6</v>
      </c>
      <c r="AJ312">
        <v>1</v>
      </c>
      <c r="AK312">
        <v>5</v>
      </c>
      <c r="AL312">
        <v>5</v>
      </c>
      <c r="AM312">
        <v>5</v>
      </c>
      <c r="AN312">
        <v>54</v>
      </c>
      <c r="AO312">
        <v>1</v>
      </c>
      <c r="AP312">
        <v>1</v>
      </c>
      <c r="AQ312">
        <v>5</v>
      </c>
      <c r="AR312">
        <v>5</v>
      </c>
      <c r="AS312">
        <v>7</v>
      </c>
      <c r="AT312">
        <v>7</v>
      </c>
      <c r="AU312">
        <v>7</v>
      </c>
      <c r="AV312">
        <v>7</v>
      </c>
      <c r="AW312">
        <v>7</v>
      </c>
      <c r="AX312">
        <v>1</v>
      </c>
      <c r="AY312" cm="1">
        <f t="array" ref="AY312">_xlfn.IFS(AZ312="Positive",1, AZ312="Negative",1, AZ312="Neutral",0)</f>
        <v>1</v>
      </c>
      <c r="AZ312" t="s">
        <v>196</v>
      </c>
      <c r="BA312">
        <v>13</v>
      </c>
      <c r="BB312">
        <v>1</v>
      </c>
      <c r="BC312" s="3">
        <v>8</v>
      </c>
      <c r="BD312" s="3">
        <v>2</v>
      </c>
      <c r="BE312" s="3">
        <v>3</v>
      </c>
      <c r="BF312" s="3">
        <v>0</v>
      </c>
      <c r="BG312" s="3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 t="s">
        <v>467</v>
      </c>
      <c r="BT312" t="s">
        <v>475</v>
      </c>
      <c r="BU312" t="s">
        <v>469</v>
      </c>
      <c r="BV312" t="s">
        <v>476</v>
      </c>
    </row>
    <row r="313" spans="1:74" s="1" customFormat="1" x14ac:dyDescent="0.2">
      <c r="A313">
        <v>323</v>
      </c>
      <c r="B313">
        <v>93</v>
      </c>
      <c r="C313" t="s">
        <v>171</v>
      </c>
      <c r="D313"/>
      <c r="E313" t="s">
        <v>82</v>
      </c>
      <c r="F313">
        <v>4</v>
      </c>
      <c r="G313">
        <v>1998</v>
      </c>
      <c r="H313">
        <v>24</v>
      </c>
      <c r="I313" t="s">
        <v>64</v>
      </c>
      <c r="J313">
        <v>1</v>
      </c>
      <c r="K313" t="s">
        <v>695</v>
      </c>
      <c r="L313" t="s">
        <v>675</v>
      </c>
      <c r="M313">
        <v>9</v>
      </c>
      <c r="N313">
        <v>62</v>
      </c>
      <c r="O313" t="s">
        <v>324</v>
      </c>
      <c r="P313" t="s">
        <v>389</v>
      </c>
      <c r="Q313" t="s">
        <v>781</v>
      </c>
      <c r="R313" t="s">
        <v>754</v>
      </c>
      <c r="S313" t="s">
        <v>349</v>
      </c>
      <c r="T313" t="s">
        <v>319</v>
      </c>
      <c r="U313" t="s">
        <v>330</v>
      </c>
      <c r="V313" t="s">
        <v>392</v>
      </c>
      <c r="W313" t="s">
        <v>195</v>
      </c>
      <c r="X313" t="s">
        <v>196</v>
      </c>
      <c r="Y313" t="s">
        <v>274</v>
      </c>
      <c r="Z313">
        <v>7</v>
      </c>
      <c r="AA313">
        <v>6</v>
      </c>
      <c r="AB313">
        <v>7</v>
      </c>
      <c r="AC313">
        <v>5</v>
      </c>
      <c r="AD313">
        <v>5</v>
      </c>
      <c r="AE313">
        <v>5</v>
      </c>
      <c r="AF313">
        <v>2</v>
      </c>
      <c r="AG313">
        <v>1</v>
      </c>
      <c r="AH313">
        <v>6</v>
      </c>
      <c r="AI313">
        <v>6</v>
      </c>
      <c r="AJ313">
        <v>5</v>
      </c>
      <c r="AK313">
        <v>5</v>
      </c>
      <c r="AL313">
        <v>5</v>
      </c>
      <c r="AM313">
        <v>3</v>
      </c>
      <c r="AN313">
        <v>48</v>
      </c>
      <c r="AO313">
        <v>1</v>
      </c>
      <c r="AP313">
        <v>3</v>
      </c>
      <c r="AQ313">
        <v>3</v>
      </c>
      <c r="AR313">
        <v>3</v>
      </c>
      <c r="AS313">
        <v>3</v>
      </c>
      <c r="AT313">
        <v>5</v>
      </c>
      <c r="AU313">
        <v>7</v>
      </c>
      <c r="AV313">
        <v>7</v>
      </c>
      <c r="AW313">
        <v>7</v>
      </c>
      <c r="AX313">
        <v>2</v>
      </c>
      <c r="AY313" cm="1">
        <f t="array" ref="AY313">_xlfn.IFS(AZ313="Positive",1, AZ313="Negative",1, AZ313="Neutral",0)</f>
        <v>1</v>
      </c>
      <c r="AZ313" t="s">
        <v>196</v>
      </c>
      <c r="BA313">
        <v>0</v>
      </c>
      <c r="BB313">
        <v>6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>
        <v>0</v>
      </c>
      <c r="BI313">
        <v>0</v>
      </c>
      <c r="BJ313">
        <v>2</v>
      </c>
      <c r="BK313">
        <v>1</v>
      </c>
      <c r="BL313">
        <v>3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 t="s">
        <v>276</v>
      </c>
      <c r="BT313" t="s">
        <v>492</v>
      </c>
      <c r="BU313" t="s">
        <v>631</v>
      </c>
      <c r="BV313" t="s">
        <v>494</v>
      </c>
    </row>
    <row r="314" spans="1:74" s="1" customFormat="1" hidden="1" x14ac:dyDescent="0.2">
      <c r="A314">
        <v>324</v>
      </c>
      <c r="B314">
        <v>94</v>
      </c>
      <c r="C314" t="s">
        <v>172</v>
      </c>
      <c r="D314"/>
      <c r="E314" t="s">
        <v>80</v>
      </c>
      <c r="F314">
        <v>15</v>
      </c>
      <c r="G314">
        <v>1999</v>
      </c>
      <c r="H314">
        <v>23</v>
      </c>
      <c r="I314" t="s">
        <v>64</v>
      </c>
      <c r="J314">
        <v>1</v>
      </c>
      <c r="K314" t="s">
        <v>655</v>
      </c>
      <c r="L314" t="s">
        <v>665</v>
      </c>
      <c r="M314">
        <v>10</v>
      </c>
      <c r="N314">
        <v>56</v>
      </c>
      <c r="O314" t="s">
        <v>306</v>
      </c>
      <c r="P314" t="s">
        <v>603</v>
      </c>
      <c r="Q314" t="s">
        <v>725</v>
      </c>
      <c r="R314" t="s">
        <v>739</v>
      </c>
      <c r="S314" t="s">
        <v>378</v>
      </c>
      <c r="T314" t="s">
        <v>423</v>
      </c>
      <c r="U314" t="s">
        <v>311</v>
      </c>
      <c r="V314" t="s">
        <v>604</v>
      </c>
      <c r="W314" t="s">
        <v>195</v>
      </c>
      <c r="X314" t="s">
        <v>196</v>
      </c>
      <c r="Y314" t="s">
        <v>274</v>
      </c>
      <c r="Z314">
        <v>7</v>
      </c>
      <c r="AA314">
        <v>7</v>
      </c>
      <c r="AB314">
        <v>7</v>
      </c>
      <c r="AC314">
        <v>7</v>
      </c>
      <c r="AD314">
        <v>1</v>
      </c>
      <c r="AE314">
        <v>1</v>
      </c>
      <c r="AF314">
        <v>1</v>
      </c>
      <c r="AG314">
        <v>1</v>
      </c>
      <c r="AH314">
        <v>7</v>
      </c>
      <c r="AI314">
        <v>7</v>
      </c>
      <c r="AJ314">
        <v>1</v>
      </c>
      <c r="AK314">
        <v>7</v>
      </c>
      <c r="AL314">
        <v>7</v>
      </c>
      <c r="AM314">
        <v>7</v>
      </c>
      <c r="AN314">
        <v>23</v>
      </c>
      <c r="AO314">
        <v>1</v>
      </c>
      <c r="AP314">
        <v>1</v>
      </c>
      <c r="AQ314">
        <v>7</v>
      </c>
      <c r="AR314">
        <v>7</v>
      </c>
      <c r="AS314">
        <v>7</v>
      </c>
      <c r="AT314">
        <v>7</v>
      </c>
      <c r="AU314">
        <v>7</v>
      </c>
      <c r="AV314">
        <v>7</v>
      </c>
      <c r="AW314">
        <v>7</v>
      </c>
      <c r="AX314">
        <v>1</v>
      </c>
      <c r="AY314" cm="1">
        <f t="array" ref="AY314">_xlfn.IFS(AZ314="Positive",1, AZ314="Negative",1, AZ314="Neutral",0)</f>
        <v>1</v>
      </c>
      <c r="AZ314" t="s">
        <v>196</v>
      </c>
      <c r="BA314">
        <v>1</v>
      </c>
      <c r="BB314">
        <v>0</v>
      </c>
      <c r="BC314" s="3">
        <v>1</v>
      </c>
      <c r="BD314" s="3">
        <v>0</v>
      </c>
      <c r="BE314" s="3">
        <v>0</v>
      </c>
      <c r="BF314" s="3">
        <v>0</v>
      </c>
      <c r="BG314" s="3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4</v>
      </c>
      <c r="BT314" t="s">
        <v>322</v>
      </c>
      <c r="BU314" t="s">
        <v>370</v>
      </c>
      <c r="BV314" t="s">
        <v>422</v>
      </c>
    </row>
    <row r="315" spans="1:74" s="1" customFormat="1" hidden="1" x14ac:dyDescent="0.2">
      <c r="A315">
        <v>325</v>
      </c>
      <c r="B315">
        <v>95</v>
      </c>
      <c r="C315" t="s">
        <v>173</v>
      </c>
      <c r="D315"/>
      <c r="E315" t="s">
        <v>71</v>
      </c>
      <c r="F315">
        <v>29</v>
      </c>
      <c r="G315">
        <v>1999</v>
      </c>
      <c r="H315">
        <v>23</v>
      </c>
      <c r="I315" t="s">
        <v>64</v>
      </c>
      <c r="J315">
        <v>1</v>
      </c>
      <c r="K315" t="s">
        <v>696</v>
      </c>
      <c r="L315" t="s">
        <v>697</v>
      </c>
      <c r="M315">
        <v>8</v>
      </c>
      <c r="N315">
        <v>54</v>
      </c>
      <c r="O315" t="s">
        <v>485</v>
      </c>
      <c r="P315" t="s">
        <v>338</v>
      </c>
      <c r="Q315" t="s">
        <v>775</v>
      </c>
      <c r="R315" t="s">
        <v>776</v>
      </c>
      <c r="S315" t="s">
        <v>291</v>
      </c>
      <c r="T315" t="s">
        <v>455</v>
      </c>
      <c r="U315" t="s">
        <v>488</v>
      </c>
      <c r="V315" t="s">
        <v>504</v>
      </c>
      <c r="W315" t="s">
        <v>195</v>
      </c>
      <c r="X315" t="s">
        <v>196</v>
      </c>
      <c r="Y315" t="s">
        <v>274</v>
      </c>
      <c r="Z315">
        <v>7</v>
      </c>
      <c r="AA315">
        <v>6</v>
      </c>
      <c r="AB315">
        <v>6</v>
      </c>
      <c r="AC315">
        <v>2</v>
      </c>
      <c r="AD315">
        <v>4</v>
      </c>
      <c r="AE315">
        <v>6</v>
      </c>
      <c r="AF315">
        <v>2</v>
      </c>
      <c r="AG315">
        <v>2</v>
      </c>
      <c r="AH315">
        <v>6</v>
      </c>
      <c r="AI315">
        <v>6</v>
      </c>
      <c r="AJ315">
        <v>2</v>
      </c>
      <c r="AK315">
        <v>6</v>
      </c>
      <c r="AL315">
        <v>7</v>
      </c>
      <c r="AM315">
        <v>3</v>
      </c>
      <c r="AN315">
        <v>6</v>
      </c>
      <c r="AO315">
        <v>2</v>
      </c>
      <c r="AP315">
        <v>2</v>
      </c>
      <c r="AQ315">
        <v>6</v>
      </c>
      <c r="AR315">
        <v>5</v>
      </c>
      <c r="AS315">
        <v>2</v>
      </c>
      <c r="AT315">
        <v>5</v>
      </c>
      <c r="AU315">
        <v>5</v>
      </c>
      <c r="AV315">
        <v>5</v>
      </c>
      <c r="AW315">
        <v>6</v>
      </c>
      <c r="AX315">
        <v>1</v>
      </c>
      <c r="AY315" cm="1">
        <f t="array" ref="AY315">_xlfn.IFS(AZ315="Positive",1, AZ315="Negative",1, AZ315="Neutral",0)</f>
        <v>1</v>
      </c>
      <c r="AZ315" t="s">
        <v>196</v>
      </c>
      <c r="BA315">
        <v>8</v>
      </c>
      <c r="BB315">
        <v>1</v>
      </c>
      <c r="BC315" s="3">
        <v>3</v>
      </c>
      <c r="BD315" s="3">
        <v>1</v>
      </c>
      <c r="BE315" s="3">
        <v>2</v>
      </c>
      <c r="BF315" s="3">
        <v>2</v>
      </c>
      <c r="BG315" s="3">
        <v>0</v>
      </c>
      <c r="BH315">
        <v>0</v>
      </c>
      <c r="BI315">
        <v>0</v>
      </c>
      <c r="BJ315">
        <v>1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2</v>
      </c>
      <c r="BT315" t="s">
        <v>605</v>
      </c>
      <c r="BU315" t="s">
        <v>333</v>
      </c>
      <c r="BV315" t="s">
        <v>606</v>
      </c>
    </row>
    <row r="316" spans="1:74" s="1" customFormat="1" x14ac:dyDescent="0.2">
      <c r="A316">
        <v>326</v>
      </c>
      <c r="B316">
        <v>96</v>
      </c>
      <c r="C316" t="s">
        <v>174</v>
      </c>
      <c r="D316"/>
      <c r="E316" t="s">
        <v>71</v>
      </c>
      <c r="F316">
        <v>22</v>
      </c>
      <c r="G316">
        <v>1999</v>
      </c>
      <c r="H316">
        <v>23</v>
      </c>
      <c r="I316" t="s">
        <v>64</v>
      </c>
      <c r="J316">
        <v>1</v>
      </c>
      <c r="K316" t="s">
        <v>658</v>
      </c>
      <c r="L316" t="s">
        <v>698</v>
      </c>
      <c r="M316">
        <v>2</v>
      </c>
      <c r="N316">
        <v>61</v>
      </c>
      <c r="O316" t="s">
        <v>607</v>
      </c>
      <c r="P316" t="s">
        <v>608</v>
      </c>
      <c r="Q316" t="s">
        <v>729</v>
      </c>
      <c r="R316" t="s">
        <v>777</v>
      </c>
      <c r="S316" t="s">
        <v>281</v>
      </c>
      <c r="T316" t="s">
        <v>292</v>
      </c>
      <c r="U316" t="s">
        <v>609</v>
      </c>
      <c r="V316" t="s">
        <v>610</v>
      </c>
      <c r="W316" t="s">
        <v>195</v>
      </c>
      <c r="X316" t="s">
        <v>196</v>
      </c>
      <c r="Y316" t="s">
        <v>274</v>
      </c>
      <c r="Z316">
        <v>7</v>
      </c>
      <c r="AA316">
        <v>6</v>
      </c>
      <c r="AB316">
        <v>6</v>
      </c>
      <c r="AC316">
        <v>1</v>
      </c>
      <c r="AD316">
        <v>1</v>
      </c>
      <c r="AE316">
        <v>1</v>
      </c>
      <c r="AF316">
        <v>1</v>
      </c>
      <c r="AG316">
        <v>3</v>
      </c>
      <c r="AH316">
        <v>5</v>
      </c>
      <c r="AI316">
        <v>5</v>
      </c>
      <c r="AJ316">
        <v>1</v>
      </c>
      <c r="AK316">
        <v>2</v>
      </c>
      <c r="AL316">
        <v>1</v>
      </c>
      <c r="AM316">
        <v>4</v>
      </c>
      <c r="AN316">
        <v>48</v>
      </c>
      <c r="AO316">
        <v>1</v>
      </c>
      <c r="AP316">
        <v>2</v>
      </c>
      <c r="AQ316">
        <v>2</v>
      </c>
      <c r="AR316">
        <v>1</v>
      </c>
      <c r="AS316">
        <v>1</v>
      </c>
      <c r="AT316">
        <v>2</v>
      </c>
      <c r="AU316">
        <v>4</v>
      </c>
      <c r="AV316">
        <v>4</v>
      </c>
      <c r="AW316">
        <v>5</v>
      </c>
      <c r="AX316">
        <v>1</v>
      </c>
      <c r="AY316" cm="1">
        <f t="array" ref="AY316">_xlfn.IFS(AZ316="Positive",1, AZ316="Negative",1, AZ316="Neutral",0)</f>
        <v>1</v>
      </c>
      <c r="AZ316" t="s">
        <v>196</v>
      </c>
      <c r="BA316">
        <v>0</v>
      </c>
      <c r="BB316">
        <v>1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 t="s">
        <v>399</v>
      </c>
      <c r="BT316" t="s">
        <v>559</v>
      </c>
      <c r="BU316" t="s">
        <v>400</v>
      </c>
      <c r="BV316" t="s">
        <v>560</v>
      </c>
    </row>
    <row r="317" spans="1:74" s="1" customFormat="1" hidden="1" x14ac:dyDescent="0.2">
      <c r="A317">
        <v>328</v>
      </c>
      <c r="B317">
        <v>98</v>
      </c>
      <c r="C317" t="s">
        <v>176</v>
      </c>
      <c r="D317"/>
      <c r="E317" t="s">
        <v>76</v>
      </c>
      <c r="F317">
        <v>23</v>
      </c>
      <c r="G317">
        <v>2001</v>
      </c>
      <c r="H317">
        <v>21</v>
      </c>
      <c r="I317" t="s">
        <v>64</v>
      </c>
      <c r="J317">
        <v>1</v>
      </c>
      <c r="K317" t="s">
        <v>456</v>
      </c>
      <c r="L317" t="s">
        <v>645</v>
      </c>
      <c r="M317">
        <v>12</v>
      </c>
      <c r="N317">
        <v>71</v>
      </c>
      <c r="O317" t="s">
        <v>405</v>
      </c>
      <c r="P317" t="s">
        <v>314</v>
      </c>
      <c r="Q317" t="s">
        <v>736</v>
      </c>
      <c r="R317" t="s">
        <v>715</v>
      </c>
      <c r="S317" t="s">
        <v>499</v>
      </c>
      <c r="T317" t="s">
        <v>329</v>
      </c>
      <c r="U317" t="s">
        <v>615</v>
      </c>
      <c r="V317" t="s">
        <v>351</v>
      </c>
      <c r="W317" t="s">
        <v>195</v>
      </c>
      <c r="X317" t="s">
        <v>196</v>
      </c>
      <c r="Y317" t="s">
        <v>274</v>
      </c>
      <c r="Z317">
        <v>7</v>
      </c>
      <c r="AA317">
        <v>7</v>
      </c>
      <c r="AB317">
        <v>7</v>
      </c>
      <c r="AC317">
        <v>1</v>
      </c>
      <c r="AD317">
        <v>1</v>
      </c>
      <c r="AE317">
        <v>7</v>
      </c>
      <c r="AF317">
        <v>1</v>
      </c>
      <c r="AG317">
        <v>1</v>
      </c>
      <c r="AH317">
        <v>7</v>
      </c>
      <c r="AI317">
        <v>7</v>
      </c>
      <c r="AJ317">
        <v>1</v>
      </c>
      <c r="AK317">
        <v>7</v>
      </c>
      <c r="AL317">
        <v>5</v>
      </c>
      <c r="AM317">
        <v>5</v>
      </c>
      <c r="AN317">
        <v>6</v>
      </c>
      <c r="AO317">
        <v>1</v>
      </c>
      <c r="AP317">
        <v>1</v>
      </c>
      <c r="AQ317">
        <v>2</v>
      </c>
      <c r="AR317">
        <v>1</v>
      </c>
      <c r="AS317">
        <v>5</v>
      </c>
      <c r="AT317">
        <v>5</v>
      </c>
      <c r="AU317">
        <v>7</v>
      </c>
      <c r="AV317">
        <v>7</v>
      </c>
      <c r="AW317">
        <v>7</v>
      </c>
      <c r="AX317">
        <v>1</v>
      </c>
      <c r="AY317" cm="1">
        <f t="array" ref="AY317">_xlfn.IFS(AZ317="Positive",1, AZ317="Negative",1, AZ317="Neutral",0)</f>
        <v>1</v>
      </c>
      <c r="AZ317" t="s">
        <v>196</v>
      </c>
      <c r="BA317">
        <v>13</v>
      </c>
      <c r="BB317">
        <v>0</v>
      </c>
      <c r="BC317" s="3">
        <v>8</v>
      </c>
      <c r="BD317" s="3">
        <v>1</v>
      </c>
      <c r="BE317" s="3">
        <v>2</v>
      </c>
      <c r="BF317" s="3">
        <v>0</v>
      </c>
      <c r="BG317" s="3">
        <v>2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 t="s">
        <v>613</v>
      </c>
      <c r="BT317" t="s">
        <v>576</v>
      </c>
      <c r="BU317" t="s">
        <v>614</v>
      </c>
      <c r="BV317" t="s">
        <v>577</v>
      </c>
    </row>
    <row r="318" spans="1:74" s="1" customFormat="1" hidden="1" x14ac:dyDescent="0.2">
      <c r="A318">
        <v>329</v>
      </c>
      <c r="B318">
        <v>99</v>
      </c>
      <c r="C318" t="s">
        <v>177</v>
      </c>
      <c r="D318"/>
      <c r="E318" t="s">
        <v>97</v>
      </c>
      <c r="F318">
        <v>14</v>
      </c>
      <c r="G318">
        <v>2001</v>
      </c>
      <c r="H318">
        <v>21</v>
      </c>
      <c r="I318" t="s">
        <v>64</v>
      </c>
      <c r="J318">
        <v>1</v>
      </c>
      <c r="K318" t="s">
        <v>655</v>
      </c>
      <c r="L318" t="s">
        <v>670</v>
      </c>
      <c r="M318">
        <v>8</v>
      </c>
      <c r="N318">
        <v>49</v>
      </c>
      <c r="O318" t="s">
        <v>600</v>
      </c>
      <c r="P318" t="s">
        <v>277</v>
      </c>
      <c r="Q318" t="s">
        <v>725</v>
      </c>
      <c r="R318" t="s">
        <v>746</v>
      </c>
      <c r="S318" t="s">
        <v>291</v>
      </c>
      <c r="T318" t="s">
        <v>491</v>
      </c>
      <c r="U318" t="s">
        <v>601</v>
      </c>
      <c r="V318" t="s">
        <v>535</v>
      </c>
      <c r="W318" t="s">
        <v>195</v>
      </c>
      <c r="X318" t="s">
        <v>196</v>
      </c>
      <c r="Y318" t="s">
        <v>274</v>
      </c>
      <c r="Z318">
        <v>7</v>
      </c>
      <c r="AA318">
        <v>5</v>
      </c>
      <c r="AB318">
        <v>7</v>
      </c>
      <c r="AC318">
        <v>7</v>
      </c>
      <c r="AD318">
        <v>3</v>
      </c>
      <c r="AE318">
        <v>6</v>
      </c>
      <c r="AF318">
        <v>1</v>
      </c>
      <c r="AG318">
        <v>2</v>
      </c>
      <c r="AH318">
        <v>6</v>
      </c>
      <c r="AI318">
        <v>6</v>
      </c>
      <c r="AJ318">
        <v>1</v>
      </c>
      <c r="AK318">
        <v>5</v>
      </c>
      <c r="AL318">
        <v>3</v>
      </c>
      <c r="AM318">
        <v>2</v>
      </c>
      <c r="AN318">
        <v>145</v>
      </c>
      <c r="AO318">
        <v>4</v>
      </c>
      <c r="AP318">
        <v>2</v>
      </c>
      <c r="AQ318">
        <v>4</v>
      </c>
      <c r="AR318">
        <v>4</v>
      </c>
      <c r="AS318">
        <v>6</v>
      </c>
      <c r="AT318">
        <v>4</v>
      </c>
      <c r="AU318">
        <v>7</v>
      </c>
      <c r="AV318">
        <v>7</v>
      </c>
      <c r="AW318">
        <v>5</v>
      </c>
      <c r="AX318">
        <v>1</v>
      </c>
      <c r="AY318" cm="1">
        <f t="array" ref="AY318">_xlfn.IFS(AZ318="Positive",1, AZ318="Negative",1, AZ318="Neutral",0)</f>
        <v>1</v>
      </c>
      <c r="AZ318" t="s">
        <v>196</v>
      </c>
      <c r="BA318">
        <v>10</v>
      </c>
      <c r="BB318">
        <v>0</v>
      </c>
      <c r="BC318" s="3">
        <v>5</v>
      </c>
      <c r="BD318" s="3">
        <v>1</v>
      </c>
      <c r="BE318" s="3">
        <v>2</v>
      </c>
      <c r="BF318" s="3">
        <v>2</v>
      </c>
      <c r="BG318" s="3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4</v>
      </c>
      <c r="BT318" t="s">
        <v>295</v>
      </c>
      <c r="BU318" t="s">
        <v>370</v>
      </c>
      <c r="BV318" t="s">
        <v>473</v>
      </c>
    </row>
    <row r="319" spans="1:74" s="1" customFormat="1" hidden="1" x14ac:dyDescent="0.2">
      <c r="A319">
        <v>330</v>
      </c>
      <c r="B319">
        <v>100</v>
      </c>
      <c r="C319" t="s">
        <v>178</v>
      </c>
      <c r="D319"/>
      <c r="E319" t="s">
        <v>88</v>
      </c>
      <c r="F319">
        <v>28</v>
      </c>
      <c r="G319">
        <v>1998</v>
      </c>
      <c r="H319">
        <v>24</v>
      </c>
      <c r="I319" t="s">
        <v>64</v>
      </c>
      <c r="J319">
        <v>1</v>
      </c>
      <c r="K319" t="s">
        <v>700</v>
      </c>
      <c r="L319" t="s">
        <v>645</v>
      </c>
      <c r="M319">
        <v>6</v>
      </c>
      <c r="N319">
        <v>47</v>
      </c>
      <c r="O319" t="s">
        <v>354</v>
      </c>
      <c r="P319" t="s">
        <v>361</v>
      </c>
      <c r="Q319" t="s">
        <v>779</v>
      </c>
      <c r="R319" t="s">
        <v>715</v>
      </c>
      <c r="S319" t="s">
        <v>403</v>
      </c>
      <c r="T319" t="s">
        <v>401</v>
      </c>
      <c r="U319" t="s">
        <v>616</v>
      </c>
      <c r="V319" t="s">
        <v>366</v>
      </c>
      <c r="W319" t="s">
        <v>195</v>
      </c>
      <c r="X319" t="s">
        <v>196</v>
      </c>
      <c r="Y319" t="s">
        <v>274</v>
      </c>
      <c r="Z319">
        <v>7</v>
      </c>
      <c r="AA319">
        <v>5</v>
      </c>
      <c r="AB319">
        <v>7</v>
      </c>
      <c r="AC319">
        <v>4</v>
      </c>
      <c r="AD319">
        <v>1</v>
      </c>
      <c r="AE319">
        <v>5</v>
      </c>
      <c r="AF319">
        <v>1</v>
      </c>
      <c r="AG319">
        <v>1</v>
      </c>
      <c r="AH319">
        <v>3</v>
      </c>
      <c r="AI319">
        <v>7</v>
      </c>
      <c r="AJ319">
        <v>1</v>
      </c>
      <c r="AK319">
        <v>5</v>
      </c>
      <c r="AL319">
        <v>5</v>
      </c>
      <c r="AM319">
        <v>7</v>
      </c>
      <c r="AN319">
        <v>72</v>
      </c>
      <c r="AO319">
        <v>5</v>
      </c>
      <c r="AP319">
        <v>1</v>
      </c>
      <c r="AQ319">
        <v>6</v>
      </c>
      <c r="AR319">
        <v>6</v>
      </c>
      <c r="AS319">
        <v>6</v>
      </c>
      <c r="AT319">
        <v>6</v>
      </c>
      <c r="AU319">
        <v>7</v>
      </c>
      <c r="AV319">
        <v>7</v>
      </c>
      <c r="AW319">
        <v>6</v>
      </c>
      <c r="AX319">
        <v>1</v>
      </c>
      <c r="AY319" cm="1">
        <f t="array" ref="AY319">_xlfn.IFS(AZ319="Positive",1, AZ319="Negative",1, AZ319="Neutral",0)</f>
        <v>1</v>
      </c>
      <c r="AZ319" t="s">
        <v>196</v>
      </c>
      <c r="BA319">
        <v>4</v>
      </c>
      <c r="BB319">
        <v>0</v>
      </c>
      <c r="BC319" s="3">
        <v>2</v>
      </c>
      <c r="BD319" s="3">
        <v>1</v>
      </c>
      <c r="BE319" s="3">
        <v>1</v>
      </c>
      <c r="BF319" s="3">
        <v>0</v>
      </c>
      <c r="BG319" s="3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 t="s">
        <v>453</v>
      </c>
      <c r="BT319" t="s">
        <v>426</v>
      </c>
      <c r="BU319" t="s">
        <v>472</v>
      </c>
      <c r="BV319" t="s">
        <v>429</v>
      </c>
    </row>
    <row r="320" spans="1:74" s="1" customFormat="1" hidden="1" x14ac:dyDescent="0.2">
      <c r="A320">
        <v>331</v>
      </c>
      <c r="B320">
        <v>101</v>
      </c>
      <c r="C320" t="s">
        <v>179</v>
      </c>
      <c r="D320"/>
      <c r="E320" t="s">
        <v>71</v>
      </c>
      <c r="F320">
        <v>11</v>
      </c>
      <c r="G320">
        <v>1999</v>
      </c>
      <c r="H320">
        <v>23</v>
      </c>
      <c r="I320" t="s">
        <v>69</v>
      </c>
      <c r="J320">
        <v>2</v>
      </c>
      <c r="K320" t="s">
        <v>652</v>
      </c>
      <c r="L320" t="s">
        <v>670</v>
      </c>
      <c r="M320">
        <v>4</v>
      </c>
      <c r="N320">
        <v>63</v>
      </c>
      <c r="O320">
        <v>5</v>
      </c>
      <c r="P320" t="s">
        <v>481</v>
      </c>
      <c r="Q320" t="s">
        <v>753</v>
      </c>
      <c r="R320" t="s">
        <v>746</v>
      </c>
      <c r="S320" t="s">
        <v>396</v>
      </c>
      <c r="T320" t="s">
        <v>477</v>
      </c>
      <c r="U320" t="s">
        <v>563</v>
      </c>
      <c r="V320" t="s">
        <v>483</v>
      </c>
      <c r="W320" t="s">
        <v>195</v>
      </c>
      <c r="X320" t="s">
        <v>196</v>
      </c>
      <c r="Y320" t="s">
        <v>274</v>
      </c>
      <c r="Z320">
        <v>7</v>
      </c>
      <c r="AA320">
        <v>7</v>
      </c>
      <c r="AB320">
        <v>7</v>
      </c>
      <c r="AC320">
        <v>1</v>
      </c>
      <c r="AD320">
        <v>1</v>
      </c>
      <c r="AE320">
        <v>7</v>
      </c>
      <c r="AF320">
        <v>1</v>
      </c>
      <c r="AG320">
        <v>2</v>
      </c>
      <c r="AH320">
        <v>6</v>
      </c>
      <c r="AI320">
        <v>7</v>
      </c>
      <c r="AJ320">
        <v>1</v>
      </c>
      <c r="AK320">
        <v>6</v>
      </c>
      <c r="AL320">
        <v>5</v>
      </c>
      <c r="AM320">
        <v>3</v>
      </c>
      <c r="AN320">
        <v>39</v>
      </c>
      <c r="AO320">
        <v>7</v>
      </c>
      <c r="AP320">
        <v>1</v>
      </c>
      <c r="AQ320">
        <v>1</v>
      </c>
      <c r="AR320">
        <v>7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 cm="1">
        <f t="array" ref="AY320">_xlfn.IFS(AZ320="Positive",1, AZ320="Negative",1, AZ320="Neutral",0)</f>
        <v>1</v>
      </c>
      <c r="AZ320" t="s">
        <v>196</v>
      </c>
      <c r="BA320">
        <v>6</v>
      </c>
      <c r="BB320">
        <v>1</v>
      </c>
      <c r="BC320" s="3">
        <v>1</v>
      </c>
      <c r="BD320" s="3">
        <v>0</v>
      </c>
      <c r="BE320" s="3">
        <v>0</v>
      </c>
      <c r="BF320" s="3">
        <v>1</v>
      </c>
      <c r="BG320" s="3">
        <v>4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 t="s">
        <v>399</v>
      </c>
      <c r="BT320" t="s">
        <v>367</v>
      </c>
      <c r="BU320" t="s">
        <v>400</v>
      </c>
      <c r="BV320" t="s">
        <v>371</v>
      </c>
    </row>
    <row r="321" spans="1:74" s="1" customFormat="1" hidden="1" x14ac:dyDescent="0.2">
      <c r="A321">
        <v>332</v>
      </c>
      <c r="B321">
        <v>102</v>
      </c>
      <c r="C321" t="s">
        <v>180</v>
      </c>
      <c r="D321"/>
      <c r="E321" t="s">
        <v>71</v>
      </c>
      <c r="F321">
        <v>12</v>
      </c>
      <c r="G321">
        <v>1999</v>
      </c>
      <c r="H321">
        <v>23</v>
      </c>
      <c r="I321" t="s">
        <v>64</v>
      </c>
      <c r="J321">
        <v>1</v>
      </c>
      <c r="K321" t="s">
        <v>637</v>
      </c>
      <c r="L321" t="s">
        <v>669</v>
      </c>
      <c r="M321">
        <v>6</v>
      </c>
      <c r="N321">
        <v>54</v>
      </c>
      <c r="O321" t="s">
        <v>314</v>
      </c>
      <c r="P321">
        <v>5</v>
      </c>
      <c r="Q321" t="s">
        <v>706</v>
      </c>
      <c r="R321" t="s">
        <v>745</v>
      </c>
      <c r="S321" t="s">
        <v>403</v>
      </c>
      <c r="T321" t="s">
        <v>455</v>
      </c>
      <c r="U321" t="s">
        <v>320</v>
      </c>
      <c r="V321" t="s">
        <v>524</v>
      </c>
      <c r="W321" t="s">
        <v>195</v>
      </c>
      <c r="X321" t="s">
        <v>196</v>
      </c>
      <c r="Y321" t="s">
        <v>274</v>
      </c>
      <c r="Z321">
        <v>7</v>
      </c>
      <c r="AA321">
        <v>5</v>
      </c>
      <c r="AB321">
        <v>6</v>
      </c>
      <c r="AC321">
        <v>6</v>
      </c>
      <c r="AD321">
        <v>6</v>
      </c>
      <c r="AE321">
        <v>6</v>
      </c>
      <c r="AF321">
        <v>1</v>
      </c>
      <c r="AG321">
        <v>1</v>
      </c>
      <c r="AH321">
        <v>5</v>
      </c>
      <c r="AI321">
        <v>6</v>
      </c>
      <c r="AJ321">
        <v>2</v>
      </c>
      <c r="AK321">
        <v>5</v>
      </c>
      <c r="AL321">
        <v>3</v>
      </c>
      <c r="AM321">
        <v>6</v>
      </c>
      <c r="AN321">
        <v>100</v>
      </c>
      <c r="AO321">
        <v>4</v>
      </c>
      <c r="AP321">
        <v>2</v>
      </c>
      <c r="AQ321">
        <v>3</v>
      </c>
      <c r="AR321">
        <v>5</v>
      </c>
      <c r="AS321">
        <v>6</v>
      </c>
      <c r="AT321">
        <v>6</v>
      </c>
      <c r="AU321">
        <v>6</v>
      </c>
      <c r="AV321">
        <v>6</v>
      </c>
      <c r="AW321">
        <v>6</v>
      </c>
      <c r="AX321">
        <v>1</v>
      </c>
      <c r="AY321" cm="1">
        <f t="array" ref="AY321">_xlfn.IFS(AZ321="Positive",1, AZ321="Negative",1, AZ321="Neutral",0)</f>
        <v>1</v>
      </c>
      <c r="AZ321" t="s">
        <v>196</v>
      </c>
      <c r="BA321">
        <v>20</v>
      </c>
      <c r="BB321">
        <v>2</v>
      </c>
      <c r="BC321" s="3">
        <v>14</v>
      </c>
      <c r="BD321" s="3">
        <v>1</v>
      </c>
      <c r="BE321" s="3">
        <v>1</v>
      </c>
      <c r="BF321" s="3">
        <v>1</v>
      </c>
      <c r="BG321" s="3">
        <v>3</v>
      </c>
      <c r="BH321">
        <v>0</v>
      </c>
      <c r="BI321">
        <v>0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1</v>
      </c>
      <c r="BR321">
        <v>0</v>
      </c>
      <c r="BS321" t="s">
        <v>382</v>
      </c>
      <c r="BT321" t="s">
        <v>475</v>
      </c>
      <c r="BU321" t="s">
        <v>385</v>
      </c>
      <c r="BV321" t="s">
        <v>476</v>
      </c>
    </row>
    <row r="322" spans="1:74" s="1" customFormat="1" hidden="1" x14ac:dyDescent="0.2">
      <c r="A322">
        <v>333</v>
      </c>
      <c r="B322">
        <v>103</v>
      </c>
      <c r="C322" t="s">
        <v>181</v>
      </c>
      <c r="D322"/>
      <c r="E322" t="s">
        <v>73</v>
      </c>
      <c r="F322">
        <v>2</v>
      </c>
      <c r="G322">
        <v>1999</v>
      </c>
      <c r="H322">
        <v>23</v>
      </c>
      <c r="I322" t="s">
        <v>64</v>
      </c>
      <c r="J322">
        <v>1</v>
      </c>
      <c r="K322" t="s">
        <v>678</v>
      </c>
      <c r="L322" t="s">
        <v>638</v>
      </c>
      <c r="M322">
        <v>12</v>
      </c>
      <c r="N322">
        <v>61</v>
      </c>
      <c r="O322" t="s">
        <v>562</v>
      </c>
      <c r="P322" t="s">
        <v>405</v>
      </c>
      <c r="Q322" t="s">
        <v>757</v>
      </c>
      <c r="R322" t="s">
        <v>707</v>
      </c>
      <c r="S322" t="s">
        <v>499</v>
      </c>
      <c r="T322" t="s">
        <v>292</v>
      </c>
      <c r="U322" t="s">
        <v>581</v>
      </c>
      <c r="V322" t="s">
        <v>407</v>
      </c>
      <c r="W322" t="s">
        <v>195</v>
      </c>
      <c r="X322" t="s">
        <v>196</v>
      </c>
      <c r="Y322" t="s">
        <v>274</v>
      </c>
      <c r="Z322">
        <v>7</v>
      </c>
      <c r="AA322">
        <v>6</v>
      </c>
      <c r="AB322">
        <v>6</v>
      </c>
      <c r="AC322">
        <v>5</v>
      </c>
      <c r="AD322">
        <v>1</v>
      </c>
      <c r="AE322">
        <v>3</v>
      </c>
      <c r="AF322">
        <v>2</v>
      </c>
      <c r="AG322">
        <v>1</v>
      </c>
      <c r="AH322">
        <v>5</v>
      </c>
      <c r="AI322">
        <v>4</v>
      </c>
      <c r="AJ322">
        <v>4</v>
      </c>
      <c r="AK322">
        <v>5</v>
      </c>
      <c r="AL322">
        <v>2</v>
      </c>
      <c r="AM322">
        <v>6</v>
      </c>
      <c r="AN322">
        <v>72</v>
      </c>
      <c r="AO322">
        <v>6</v>
      </c>
      <c r="AP322">
        <v>4</v>
      </c>
      <c r="AQ322">
        <v>4</v>
      </c>
      <c r="AR322">
        <v>4</v>
      </c>
      <c r="AS322">
        <v>6</v>
      </c>
      <c r="AT322">
        <v>6</v>
      </c>
      <c r="AU322">
        <v>3</v>
      </c>
      <c r="AV322">
        <v>6</v>
      </c>
      <c r="AW322">
        <v>7</v>
      </c>
      <c r="AX322">
        <v>2</v>
      </c>
      <c r="AY322" cm="1">
        <f t="array" ref="AY322">_xlfn.IFS(AZ322="Positive",1, AZ322="Negative",1, AZ322="Neutral",0)</f>
        <v>1</v>
      </c>
      <c r="AZ322" t="s">
        <v>196</v>
      </c>
      <c r="BA322">
        <v>8</v>
      </c>
      <c r="BB322">
        <v>2</v>
      </c>
      <c r="BC322" s="3">
        <v>5</v>
      </c>
      <c r="BD322" s="3">
        <v>0</v>
      </c>
      <c r="BE322" s="3">
        <v>1</v>
      </c>
      <c r="BF322" s="3">
        <v>0</v>
      </c>
      <c r="BG322" s="3">
        <v>2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 t="s">
        <v>375</v>
      </c>
      <c r="BT322" t="s">
        <v>578</v>
      </c>
      <c r="BU322" t="s">
        <v>377</v>
      </c>
      <c r="BV322" t="s">
        <v>579</v>
      </c>
    </row>
    <row r="323" spans="1:74" s="1" customFormat="1" hidden="1" x14ac:dyDescent="0.2">
      <c r="A323">
        <v>334</v>
      </c>
      <c r="B323">
        <v>104</v>
      </c>
      <c r="C323" t="s">
        <v>182</v>
      </c>
      <c r="D323"/>
      <c r="E323" t="s">
        <v>71</v>
      </c>
      <c r="F323">
        <v>13</v>
      </c>
      <c r="G323">
        <v>2003</v>
      </c>
      <c r="H323">
        <v>19</v>
      </c>
      <c r="I323" t="s">
        <v>164</v>
      </c>
      <c r="J323">
        <v>3</v>
      </c>
      <c r="K323" t="s">
        <v>683</v>
      </c>
      <c r="L323" t="s">
        <v>660</v>
      </c>
      <c r="M323">
        <v>11</v>
      </c>
      <c r="N323">
        <v>52</v>
      </c>
      <c r="O323" t="s">
        <v>384</v>
      </c>
      <c r="P323" t="s">
        <v>583</v>
      </c>
      <c r="Q323" t="s">
        <v>762</v>
      </c>
      <c r="R323" t="s">
        <v>733</v>
      </c>
      <c r="S323" t="s">
        <v>514</v>
      </c>
      <c r="T323" t="s">
        <v>495</v>
      </c>
      <c r="U323" t="s">
        <v>387</v>
      </c>
      <c r="V323" t="s">
        <v>584</v>
      </c>
      <c r="W323" t="s">
        <v>195</v>
      </c>
      <c r="X323" t="s">
        <v>196</v>
      </c>
      <c r="Y323" t="s">
        <v>274</v>
      </c>
      <c r="Z323">
        <v>7</v>
      </c>
      <c r="AA323">
        <v>2</v>
      </c>
      <c r="AB323">
        <v>4</v>
      </c>
      <c r="AC323">
        <v>6</v>
      </c>
      <c r="AD323">
        <v>5</v>
      </c>
      <c r="AE323">
        <v>1</v>
      </c>
      <c r="AF323">
        <v>2</v>
      </c>
      <c r="AG323">
        <v>1</v>
      </c>
      <c r="AH323">
        <v>6</v>
      </c>
      <c r="AI323">
        <v>6</v>
      </c>
      <c r="AJ323">
        <v>1</v>
      </c>
      <c r="AK323">
        <v>1</v>
      </c>
      <c r="AL323">
        <v>3</v>
      </c>
      <c r="AM323">
        <v>6</v>
      </c>
      <c r="AN323">
        <v>132</v>
      </c>
      <c r="AO323">
        <v>3</v>
      </c>
      <c r="AP323">
        <v>2</v>
      </c>
      <c r="AQ323">
        <v>2</v>
      </c>
      <c r="AR323">
        <v>4</v>
      </c>
      <c r="AS323">
        <v>5</v>
      </c>
      <c r="AT323">
        <v>6</v>
      </c>
      <c r="AU323">
        <v>7</v>
      </c>
      <c r="AV323">
        <v>6</v>
      </c>
      <c r="AW323">
        <v>5</v>
      </c>
      <c r="AX323">
        <v>1</v>
      </c>
      <c r="AY323" cm="1">
        <f t="array" ref="AY323">_xlfn.IFS(AZ323="Positive",1, AZ323="Negative",1, AZ323="Neutral",0)</f>
        <v>1</v>
      </c>
      <c r="AZ323" t="s">
        <v>196</v>
      </c>
      <c r="BA323">
        <v>7</v>
      </c>
      <c r="BB323">
        <v>2</v>
      </c>
      <c r="BC323" s="3">
        <v>6</v>
      </c>
      <c r="BD323" s="3">
        <v>0</v>
      </c>
      <c r="BE323" s="3">
        <v>1</v>
      </c>
      <c r="BF323" s="3">
        <v>0</v>
      </c>
      <c r="BG323" s="3">
        <v>0</v>
      </c>
      <c r="BH323">
        <v>0</v>
      </c>
      <c r="BI323">
        <v>0</v>
      </c>
      <c r="BJ323">
        <v>1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1</v>
      </c>
      <c r="BR323">
        <v>0</v>
      </c>
      <c r="BS323">
        <v>2</v>
      </c>
      <c r="BT323" t="s">
        <v>516</v>
      </c>
      <c r="BU323" t="s">
        <v>333</v>
      </c>
      <c r="BV323" t="s">
        <v>592</v>
      </c>
    </row>
    <row r="324" spans="1:74" s="1" customFormat="1" hidden="1" x14ac:dyDescent="0.2">
      <c r="A324">
        <v>335</v>
      </c>
      <c r="B324">
        <v>105</v>
      </c>
      <c r="C324" t="s">
        <v>183</v>
      </c>
      <c r="D324"/>
      <c r="E324" t="s">
        <v>80</v>
      </c>
      <c r="F324">
        <v>15</v>
      </c>
      <c r="G324">
        <v>1999</v>
      </c>
      <c r="H324">
        <v>23</v>
      </c>
      <c r="I324" t="s">
        <v>64</v>
      </c>
      <c r="J324">
        <v>1</v>
      </c>
      <c r="K324" t="s">
        <v>651</v>
      </c>
      <c r="L324" t="s">
        <v>682</v>
      </c>
      <c r="M324">
        <v>11</v>
      </c>
      <c r="N324">
        <v>75</v>
      </c>
      <c r="O324" t="s">
        <v>568</v>
      </c>
      <c r="P324" t="s">
        <v>617</v>
      </c>
      <c r="Q324" t="s">
        <v>721</v>
      </c>
      <c r="R324" t="s">
        <v>761</v>
      </c>
      <c r="S324" t="s">
        <v>514</v>
      </c>
      <c r="T324" t="s">
        <v>507</v>
      </c>
      <c r="U324" t="s">
        <v>570</v>
      </c>
      <c r="V324" t="s">
        <v>618</v>
      </c>
      <c r="W324" t="s">
        <v>195</v>
      </c>
      <c r="X324" t="s">
        <v>196</v>
      </c>
      <c r="Y324" t="s">
        <v>274</v>
      </c>
      <c r="Z324">
        <v>7</v>
      </c>
      <c r="AA324">
        <v>5</v>
      </c>
      <c r="AB324">
        <v>6</v>
      </c>
      <c r="AC324">
        <v>2</v>
      </c>
      <c r="AD324">
        <v>5</v>
      </c>
      <c r="AE324">
        <v>7</v>
      </c>
      <c r="AF324">
        <v>2</v>
      </c>
      <c r="AG324">
        <v>2</v>
      </c>
      <c r="AH324">
        <v>5</v>
      </c>
      <c r="AI324">
        <v>7</v>
      </c>
      <c r="AJ324">
        <v>1</v>
      </c>
      <c r="AK324">
        <v>3</v>
      </c>
      <c r="AL324">
        <v>3</v>
      </c>
      <c r="AM324">
        <v>7</v>
      </c>
      <c r="AN324">
        <v>41</v>
      </c>
      <c r="AO324">
        <v>2</v>
      </c>
      <c r="AP324">
        <v>2</v>
      </c>
      <c r="AQ324">
        <v>3</v>
      </c>
      <c r="AR324">
        <v>3</v>
      </c>
      <c r="AS324">
        <v>6</v>
      </c>
      <c r="AT324">
        <v>7</v>
      </c>
      <c r="AU324">
        <v>7</v>
      </c>
      <c r="AV324">
        <v>7</v>
      </c>
      <c r="AW324">
        <v>5</v>
      </c>
      <c r="AX324">
        <v>1</v>
      </c>
      <c r="AY324" cm="1">
        <f t="array" ref="AY324">_xlfn.IFS(AZ324="Positive",1, AZ324="Negative",1, AZ324="Neutral",0)</f>
        <v>1</v>
      </c>
      <c r="AZ324" t="s">
        <v>196</v>
      </c>
      <c r="BA324">
        <v>10</v>
      </c>
      <c r="BB324">
        <v>1</v>
      </c>
      <c r="BC324" s="3">
        <v>5</v>
      </c>
      <c r="BD324" s="3">
        <v>1</v>
      </c>
      <c r="BE324" s="3">
        <v>1</v>
      </c>
      <c r="BF324" s="3">
        <v>1</v>
      </c>
      <c r="BG324" s="3">
        <v>2</v>
      </c>
      <c r="BH324">
        <v>0</v>
      </c>
      <c r="BI324">
        <v>0</v>
      </c>
      <c r="BJ324">
        <v>1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 t="s">
        <v>510</v>
      </c>
      <c r="BT324" t="s">
        <v>414</v>
      </c>
      <c r="BU324" t="s">
        <v>511</v>
      </c>
      <c r="BV324" t="s">
        <v>530</v>
      </c>
    </row>
    <row r="325" spans="1:74" s="1" customFormat="1" hidden="1" x14ac:dyDescent="0.2">
      <c r="A325">
        <v>336</v>
      </c>
      <c r="B325">
        <v>106</v>
      </c>
      <c r="C325" t="s">
        <v>184</v>
      </c>
      <c r="D325"/>
      <c r="E325" t="s">
        <v>80</v>
      </c>
      <c r="F325">
        <v>7</v>
      </c>
      <c r="G325">
        <v>2000</v>
      </c>
      <c r="H325">
        <v>22</v>
      </c>
      <c r="I325" t="s">
        <v>69</v>
      </c>
      <c r="J325">
        <v>2</v>
      </c>
      <c r="K325" t="s">
        <v>694</v>
      </c>
      <c r="L325" t="s">
        <v>701</v>
      </c>
      <c r="M325">
        <v>12</v>
      </c>
      <c r="N325">
        <v>54</v>
      </c>
      <c r="O325" t="s">
        <v>463</v>
      </c>
      <c r="P325" t="s">
        <v>354</v>
      </c>
      <c r="Q325" t="s">
        <v>774</v>
      </c>
      <c r="R325" t="s">
        <v>780</v>
      </c>
      <c r="S325" t="s">
        <v>499</v>
      </c>
      <c r="T325" t="s">
        <v>455</v>
      </c>
      <c r="U325" t="s">
        <v>546</v>
      </c>
      <c r="V325" t="s">
        <v>359</v>
      </c>
      <c r="W325" t="s">
        <v>195</v>
      </c>
      <c r="X325" t="s">
        <v>196</v>
      </c>
      <c r="Y325" t="s">
        <v>274</v>
      </c>
      <c r="Z325">
        <v>7</v>
      </c>
      <c r="AA325">
        <v>2</v>
      </c>
      <c r="AB325">
        <v>2</v>
      </c>
      <c r="AC325">
        <v>2</v>
      </c>
      <c r="AD325">
        <v>2</v>
      </c>
      <c r="AE325">
        <v>1</v>
      </c>
      <c r="AF325">
        <v>1</v>
      </c>
      <c r="AG325">
        <v>7</v>
      </c>
      <c r="AH325">
        <v>1</v>
      </c>
      <c r="AI325">
        <v>5</v>
      </c>
      <c r="AJ325">
        <v>1</v>
      </c>
      <c r="AK325">
        <v>1</v>
      </c>
      <c r="AL325">
        <v>1</v>
      </c>
      <c r="AM325">
        <v>1</v>
      </c>
      <c r="AN325">
        <v>142</v>
      </c>
      <c r="AO325">
        <v>7</v>
      </c>
      <c r="AP325">
        <v>3</v>
      </c>
      <c r="AQ325">
        <v>1</v>
      </c>
      <c r="AR325">
        <v>1</v>
      </c>
      <c r="AS325">
        <v>3</v>
      </c>
      <c r="AT325">
        <v>3</v>
      </c>
      <c r="AU325">
        <v>5</v>
      </c>
      <c r="AV325">
        <v>4</v>
      </c>
      <c r="AW325">
        <v>2</v>
      </c>
      <c r="AX325">
        <v>2</v>
      </c>
      <c r="AY325" cm="1">
        <f t="array" ref="AY325">_xlfn.IFS(AZ325="Positive",1, AZ325="Negative",1, AZ325="Neutral",0)</f>
        <v>1</v>
      </c>
      <c r="AZ325" t="s">
        <v>196</v>
      </c>
      <c r="BA325">
        <v>8</v>
      </c>
      <c r="BB325">
        <v>5</v>
      </c>
      <c r="BC325" s="3">
        <v>3</v>
      </c>
      <c r="BD325" s="3">
        <v>1</v>
      </c>
      <c r="BE325" s="3">
        <v>1</v>
      </c>
      <c r="BF325" s="3">
        <v>1</v>
      </c>
      <c r="BG325" s="3">
        <v>2</v>
      </c>
      <c r="BH325">
        <v>0</v>
      </c>
      <c r="BI325">
        <v>0</v>
      </c>
      <c r="BJ325">
        <v>5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 t="s">
        <v>619</v>
      </c>
      <c r="BT325" t="s">
        <v>295</v>
      </c>
      <c r="BU325" t="s">
        <v>620</v>
      </c>
      <c r="BV325" t="s">
        <v>473</v>
      </c>
    </row>
    <row r="326" spans="1:74" s="1" customFormat="1" x14ac:dyDescent="0.2">
      <c r="A326"/>
      <c r="B326">
        <v>108</v>
      </c>
      <c r="C326" t="s">
        <v>186</v>
      </c>
      <c r="D326"/>
      <c r="E326" t="s">
        <v>71</v>
      </c>
      <c r="F326">
        <v>7</v>
      </c>
      <c r="G326">
        <v>1999</v>
      </c>
      <c r="H326">
        <v>23</v>
      </c>
      <c r="I326" t="s">
        <v>64</v>
      </c>
      <c r="J326">
        <v>1</v>
      </c>
      <c r="K326" t="s">
        <v>700</v>
      </c>
      <c r="L326" t="s">
        <v>669</v>
      </c>
      <c r="M326">
        <v>1</v>
      </c>
      <c r="N326">
        <v>58</v>
      </c>
      <c r="O326" t="s">
        <v>611</v>
      </c>
      <c r="P326" t="s">
        <v>611</v>
      </c>
      <c r="Q326" t="s">
        <v>779</v>
      </c>
      <c r="R326" t="s">
        <v>745</v>
      </c>
      <c r="S326" t="s">
        <v>335</v>
      </c>
      <c r="T326" t="s">
        <v>364</v>
      </c>
      <c r="U326" t="s">
        <v>621</v>
      </c>
      <c r="V326" t="s">
        <v>612</v>
      </c>
      <c r="W326" t="s">
        <v>195</v>
      </c>
      <c r="X326" t="s">
        <v>196</v>
      </c>
      <c r="Y326" t="s">
        <v>274</v>
      </c>
      <c r="Z326">
        <v>7</v>
      </c>
      <c r="AA326">
        <v>7</v>
      </c>
      <c r="AB326">
        <v>6</v>
      </c>
      <c r="AC326">
        <v>6</v>
      </c>
      <c r="AD326">
        <v>6</v>
      </c>
      <c r="AE326">
        <v>7</v>
      </c>
      <c r="AF326">
        <v>6</v>
      </c>
      <c r="AG326">
        <v>7</v>
      </c>
      <c r="AH326">
        <v>7</v>
      </c>
      <c r="AI326">
        <v>7</v>
      </c>
      <c r="AJ326">
        <v>7</v>
      </c>
      <c r="AK326">
        <v>6</v>
      </c>
      <c r="AL326">
        <v>6</v>
      </c>
      <c r="AM326">
        <v>6</v>
      </c>
      <c r="AN326">
        <v>240</v>
      </c>
      <c r="AO326">
        <v>7</v>
      </c>
      <c r="AP326">
        <v>6</v>
      </c>
      <c r="AQ326">
        <v>7</v>
      </c>
      <c r="AR326">
        <v>7</v>
      </c>
      <c r="AS326">
        <v>7</v>
      </c>
      <c r="AT326">
        <v>7</v>
      </c>
      <c r="AU326">
        <v>7</v>
      </c>
      <c r="AV326">
        <v>7</v>
      </c>
      <c r="AW326">
        <v>7</v>
      </c>
      <c r="AX326">
        <v>3</v>
      </c>
      <c r="AY326">
        <v>1</v>
      </c>
      <c r="AZ326" t="s">
        <v>196</v>
      </c>
      <c r="BA326">
        <f>SUM(BC326:BG326)</f>
        <v>0</v>
      </c>
      <c r="BB326">
        <f>SUM(BH326:BR326)</f>
        <v>5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>
        <v>0</v>
      </c>
      <c r="BI326">
        <v>0</v>
      </c>
      <c r="BJ326">
        <v>4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 t="s">
        <v>344</v>
      </c>
      <c r="BT326" t="s">
        <v>367</v>
      </c>
      <c r="BU326" t="s">
        <v>347</v>
      </c>
      <c r="BV326" t="s">
        <v>371</v>
      </c>
    </row>
    <row r="327" spans="1:74" s="1" customFormat="1" hidden="1" x14ac:dyDescent="0.2">
      <c r="A327">
        <v>337</v>
      </c>
      <c r="B327">
        <v>107</v>
      </c>
      <c r="C327" t="s">
        <v>185</v>
      </c>
      <c r="D327"/>
      <c r="E327" t="s">
        <v>97</v>
      </c>
      <c r="F327">
        <v>9</v>
      </c>
      <c r="G327">
        <v>1998</v>
      </c>
      <c r="H327">
        <v>24</v>
      </c>
      <c r="I327" t="s">
        <v>69</v>
      </c>
      <c r="J327">
        <v>2</v>
      </c>
      <c r="K327" t="s">
        <v>649</v>
      </c>
      <c r="L327" t="s">
        <v>654</v>
      </c>
      <c r="M327">
        <v>15</v>
      </c>
      <c r="N327">
        <v>68</v>
      </c>
      <c r="O327" t="s">
        <v>585</v>
      </c>
      <c r="P327" t="s">
        <v>369</v>
      </c>
      <c r="Q327" t="s">
        <v>719</v>
      </c>
      <c r="R327" t="s">
        <v>728</v>
      </c>
      <c r="S327" t="s">
        <v>363</v>
      </c>
      <c r="T327" t="s">
        <v>487</v>
      </c>
      <c r="U327" t="s">
        <v>587</v>
      </c>
      <c r="V327" t="s">
        <v>374</v>
      </c>
      <c r="W327" t="s">
        <v>195</v>
      </c>
      <c r="X327" t="s">
        <v>196</v>
      </c>
      <c r="Y327" t="s">
        <v>274</v>
      </c>
      <c r="Z327">
        <v>7</v>
      </c>
      <c r="AA327">
        <v>7</v>
      </c>
      <c r="AB327">
        <v>7</v>
      </c>
      <c r="AC327">
        <v>6</v>
      </c>
      <c r="AD327">
        <v>4</v>
      </c>
      <c r="AE327">
        <v>4</v>
      </c>
      <c r="AF327">
        <v>1</v>
      </c>
      <c r="AG327">
        <v>1</v>
      </c>
      <c r="AH327">
        <v>7</v>
      </c>
      <c r="AI327">
        <v>7</v>
      </c>
      <c r="AJ327">
        <v>1</v>
      </c>
      <c r="AK327">
        <v>7</v>
      </c>
      <c r="AL327">
        <v>6</v>
      </c>
      <c r="AM327">
        <v>6</v>
      </c>
      <c r="AN327">
        <v>6</v>
      </c>
      <c r="AO327">
        <v>5</v>
      </c>
      <c r="AP327">
        <v>1</v>
      </c>
      <c r="AQ327">
        <v>3</v>
      </c>
      <c r="AR327">
        <v>6</v>
      </c>
      <c r="AS327">
        <v>5</v>
      </c>
      <c r="AT327">
        <v>5</v>
      </c>
      <c r="AU327">
        <v>4</v>
      </c>
      <c r="AV327">
        <v>6</v>
      </c>
      <c r="AW327">
        <v>6</v>
      </c>
      <c r="AX327">
        <v>1</v>
      </c>
      <c r="AY327" cm="1">
        <f t="array" ref="AY327">_xlfn.IFS(AZ327="Positive",1, AZ327="Negative",1, AZ327="Neutral",0)</f>
        <v>1</v>
      </c>
      <c r="AZ327" t="s">
        <v>196</v>
      </c>
      <c r="BA327">
        <v>16</v>
      </c>
      <c r="BB327">
        <v>3</v>
      </c>
      <c r="BC327" s="3">
        <v>10</v>
      </c>
      <c r="BD327" s="3">
        <v>3</v>
      </c>
      <c r="BE327" s="3">
        <v>2</v>
      </c>
      <c r="BF327" s="3">
        <v>1</v>
      </c>
      <c r="BG327" s="3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2</v>
      </c>
      <c r="BN327">
        <v>0</v>
      </c>
      <c r="BO327">
        <v>1</v>
      </c>
      <c r="BP327">
        <v>0</v>
      </c>
      <c r="BQ327">
        <v>0</v>
      </c>
      <c r="BR327">
        <v>0</v>
      </c>
      <c r="BS327" t="s">
        <v>453</v>
      </c>
      <c r="BT327" t="s">
        <v>433</v>
      </c>
      <c r="BU327" t="s">
        <v>472</v>
      </c>
      <c r="BV327" t="s">
        <v>435</v>
      </c>
    </row>
    <row r="328" spans="1:74" s="1" customFormat="1" hidden="1" x14ac:dyDescent="0.2">
      <c r="A328">
        <v>339</v>
      </c>
      <c r="B328">
        <v>109</v>
      </c>
      <c r="C328" t="s">
        <v>187</v>
      </c>
      <c r="D328"/>
      <c r="E328" t="s">
        <v>63</v>
      </c>
      <c r="F328">
        <v>1</v>
      </c>
      <c r="G328">
        <v>2000</v>
      </c>
      <c r="H328">
        <v>22</v>
      </c>
      <c r="I328" t="s">
        <v>69</v>
      </c>
      <c r="J328">
        <v>2</v>
      </c>
      <c r="K328" t="s">
        <v>416</v>
      </c>
      <c r="L328" t="s">
        <v>660</v>
      </c>
      <c r="M328">
        <v>1</v>
      </c>
      <c r="N328">
        <v>64</v>
      </c>
      <c r="O328" t="s">
        <v>460</v>
      </c>
      <c r="P328" t="s">
        <v>325</v>
      </c>
      <c r="Q328" t="s">
        <v>723</v>
      </c>
      <c r="R328" t="s">
        <v>733</v>
      </c>
      <c r="S328" t="s">
        <v>335</v>
      </c>
      <c r="T328" t="s">
        <v>540</v>
      </c>
      <c r="U328" t="s">
        <v>582</v>
      </c>
      <c r="V328" t="s">
        <v>331</v>
      </c>
      <c r="W328" t="s">
        <v>195</v>
      </c>
      <c r="X328" t="s">
        <v>196</v>
      </c>
      <c r="Y328" t="s">
        <v>274</v>
      </c>
      <c r="Z328">
        <v>7</v>
      </c>
      <c r="AA328">
        <v>6</v>
      </c>
      <c r="AB328">
        <v>7</v>
      </c>
      <c r="AC328">
        <v>5</v>
      </c>
      <c r="AD328">
        <v>3</v>
      </c>
      <c r="AE328">
        <v>4</v>
      </c>
      <c r="AF328">
        <v>1</v>
      </c>
      <c r="AG328">
        <v>1</v>
      </c>
      <c r="AH328">
        <v>6</v>
      </c>
      <c r="AI328">
        <v>6</v>
      </c>
      <c r="AJ328">
        <v>1</v>
      </c>
      <c r="AK328">
        <v>6</v>
      </c>
      <c r="AL328">
        <v>3</v>
      </c>
      <c r="AM328">
        <v>5</v>
      </c>
      <c r="AN328">
        <v>42</v>
      </c>
      <c r="AO328">
        <v>5</v>
      </c>
      <c r="AP328">
        <v>1</v>
      </c>
      <c r="AQ328">
        <v>6</v>
      </c>
      <c r="AR328">
        <v>6</v>
      </c>
      <c r="AS328">
        <v>6</v>
      </c>
      <c r="AT328">
        <v>6</v>
      </c>
      <c r="AU328">
        <v>6</v>
      </c>
      <c r="AV328">
        <v>6</v>
      </c>
      <c r="AW328">
        <v>6</v>
      </c>
      <c r="AX328">
        <v>1</v>
      </c>
      <c r="AY328" cm="1">
        <f t="array" ref="AY328">_xlfn.IFS(AZ328="Positive",1, AZ328="Negative",1, AZ328="Neutral",0)</f>
        <v>1</v>
      </c>
      <c r="AZ328" t="s">
        <v>196</v>
      </c>
      <c r="BA328">
        <v>6</v>
      </c>
      <c r="BB328">
        <v>0</v>
      </c>
      <c r="BC328" s="3">
        <v>3</v>
      </c>
      <c r="BD328" s="3">
        <v>0</v>
      </c>
      <c r="BE328" s="3">
        <v>2</v>
      </c>
      <c r="BF328" s="3">
        <v>1</v>
      </c>
      <c r="BG328" s="3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 t="s">
        <v>414</v>
      </c>
      <c r="BT328" t="s">
        <v>619</v>
      </c>
      <c r="BU328" t="s">
        <v>417</v>
      </c>
      <c r="BV328" t="s">
        <v>622</v>
      </c>
    </row>
    <row r="329" spans="1:74" s="1" customFormat="1" hidden="1" x14ac:dyDescent="0.2">
      <c r="A329">
        <v>340</v>
      </c>
      <c r="B329">
        <v>110</v>
      </c>
      <c r="C329" t="s">
        <v>188</v>
      </c>
      <c r="D329"/>
      <c r="E329" t="s">
        <v>68</v>
      </c>
      <c r="F329">
        <v>12</v>
      </c>
      <c r="G329">
        <v>2001</v>
      </c>
      <c r="H329">
        <v>21</v>
      </c>
      <c r="I329" t="s">
        <v>69</v>
      </c>
      <c r="J329">
        <v>2</v>
      </c>
      <c r="K329" t="s">
        <v>661</v>
      </c>
      <c r="L329" t="s">
        <v>633</v>
      </c>
      <c r="M329">
        <v>10</v>
      </c>
      <c r="N329">
        <v>71</v>
      </c>
      <c r="O329" t="s">
        <v>583</v>
      </c>
      <c r="P329" t="s">
        <v>542</v>
      </c>
      <c r="Q329" t="s">
        <v>734</v>
      </c>
      <c r="R329" t="s">
        <v>711</v>
      </c>
      <c r="S329" t="s">
        <v>378</v>
      </c>
      <c r="T329" t="s">
        <v>329</v>
      </c>
      <c r="U329" t="s">
        <v>623</v>
      </c>
      <c r="V329" t="s">
        <v>543</v>
      </c>
      <c r="W329" t="s">
        <v>195</v>
      </c>
      <c r="X329" t="s">
        <v>196</v>
      </c>
      <c r="Y329" t="s">
        <v>274</v>
      </c>
      <c r="Z329">
        <v>7</v>
      </c>
      <c r="AA329">
        <v>7</v>
      </c>
      <c r="AB329">
        <v>7</v>
      </c>
      <c r="AC329">
        <v>7</v>
      </c>
      <c r="AD329">
        <v>6</v>
      </c>
      <c r="AE329">
        <v>7</v>
      </c>
      <c r="AF329">
        <v>3</v>
      </c>
      <c r="AG329">
        <v>2</v>
      </c>
      <c r="AH329">
        <v>5</v>
      </c>
      <c r="AI329">
        <v>7</v>
      </c>
      <c r="AJ329">
        <v>1</v>
      </c>
      <c r="AK329">
        <v>6</v>
      </c>
      <c r="AL329">
        <v>6</v>
      </c>
      <c r="AM329">
        <v>4</v>
      </c>
      <c r="AN329">
        <v>6</v>
      </c>
      <c r="AO329">
        <v>1</v>
      </c>
      <c r="AP329">
        <v>2</v>
      </c>
      <c r="AQ329">
        <v>2</v>
      </c>
      <c r="AR329">
        <v>7</v>
      </c>
      <c r="AS329">
        <v>6</v>
      </c>
      <c r="AT329">
        <v>6</v>
      </c>
      <c r="AU329">
        <v>5</v>
      </c>
      <c r="AV329">
        <v>7</v>
      </c>
      <c r="AW329">
        <v>7</v>
      </c>
      <c r="AX329">
        <v>1</v>
      </c>
      <c r="AY329" cm="1">
        <f t="array" ref="AY329">_xlfn.IFS(AZ329="Positive",1, AZ329="Negative",1, AZ329="Neutral",0)</f>
        <v>1</v>
      </c>
      <c r="AZ329" t="s">
        <v>196</v>
      </c>
      <c r="BA329">
        <v>5</v>
      </c>
      <c r="BB329">
        <v>3</v>
      </c>
      <c r="BC329" s="3">
        <v>2</v>
      </c>
      <c r="BD329" s="3">
        <v>2</v>
      </c>
      <c r="BE329" s="3">
        <v>1</v>
      </c>
      <c r="BF329" s="3">
        <v>0</v>
      </c>
      <c r="BG329" s="3">
        <v>0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2</v>
      </c>
      <c r="BN329">
        <v>0</v>
      </c>
      <c r="BO329">
        <v>0</v>
      </c>
      <c r="BP329">
        <v>0</v>
      </c>
      <c r="BQ329">
        <v>0</v>
      </c>
      <c r="BR329">
        <v>0</v>
      </c>
      <c r="BS329" t="s">
        <v>510</v>
      </c>
      <c r="BT329">
        <v>3</v>
      </c>
      <c r="BU329" t="s">
        <v>511</v>
      </c>
      <c r="BV329" t="s">
        <v>309</v>
      </c>
    </row>
    <row r="330" spans="1:74" s="1" customFormat="1" hidden="1" x14ac:dyDescent="0.2">
      <c r="A330">
        <v>341</v>
      </c>
      <c r="B330">
        <v>111</v>
      </c>
      <c r="C330" t="s">
        <v>189</v>
      </c>
      <c r="D330"/>
      <c r="E330" t="s">
        <v>68</v>
      </c>
      <c r="F330">
        <v>20</v>
      </c>
      <c r="G330">
        <v>2001</v>
      </c>
      <c r="H330">
        <v>21</v>
      </c>
      <c r="I330" t="s">
        <v>64</v>
      </c>
      <c r="J330">
        <v>1</v>
      </c>
      <c r="K330" t="s">
        <v>667</v>
      </c>
      <c r="L330" t="s">
        <v>654</v>
      </c>
      <c r="M330">
        <v>10</v>
      </c>
      <c r="N330">
        <v>55</v>
      </c>
      <c r="O330" t="s">
        <v>338</v>
      </c>
      <c r="P330" t="s">
        <v>389</v>
      </c>
      <c r="Q330" t="s">
        <v>741</v>
      </c>
      <c r="R330" t="s">
        <v>728</v>
      </c>
      <c r="S330" t="s">
        <v>378</v>
      </c>
      <c r="T330" t="s">
        <v>404</v>
      </c>
      <c r="U330" t="s">
        <v>342</v>
      </c>
      <c r="V330" t="s">
        <v>392</v>
      </c>
      <c r="W330" t="s">
        <v>195</v>
      </c>
      <c r="X330" t="s">
        <v>196</v>
      </c>
      <c r="Y330" t="s">
        <v>274</v>
      </c>
      <c r="Z330">
        <v>7</v>
      </c>
      <c r="AA330">
        <v>5</v>
      </c>
      <c r="AB330">
        <v>6</v>
      </c>
      <c r="AC330">
        <v>6</v>
      </c>
      <c r="AD330">
        <v>6</v>
      </c>
      <c r="AE330">
        <v>2</v>
      </c>
      <c r="AF330">
        <v>2</v>
      </c>
      <c r="AG330">
        <v>3</v>
      </c>
      <c r="AH330">
        <v>5</v>
      </c>
      <c r="AI330">
        <v>6</v>
      </c>
      <c r="AJ330">
        <v>2</v>
      </c>
      <c r="AK330">
        <v>5</v>
      </c>
      <c r="AL330">
        <v>5</v>
      </c>
      <c r="AM330">
        <v>2</v>
      </c>
      <c r="AN330">
        <v>15</v>
      </c>
      <c r="AO330">
        <v>6</v>
      </c>
      <c r="AP330">
        <v>3</v>
      </c>
      <c r="AQ330">
        <v>3</v>
      </c>
      <c r="AR330">
        <v>3</v>
      </c>
      <c r="AS330">
        <v>5</v>
      </c>
      <c r="AT330">
        <v>5</v>
      </c>
      <c r="AU330">
        <v>5</v>
      </c>
      <c r="AV330">
        <v>5</v>
      </c>
      <c r="AW330">
        <v>5</v>
      </c>
      <c r="AX330">
        <v>2</v>
      </c>
      <c r="AY330" cm="1">
        <f t="array" ref="AY330">_xlfn.IFS(AZ330="Positive",1, AZ330="Negative",1, AZ330="Neutral",0)</f>
        <v>1</v>
      </c>
      <c r="AZ330" t="s">
        <v>196</v>
      </c>
      <c r="BA330">
        <v>4</v>
      </c>
      <c r="BB330">
        <v>0</v>
      </c>
      <c r="BC330" s="3">
        <v>2</v>
      </c>
      <c r="BD330" s="3">
        <v>0</v>
      </c>
      <c r="BE330" s="3">
        <v>0</v>
      </c>
      <c r="BF330" s="3">
        <v>0</v>
      </c>
      <c r="BG330" s="3">
        <v>2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 t="s">
        <v>619</v>
      </c>
      <c r="BT330" t="s">
        <v>536</v>
      </c>
      <c r="BU330" t="s">
        <v>620</v>
      </c>
      <c r="BV330" t="s">
        <v>556</v>
      </c>
    </row>
    <row r="331" spans="1:74" s="1" customFormat="1" hidden="1" x14ac:dyDescent="0.2">
      <c r="A331">
        <v>342</v>
      </c>
      <c r="B331">
        <v>112</v>
      </c>
      <c r="C331" t="s">
        <v>190</v>
      </c>
      <c r="D331"/>
      <c r="E331" t="s">
        <v>88</v>
      </c>
      <c r="F331">
        <v>21</v>
      </c>
      <c r="G331">
        <v>2001</v>
      </c>
      <c r="H331">
        <v>21</v>
      </c>
      <c r="I331" t="s">
        <v>69</v>
      </c>
      <c r="J331">
        <v>2</v>
      </c>
      <c r="K331" t="s">
        <v>637</v>
      </c>
      <c r="L331" t="s">
        <v>665</v>
      </c>
      <c r="M331">
        <v>0</v>
      </c>
      <c r="N331">
        <v>60</v>
      </c>
      <c r="O331" t="s">
        <v>539</v>
      </c>
      <c r="P331" t="s">
        <v>542</v>
      </c>
      <c r="Q331" t="s">
        <v>706</v>
      </c>
      <c r="R331" t="s">
        <v>739</v>
      </c>
      <c r="S331" t="s">
        <v>411</v>
      </c>
      <c r="T331" t="s">
        <v>444</v>
      </c>
      <c r="U331" t="s">
        <v>624</v>
      </c>
      <c r="V331" t="s">
        <v>543</v>
      </c>
      <c r="W331" t="s">
        <v>195</v>
      </c>
      <c r="X331" t="s">
        <v>196</v>
      </c>
      <c r="Y331" t="s">
        <v>274</v>
      </c>
      <c r="Z331">
        <v>7</v>
      </c>
      <c r="AA331">
        <v>7</v>
      </c>
      <c r="AB331">
        <v>7</v>
      </c>
      <c r="AC331">
        <v>6</v>
      </c>
      <c r="AD331">
        <v>5</v>
      </c>
      <c r="AE331">
        <v>7</v>
      </c>
      <c r="AF331">
        <v>1</v>
      </c>
      <c r="AG331">
        <v>3</v>
      </c>
      <c r="AH331">
        <v>7</v>
      </c>
      <c r="AI331">
        <v>7</v>
      </c>
      <c r="AJ331">
        <v>1</v>
      </c>
      <c r="AK331">
        <v>5</v>
      </c>
      <c r="AL331">
        <v>3</v>
      </c>
      <c r="AM331">
        <v>1</v>
      </c>
      <c r="AN331">
        <v>6</v>
      </c>
      <c r="AO331">
        <v>1</v>
      </c>
      <c r="AP331">
        <v>1</v>
      </c>
      <c r="AQ331">
        <v>3</v>
      </c>
      <c r="AR331">
        <v>7</v>
      </c>
      <c r="AS331">
        <v>7</v>
      </c>
      <c r="AT331">
        <v>7</v>
      </c>
      <c r="AU331">
        <v>7</v>
      </c>
      <c r="AV331">
        <v>7</v>
      </c>
      <c r="AW331">
        <v>4</v>
      </c>
      <c r="AX331">
        <v>1</v>
      </c>
      <c r="AY331" cm="1">
        <f t="array" ref="AY331">_xlfn.IFS(AZ331="Positive",1, AZ331="Negative",1, AZ331="Neutral",0)</f>
        <v>1</v>
      </c>
      <c r="AZ331" t="s">
        <v>196</v>
      </c>
      <c r="BA331">
        <v>5</v>
      </c>
      <c r="BB331">
        <v>0</v>
      </c>
      <c r="BC331" s="3">
        <v>3</v>
      </c>
      <c r="BD331" s="3">
        <v>0</v>
      </c>
      <c r="BE331" s="3">
        <v>1</v>
      </c>
      <c r="BF331" s="3">
        <v>0</v>
      </c>
      <c r="BG331" s="3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 t="s">
        <v>567</v>
      </c>
      <c r="BT331" t="s">
        <v>322</v>
      </c>
      <c r="BU331" t="s">
        <v>569</v>
      </c>
      <c r="BV331" t="s">
        <v>422</v>
      </c>
    </row>
    <row r="332" spans="1:74" s="1" customFormat="1" hidden="1" x14ac:dyDescent="0.2">
      <c r="A332">
        <v>343</v>
      </c>
      <c r="B332">
        <v>113</v>
      </c>
      <c r="C332" t="s">
        <v>191</v>
      </c>
      <c r="D332"/>
      <c r="E332" t="s">
        <v>68</v>
      </c>
      <c r="F332">
        <v>22</v>
      </c>
      <c r="G332">
        <v>1996</v>
      </c>
      <c r="H332">
        <v>26</v>
      </c>
      <c r="I332" t="s">
        <v>69</v>
      </c>
      <c r="J332">
        <v>2</v>
      </c>
      <c r="K332" t="s">
        <v>671</v>
      </c>
      <c r="L332" t="s">
        <v>675</v>
      </c>
      <c r="M332">
        <v>14</v>
      </c>
      <c r="N332">
        <v>57</v>
      </c>
      <c r="O332" t="s">
        <v>446</v>
      </c>
      <c r="P332">
        <v>6</v>
      </c>
      <c r="Q332" t="s">
        <v>748</v>
      </c>
      <c r="R332" t="s">
        <v>754</v>
      </c>
      <c r="S332" t="s">
        <v>550</v>
      </c>
      <c r="T332" t="s">
        <v>575</v>
      </c>
      <c r="U332" t="s">
        <v>448</v>
      </c>
      <c r="V332" t="s">
        <v>471</v>
      </c>
      <c r="W332" t="s">
        <v>195</v>
      </c>
      <c r="X332" t="s">
        <v>196</v>
      </c>
      <c r="Y332" t="s">
        <v>274</v>
      </c>
      <c r="Z332">
        <v>7</v>
      </c>
      <c r="AA332">
        <v>6</v>
      </c>
      <c r="AB332">
        <v>7</v>
      </c>
      <c r="AC332">
        <v>1</v>
      </c>
      <c r="AD332">
        <v>6</v>
      </c>
      <c r="AE332">
        <v>6</v>
      </c>
      <c r="AF332">
        <v>1</v>
      </c>
      <c r="AG332">
        <v>1</v>
      </c>
      <c r="AH332">
        <v>6</v>
      </c>
      <c r="AI332">
        <v>7</v>
      </c>
      <c r="AJ332">
        <v>1</v>
      </c>
      <c r="AK332">
        <v>7</v>
      </c>
      <c r="AL332">
        <v>7</v>
      </c>
      <c r="AM332">
        <v>1</v>
      </c>
      <c r="AN332">
        <v>202</v>
      </c>
      <c r="AO332">
        <v>1</v>
      </c>
      <c r="AP332">
        <v>1</v>
      </c>
      <c r="AQ332">
        <v>1</v>
      </c>
      <c r="AR332">
        <v>5</v>
      </c>
      <c r="AS332">
        <v>6</v>
      </c>
      <c r="AT332">
        <v>6</v>
      </c>
      <c r="AU332">
        <v>5</v>
      </c>
      <c r="AV332">
        <v>6</v>
      </c>
      <c r="AW332">
        <v>6</v>
      </c>
      <c r="AX332">
        <v>1</v>
      </c>
      <c r="AY332" cm="1">
        <f t="array" ref="AY332">_xlfn.IFS(AZ332="Positive",1, AZ332="Negative",1, AZ332="Neutral",0)</f>
        <v>1</v>
      </c>
      <c r="AZ332" t="s">
        <v>196</v>
      </c>
      <c r="BA332">
        <v>13</v>
      </c>
      <c r="BB332">
        <v>0</v>
      </c>
      <c r="BC332" s="3">
        <v>3</v>
      </c>
      <c r="BD332" s="3">
        <v>1</v>
      </c>
      <c r="BE332" s="3">
        <v>4</v>
      </c>
      <c r="BF332" s="3">
        <v>5</v>
      </c>
      <c r="BG332" s="3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3</v>
      </c>
      <c r="BT332" t="s">
        <v>489</v>
      </c>
      <c r="BU332" t="s">
        <v>395</v>
      </c>
      <c r="BV332" t="s">
        <v>512</v>
      </c>
    </row>
    <row r="333" spans="1:74" s="1" customFormat="1" hidden="1" x14ac:dyDescent="0.2">
      <c r="A333">
        <v>344</v>
      </c>
      <c r="B333">
        <v>114</v>
      </c>
      <c r="C333" t="s">
        <v>192</v>
      </c>
      <c r="D333"/>
      <c r="E333" t="s">
        <v>80</v>
      </c>
      <c r="F333">
        <v>26</v>
      </c>
      <c r="G333">
        <v>1997</v>
      </c>
      <c r="H333">
        <v>25</v>
      </c>
      <c r="I333" t="s">
        <v>69</v>
      </c>
      <c r="J333">
        <v>2</v>
      </c>
      <c r="K333" t="s">
        <v>481</v>
      </c>
      <c r="L333" t="s">
        <v>654</v>
      </c>
      <c r="M333">
        <v>12</v>
      </c>
      <c r="N333">
        <v>49</v>
      </c>
      <c r="O333" t="s">
        <v>625</v>
      </c>
      <c r="P333">
        <v>4</v>
      </c>
      <c r="Q333" t="s">
        <v>743</v>
      </c>
      <c r="R333" t="s">
        <v>728</v>
      </c>
      <c r="S333" t="s">
        <v>499</v>
      </c>
      <c r="T333" t="s">
        <v>491</v>
      </c>
      <c r="U333" t="s">
        <v>626</v>
      </c>
      <c r="V333" t="s">
        <v>627</v>
      </c>
      <c r="W333" t="s">
        <v>195</v>
      </c>
      <c r="X333" t="s">
        <v>196</v>
      </c>
      <c r="Y333" t="s">
        <v>274</v>
      </c>
      <c r="Z333">
        <v>7</v>
      </c>
      <c r="AA333">
        <v>6</v>
      </c>
      <c r="AB333">
        <v>6</v>
      </c>
      <c r="AC333">
        <v>1</v>
      </c>
      <c r="AD333">
        <v>1</v>
      </c>
      <c r="AE333">
        <v>1</v>
      </c>
      <c r="AF333">
        <v>1</v>
      </c>
      <c r="AG333">
        <v>7</v>
      </c>
      <c r="AH333">
        <v>5</v>
      </c>
      <c r="AI333">
        <v>7</v>
      </c>
      <c r="AJ333">
        <v>1</v>
      </c>
      <c r="AK333">
        <v>5</v>
      </c>
      <c r="AL333">
        <v>1</v>
      </c>
      <c r="AM333">
        <v>1</v>
      </c>
      <c r="AN333">
        <v>54</v>
      </c>
      <c r="AO333">
        <v>1</v>
      </c>
      <c r="AP333">
        <v>4</v>
      </c>
      <c r="AQ333">
        <v>1</v>
      </c>
      <c r="AR333">
        <v>1</v>
      </c>
      <c r="AS333">
        <v>2</v>
      </c>
      <c r="AT333">
        <v>1</v>
      </c>
      <c r="AU333">
        <v>6</v>
      </c>
      <c r="AV333">
        <v>3</v>
      </c>
      <c r="AW333">
        <v>7</v>
      </c>
      <c r="AX333">
        <v>2</v>
      </c>
      <c r="AY333" cm="1">
        <f t="array" ref="AY333">_xlfn.IFS(AZ333="Positive",1, AZ333="Negative",1, AZ333="Neutral",0)</f>
        <v>1</v>
      </c>
      <c r="AZ333" t="s">
        <v>196</v>
      </c>
      <c r="BA333">
        <v>13</v>
      </c>
      <c r="BB333">
        <v>2</v>
      </c>
      <c r="BC333" s="3">
        <v>4</v>
      </c>
      <c r="BD333" s="3">
        <v>1</v>
      </c>
      <c r="BE333" s="3">
        <v>3</v>
      </c>
      <c r="BF333" s="3">
        <v>3</v>
      </c>
      <c r="BG333" s="3">
        <v>2</v>
      </c>
      <c r="BH333">
        <v>1</v>
      </c>
      <c r="BI333">
        <v>0</v>
      </c>
      <c r="BJ333">
        <v>1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 t="s">
        <v>285</v>
      </c>
      <c r="BT333" t="s">
        <v>276</v>
      </c>
      <c r="BU333" t="s">
        <v>289</v>
      </c>
      <c r="BV333" t="s">
        <v>280</v>
      </c>
    </row>
    <row r="334" spans="1:74" s="1" customFormat="1" hidden="1" x14ac:dyDescent="0.2">
      <c r="A334">
        <v>345</v>
      </c>
      <c r="B334">
        <v>115</v>
      </c>
      <c r="C334" t="s">
        <v>193</v>
      </c>
      <c r="D334"/>
      <c r="E334" t="s">
        <v>93</v>
      </c>
      <c r="F334">
        <v>6</v>
      </c>
      <c r="G334">
        <v>1997</v>
      </c>
      <c r="H334">
        <v>25</v>
      </c>
      <c r="I334" t="s">
        <v>69</v>
      </c>
      <c r="J334">
        <v>2</v>
      </c>
      <c r="K334" t="s">
        <v>671</v>
      </c>
      <c r="L334" t="s">
        <v>677</v>
      </c>
      <c r="M334">
        <v>10</v>
      </c>
      <c r="N334">
        <v>52</v>
      </c>
      <c r="O334" t="s">
        <v>460</v>
      </c>
      <c r="P334" t="s">
        <v>315</v>
      </c>
      <c r="Q334" t="s">
        <v>748</v>
      </c>
      <c r="R334" t="s">
        <v>756</v>
      </c>
      <c r="S334" t="s">
        <v>378</v>
      </c>
      <c r="T334" t="s">
        <v>495</v>
      </c>
      <c r="U334" t="s">
        <v>582</v>
      </c>
      <c r="V334" t="s">
        <v>321</v>
      </c>
      <c r="W334" t="s">
        <v>195</v>
      </c>
      <c r="X334" t="s">
        <v>196</v>
      </c>
      <c r="Y334" t="s">
        <v>274</v>
      </c>
      <c r="Z334">
        <v>7</v>
      </c>
      <c r="AA334">
        <v>4</v>
      </c>
      <c r="AB334">
        <v>7</v>
      </c>
      <c r="AC334">
        <v>2</v>
      </c>
      <c r="AD334">
        <v>1</v>
      </c>
      <c r="AE334">
        <v>4</v>
      </c>
      <c r="AF334">
        <v>2</v>
      </c>
      <c r="AG334">
        <v>3</v>
      </c>
      <c r="AH334">
        <v>2</v>
      </c>
      <c r="AI334">
        <v>6</v>
      </c>
      <c r="AJ334">
        <v>1</v>
      </c>
      <c r="AK334">
        <v>4</v>
      </c>
      <c r="AL334">
        <v>4</v>
      </c>
      <c r="AM334">
        <v>5</v>
      </c>
      <c r="AN334">
        <v>30</v>
      </c>
      <c r="AO334">
        <v>2</v>
      </c>
      <c r="AP334">
        <v>3</v>
      </c>
      <c r="AQ334">
        <v>1</v>
      </c>
      <c r="AR334">
        <v>4</v>
      </c>
      <c r="AS334">
        <v>4</v>
      </c>
      <c r="AT334">
        <v>5</v>
      </c>
      <c r="AU334">
        <v>6</v>
      </c>
      <c r="AV334">
        <v>6</v>
      </c>
      <c r="AW334">
        <v>6</v>
      </c>
      <c r="AX334">
        <v>2</v>
      </c>
      <c r="AY334" cm="1">
        <f t="array" ref="AY334">_xlfn.IFS(AZ334="Positive",1, AZ334="Negative",1, AZ334="Neutral",0)</f>
        <v>1</v>
      </c>
      <c r="AZ334" t="s">
        <v>196</v>
      </c>
      <c r="BA334">
        <v>35</v>
      </c>
      <c r="BB334">
        <v>0</v>
      </c>
      <c r="BC334" s="3">
        <v>17</v>
      </c>
      <c r="BD334" s="3">
        <v>0</v>
      </c>
      <c r="BE334" s="3">
        <v>6</v>
      </c>
      <c r="BF334" s="3">
        <v>9</v>
      </c>
      <c r="BG334" s="3">
        <v>3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3</v>
      </c>
      <c r="BT334" t="s">
        <v>463</v>
      </c>
      <c r="BU334" t="s">
        <v>395</v>
      </c>
      <c r="BV334" t="s">
        <v>628</v>
      </c>
    </row>
    <row r="335" spans="1:74" hidden="1" x14ac:dyDescent="0.2">
      <c r="A335">
        <v>346</v>
      </c>
      <c r="B335">
        <v>1</v>
      </c>
      <c r="C335" t="s">
        <v>62</v>
      </c>
      <c r="E335" t="s">
        <v>63</v>
      </c>
      <c r="F335">
        <v>3</v>
      </c>
      <c r="G335">
        <v>1998</v>
      </c>
      <c r="H335">
        <v>24</v>
      </c>
      <c r="I335" t="s">
        <v>64</v>
      </c>
      <c r="J335">
        <v>1</v>
      </c>
      <c r="K335" t="s">
        <v>632</v>
      </c>
      <c r="L335" t="s">
        <v>633</v>
      </c>
      <c r="M335">
        <v>3</v>
      </c>
      <c r="N335">
        <v>49</v>
      </c>
      <c r="O335" t="s">
        <v>288</v>
      </c>
      <c r="P335" t="s">
        <v>481</v>
      </c>
      <c r="Q335" t="s">
        <v>731</v>
      </c>
      <c r="R335" t="s">
        <v>711</v>
      </c>
      <c r="S335" t="s">
        <v>372</v>
      </c>
      <c r="T335" t="s">
        <v>491</v>
      </c>
      <c r="U335" t="s">
        <v>461</v>
      </c>
      <c r="V335" t="s">
        <v>483</v>
      </c>
      <c r="W335" t="s">
        <v>197</v>
      </c>
      <c r="X335" t="s">
        <v>196</v>
      </c>
      <c r="Y335" t="s">
        <v>274</v>
      </c>
      <c r="Z335">
        <v>7</v>
      </c>
      <c r="AA335">
        <v>4</v>
      </c>
      <c r="AB335">
        <v>5</v>
      </c>
      <c r="AC335">
        <v>5</v>
      </c>
      <c r="AD335">
        <v>4</v>
      </c>
      <c r="AE335">
        <v>4</v>
      </c>
      <c r="AF335">
        <v>5</v>
      </c>
      <c r="AG335">
        <v>4</v>
      </c>
      <c r="AH335">
        <v>5</v>
      </c>
      <c r="AI335">
        <v>4</v>
      </c>
      <c r="AJ335">
        <v>5</v>
      </c>
      <c r="AK335">
        <v>5</v>
      </c>
      <c r="AL335">
        <v>3</v>
      </c>
      <c r="AM335">
        <v>4</v>
      </c>
      <c r="AN335">
        <v>146</v>
      </c>
      <c r="AO335">
        <v>4</v>
      </c>
      <c r="AP335">
        <v>5</v>
      </c>
      <c r="AQ335">
        <v>6</v>
      </c>
      <c r="AR335">
        <v>4</v>
      </c>
      <c r="AS335">
        <v>5</v>
      </c>
      <c r="AT335">
        <v>4</v>
      </c>
      <c r="AU335">
        <v>4</v>
      </c>
      <c r="AV335">
        <v>4</v>
      </c>
      <c r="AW335">
        <v>4</v>
      </c>
      <c r="AX335">
        <v>2</v>
      </c>
      <c r="AY335" cm="1">
        <f t="array" ref="AY335">_xlfn.IFS(AZ335="Positive",1, AZ335="Negative",1, AZ335="Neutral",0)</f>
        <v>1</v>
      </c>
      <c r="AZ335" t="s">
        <v>196</v>
      </c>
      <c r="BA335">
        <v>6</v>
      </c>
      <c r="BB335">
        <v>1</v>
      </c>
      <c r="BC335" s="3">
        <v>5</v>
      </c>
      <c r="BD335" s="3">
        <v>0</v>
      </c>
      <c r="BE335" s="3">
        <v>1</v>
      </c>
      <c r="BF335" s="3">
        <v>0</v>
      </c>
      <c r="BG335" s="3">
        <v>0</v>
      </c>
      <c r="BH335">
        <v>0</v>
      </c>
      <c r="BI335">
        <v>0</v>
      </c>
      <c r="BJ335">
        <v>0</v>
      </c>
      <c r="BK335">
        <v>0</v>
      </c>
      <c r="BL335">
        <v>1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 t="s">
        <v>453</v>
      </c>
      <c r="BT335">
        <v>3</v>
      </c>
      <c r="BU335" t="s">
        <v>472</v>
      </c>
      <c r="BV335" t="s">
        <v>309</v>
      </c>
    </row>
    <row r="336" spans="1:74" hidden="1" x14ac:dyDescent="0.2">
      <c r="A336">
        <v>347</v>
      </c>
      <c r="B336">
        <v>2</v>
      </c>
      <c r="C336" t="s">
        <v>67</v>
      </c>
      <c r="E336" t="s">
        <v>68</v>
      </c>
      <c r="F336">
        <v>22</v>
      </c>
      <c r="G336">
        <v>1998</v>
      </c>
      <c r="H336">
        <v>24</v>
      </c>
      <c r="I336" t="s">
        <v>69</v>
      </c>
      <c r="J336">
        <v>2</v>
      </c>
      <c r="K336" t="s">
        <v>632</v>
      </c>
      <c r="L336" t="s">
        <v>634</v>
      </c>
      <c r="M336">
        <v>7</v>
      </c>
      <c r="N336">
        <v>57</v>
      </c>
      <c r="O336" t="s">
        <v>460</v>
      </c>
      <c r="P336" t="s">
        <v>389</v>
      </c>
      <c r="Q336" t="s">
        <v>731</v>
      </c>
      <c r="R336" t="s">
        <v>747</v>
      </c>
      <c r="S336" t="s">
        <v>430</v>
      </c>
      <c r="T336" t="s">
        <v>575</v>
      </c>
      <c r="U336" t="s">
        <v>582</v>
      </c>
      <c r="V336" t="s">
        <v>392</v>
      </c>
      <c r="W336" t="s">
        <v>197</v>
      </c>
      <c r="X336" t="s">
        <v>196</v>
      </c>
      <c r="Y336" t="s">
        <v>274</v>
      </c>
      <c r="Z336">
        <v>7</v>
      </c>
      <c r="AA336">
        <v>6</v>
      </c>
      <c r="AB336">
        <v>6</v>
      </c>
      <c r="AC336">
        <v>5</v>
      </c>
      <c r="AD336">
        <v>2</v>
      </c>
      <c r="AE336">
        <v>3</v>
      </c>
      <c r="AF336">
        <v>1</v>
      </c>
      <c r="AG336">
        <v>1</v>
      </c>
      <c r="AH336">
        <v>5</v>
      </c>
      <c r="AI336">
        <v>6</v>
      </c>
      <c r="AJ336">
        <v>2</v>
      </c>
      <c r="AK336">
        <v>2</v>
      </c>
      <c r="AL336">
        <v>5</v>
      </c>
      <c r="AM336">
        <v>5</v>
      </c>
      <c r="AN336">
        <v>96</v>
      </c>
      <c r="AO336">
        <v>3</v>
      </c>
      <c r="AP336">
        <v>2</v>
      </c>
      <c r="AQ336">
        <v>7</v>
      </c>
      <c r="AR336">
        <v>5</v>
      </c>
      <c r="AS336">
        <v>5</v>
      </c>
      <c r="AT336">
        <v>5</v>
      </c>
      <c r="AU336">
        <v>6</v>
      </c>
      <c r="AV336">
        <v>6</v>
      </c>
      <c r="AW336">
        <v>5</v>
      </c>
      <c r="AX336">
        <v>1</v>
      </c>
      <c r="AY336" cm="1">
        <f t="array" ref="AY336">_xlfn.IFS(AZ336="Positive",1, AZ336="Negative",1, AZ336="Neutral",0)</f>
        <v>1</v>
      </c>
      <c r="AZ336" t="s">
        <v>196</v>
      </c>
      <c r="BA336">
        <v>9</v>
      </c>
      <c r="BB336">
        <v>2</v>
      </c>
      <c r="BC336" s="3">
        <v>4</v>
      </c>
      <c r="BD336" s="3">
        <v>1</v>
      </c>
      <c r="BE336" s="3">
        <v>0</v>
      </c>
      <c r="BF336" s="3">
        <v>4</v>
      </c>
      <c r="BG336" s="3">
        <v>0</v>
      </c>
      <c r="BH336">
        <v>1</v>
      </c>
      <c r="BI336">
        <v>0</v>
      </c>
      <c r="BJ336">
        <v>1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 t="s">
        <v>453</v>
      </c>
      <c r="BT336" t="s">
        <v>399</v>
      </c>
      <c r="BU336" t="s">
        <v>472</v>
      </c>
      <c r="BV336" t="s">
        <v>447</v>
      </c>
    </row>
    <row r="337" spans="1:74" x14ac:dyDescent="0.2">
      <c r="A337">
        <v>348</v>
      </c>
      <c r="B337">
        <v>3</v>
      </c>
      <c r="C337" t="s">
        <v>70</v>
      </c>
      <c r="E337" t="s">
        <v>71</v>
      </c>
      <c r="F337">
        <v>2</v>
      </c>
      <c r="G337">
        <v>1999</v>
      </c>
      <c r="H337">
        <v>23</v>
      </c>
      <c r="I337" t="s">
        <v>64</v>
      </c>
      <c r="J337">
        <v>1</v>
      </c>
      <c r="K337" t="s">
        <v>635</v>
      </c>
      <c r="L337" t="s">
        <v>636</v>
      </c>
      <c r="M337">
        <v>2</v>
      </c>
      <c r="N337">
        <v>66</v>
      </c>
      <c r="O337" t="s">
        <v>277</v>
      </c>
      <c r="P337" t="s">
        <v>278</v>
      </c>
      <c r="Q337" t="s">
        <v>704</v>
      </c>
      <c r="R337" t="s">
        <v>705</v>
      </c>
      <c r="S337" t="s">
        <v>281</v>
      </c>
      <c r="T337" t="s">
        <v>282</v>
      </c>
      <c r="U337" t="s">
        <v>283</v>
      </c>
      <c r="V337" t="s">
        <v>284</v>
      </c>
      <c r="W337" t="s">
        <v>197</v>
      </c>
      <c r="X337" t="s">
        <v>196</v>
      </c>
      <c r="Y337" t="s">
        <v>274</v>
      </c>
      <c r="Z337">
        <v>7</v>
      </c>
      <c r="AA337">
        <v>4</v>
      </c>
      <c r="AB337">
        <v>6</v>
      </c>
      <c r="AC337">
        <v>2</v>
      </c>
      <c r="AD337">
        <v>2</v>
      </c>
      <c r="AE337">
        <v>3</v>
      </c>
      <c r="AF337">
        <v>2</v>
      </c>
      <c r="AG337">
        <v>3</v>
      </c>
      <c r="AH337">
        <v>4</v>
      </c>
      <c r="AI337">
        <v>4</v>
      </c>
      <c r="AJ337">
        <v>4</v>
      </c>
      <c r="AK337">
        <v>4</v>
      </c>
      <c r="AL337">
        <v>2</v>
      </c>
      <c r="AM337">
        <v>4</v>
      </c>
      <c r="AN337">
        <v>125</v>
      </c>
      <c r="AO337">
        <v>2</v>
      </c>
      <c r="AP337">
        <v>4</v>
      </c>
      <c r="AQ337">
        <v>4</v>
      </c>
      <c r="AR337">
        <v>4</v>
      </c>
      <c r="AS337">
        <v>5</v>
      </c>
      <c r="AT337">
        <v>4</v>
      </c>
      <c r="AU337">
        <v>6</v>
      </c>
      <c r="AV337">
        <v>6</v>
      </c>
      <c r="AW337">
        <v>6</v>
      </c>
      <c r="AX337">
        <v>2</v>
      </c>
      <c r="AY337" cm="1">
        <f t="array" ref="AY337">_xlfn.IFS(AZ337="Positive",1, AZ337="Negative",1, AZ337="Neutral",0)</f>
        <v>1</v>
      </c>
      <c r="AZ337" t="s">
        <v>196</v>
      </c>
      <c r="BA337">
        <v>0</v>
      </c>
      <c r="BB337">
        <v>6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>
        <v>0</v>
      </c>
      <c r="BI337">
        <v>0</v>
      </c>
      <c r="BJ337">
        <v>5</v>
      </c>
      <c r="BK337">
        <v>0</v>
      </c>
      <c r="BL337">
        <v>1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 t="s">
        <v>275</v>
      </c>
      <c r="BT337" t="s">
        <v>276</v>
      </c>
      <c r="BU337" t="s">
        <v>279</v>
      </c>
      <c r="BV337" t="s">
        <v>280</v>
      </c>
    </row>
    <row r="338" spans="1:74" hidden="1" x14ac:dyDescent="0.2">
      <c r="A338">
        <v>349</v>
      </c>
      <c r="B338">
        <v>4</v>
      </c>
      <c r="C338" t="s">
        <v>72</v>
      </c>
      <c r="E338" t="s">
        <v>73</v>
      </c>
      <c r="F338">
        <v>2</v>
      </c>
      <c r="G338">
        <v>1999</v>
      </c>
      <c r="H338">
        <v>23</v>
      </c>
      <c r="I338" t="s">
        <v>64</v>
      </c>
      <c r="J338">
        <v>1</v>
      </c>
      <c r="K338" t="s">
        <v>637</v>
      </c>
      <c r="L338" t="s">
        <v>638</v>
      </c>
      <c r="M338">
        <v>8</v>
      </c>
      <c r="N338">
        <v>61</v>
      </c>
      <c r="O338" t="s">
        <v>287</v>
      </c>
      <c r="P338" t="s">
        <v>288</v>
      </c>
      <c r="Q338" t="s">
        <v>706</v>
      </c>
      <c r="R338" t="s">
        <v>707</v>
      </c>
      <c r="S338" t="s">
        <v>291</v>
      </c>
      <c r="T338" t="s">
        <v>292</v>
      </c>
      <c r="U338" t="s">
        <v>293</v>
      </c>
      <c r="V338" t="s">
        <v>294</v>
      </c>
      <c r="W338" t="s">
        <v>197</v>
      </c>
      <c r="X338" t="s">
        <v>196</v>
      </c>
      <c r="Y338" t="s">
        <v>274</v>
      </c>
      <c r="Z338">
        <v>7</v>
      </c>
      <c r="AA338">
        <v>5</v>
      </c>
      <c r="AB338">
        <v>6</v>
      </c>
      <c r="AC338">
        <v>6</v>
      </c>
      <c r="AD338">
        <v>1</v>
      </c>
      <c r="AE338">
        <v>4</v>
      </c>
      <c r="AF338">
        <v>1</v>
      </c>
      <c r="AG338">
        <v>1</v>
      </c>
      <c r="AH338">
        <v>4</v>
      </c>
      <c r="AI338">
        <v>7</v>
      </c>
      <c r="AJ338">
        <v>1</v>
      </c>
      <c r="AK338">
        <v>4</v>
      </c>
      <c r="AL338">
        <v>5</v>
      </c>
      <c r="AM338">
        <v>6</v>
      </c>
      <c r="AN338">
        <v>157</v>
      </c>
      <c r="AO338">
        <v>3</v>
      </c>
      <c r="AP338">
        <v>1</v>
      </c>
      <c r="AQ338">
        <v>4</v>
      </c>
      <c r="AR338">
        <v>2</v>
      </c>
      <c r="AS338">
        <v>2</v>
      </c>
      <c r="AT338">
        <v>2</v>
      </c>
      <c r="AU338">
        <v>6</v>
      </c>
      <c r="AV338">
        <v>6</v>
      </c>
      <c r="AW338">
        <v>6</v>
      </c>
      <c r="AX338">
        <v>1</v>
      </c>
      <c r="AY338" cm="1">
        <f t="array" ref="AY338">_xlfn.IFS(AZ338="Positive",1, AZ338="Negative",1, AZ338="Neutral",0)</f>
        <v>1</v>
      </c>
      <c r="AZ338" t="s">
        <v>196</v>
      </c>
      <c r="BA338">
        <v>8</v>
      </c>
      <c r="BB338">
        <v>1</v>
      </c>
      <c r="BC338" s="3">
        <v>7</v>
      </c>
      <c r="BD338" s="3">
        <v>0</v>
      </c>
      <c r="BE338" s="3">
        <v>1</v>
      </c>
      <c r="BF338" s="3">
        <v>0</v>
      </c>
      <c r="BG338" s="3">
        <v>0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 t="s">
        <v>285</v>
      </c>
      <c r="BT338" t="s">
        <v>286</v>
      </c>
      <c r="BU338" t="s">
        <v>289</v>
      </c>
      <c r="BV338" t="s">
        <v>290</v>
      </c>
    </row>
    <row r="339" spans="1:74" hidden="1" x14ac:dyDescent="0.2">
      <c r="A339">
        <v>350</v>
      </c>
      <c r="B339">
        <v>5</v>
      </c>
      <c r="C339" t="s">
        <v>74</v>
      </c>
      <c r="E339" t="s">
        <v>68</v>
      </c>
      <c r="F339">
        <v>6</v>
      </c>
      <c r="G339">
        <v>2001</v>
      </c>
      <c r="H339">
        <v>21</v>
      </c>
      <c r="I339" t="s">
        <v>69</v>
      </c>
      <c r="J339">
        <v>2</v>
      </c>
      <c r="K339" t="s">
        <v>639</v>
      </c>
      <c r="L339" t="s">
        <v>640</v>
      </c>
      <c r="M339">
        <v>20</v>
      </c>
      <c r="N339">
        <v>51</v>
      </c>
      <c r="O339" t="s">
        <v>297</v>
      </c>
      <c r="P339" t="s">
        <v>298</v>
      </c>
      <c r="Q339" t="s">
        <v>708</v>
      </c>
      <c r="R339" t="s">
        <v>709</v>
      </c>
      <c r="S339" t="s">
        <v>301</v>
      </c>
      <c r="T339" t="s">
        <v>302</v>
      </c>
      <c r="U339" t="s">
        <v>303</v>
      </c>
      <c r="V339" t="s">
        <v>304</v>
      </c>
      <c r="W339" t="s">
        <v>197</v>
      </c>
      <c r="X339" t="s">
        <v>196</v>
      </c>
      <c r="Y339" t="s">
        <v>274</v>
      </c>
      <c r="Z339">
        <v>7</v>
      </c>
      <c r="AA339">
        <v>2</v>
      </c>
      <c r="AB339">
        <v>5</v>
      </c>
      <c r="AC339">
        <v>2</v>
      </c>
      <c r="AD339">
        <v>5</v>
      </c>
      <c r="AE339">
        <v>1</v>
      </c>
      <c r="AF339">
        <v>1</v>
      </c>
      <c r="AG339">
        <v>1</v>
      </c>
      <c r="AH339">
        <v>2</v>
      </c>
      <c r="AI339">
        <v>6</v>
      </c>
      <c r="AJ339">
        <v>1</v>
      </c>
      <c r="AK339">
        <v>5</v>
      </c>
      <c r="AL339">
        <v>2</v>
      </c>
      <c r="AM339">
        <v>2</v>
      </c>
      <c r="AN339">
        <v>120</v>
      </c>
      <c r="AO339">
        <v>1</v>
      </c>
      <c r="AP339">
        <v>1</v>
      </c>
      <c r="AQ339">
        <v>1</v>
      </c>
      <c r="AR339">
        <v>1</v>
      </c>
      <c r="AS339">
        <v>4</v>
      </c>
      <c r="AT339">
        <v>1</v>
      </c>
      <c r="AU339">
        <v>1</v>
      </c>
      <c r="AV339">
        <v>2</v>
      </c>
      <c r="AW339">
        <v>5</v>
      </c>
      <c r="AX339">
        <v>1</v>
      </c>
      <c r="AY339" cm="1">
        <f t="array" ref="AY339">_xlfn.IFS(AZ339="Positive",1, AZ339="Negative",1, AZ339="Neutral",0)</f>
        <v>1</v>
      </c>
      <c r="AZ339" t="s">
        <v>196</v>
      </c>
      <c r="BA339">
        <v>7</v>
      </c>
      <c r="BB339">
        <v>0</v>
      </c>
      <c r="BC339" s="3">
        <v>4</v>
      </c>
      <c r="BD339" s="3">
        <v>0</v>
      </c>
      <c r="BE339" s="3">
        <v>2</v>
      </c>
      <c r="BF339" s="3">
        <v>1</v>
      </c>
      <c r="BG339" s="3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 t="s">
        <v>295</v>
      </c>
      <c r="BT339" t="s">
        <v>296</v>
      </c>
      <c r="BU339" t="s">
        <v>299</v>
      </c>
      <c r="BV339" t="s">
        <v>300</v>
      </c>
    </row>
    <row r="340" spans="1:74" hidden="1" x14ac:dyDescent="0.2">
      <c r="A340">
        <v>351</v>
      </c>
      <c r="B340">
        <v>6</v>
      </c>
      <c r="C340" t="s">
        <v>75</v>
      </c>
      <c r="E340" t="s">
        <v>76</v>
      </c>
      <c r="F340">
        <v>28</v>
      </c>
      <c r="G340">
        <v>1999</v>
      </c>
      <c r="H340">
        <v>23</v>
      </c>
      <c r="I340" t="s">
        <v>64</v>
      </c>
      <c r="J340">
        <v>1</v>
      </c>
      <c r="K340" t="s">
        <v>641</v>
      </c>
      <c r="L340" t="s">
        <v>633</v>
      </c>
      <c r="M340">
        <v>21</v>
      </c>
      <c r="N340">
        <v>61</v>
      </c>
      <c r="O340" t="s">
        <v>306</v>
      </c>
      <c r="P340" t="s">
        <v>307</v>
      </c>
      <c r="Q340" t="s">
        <v>710</v>
      </c>
      <c r="R340" t="s">
        <v>711</v>
      </c>
      <c r="S340" t="s">
        <v>310</v>
      </c>
      <c r="T340" t="s">
        <v>292</v>
      </c>
      <c r="U340" t="s">
        <v>311</v>
      </c>
      <c r="V340" t="s">
        <v>312</v>
      </c>
      <c r="W340" t="s">
        <v>197</v>
      </c>
      <c r="X340" t="s">
        <v>196</v>
      </c>
      <c r="Y340" t="s">
        <v>274</v>
      </c>
      <c r="Z340">
        <v>7</v>
      </c>
      <c r="AA340">
        <v>7</v>
      </c>
      <c r="AB340">
        <v>7</v>
      </c>
      <c r="AC340">
        <v>7</v>
      </c>
      <c r="AD340">
        <v>4</v>
      </c>
      <c r="AE340">
        <v>7</v>
      </c>
      <c r="AF340">
        <v>5</v>
      </c>
      <c r="AG340">
        <v>2</v>
      </c>
      <c r="AH340">
        <v>7</v>
      </c>
      <c r="AI340">
        <v>7</v>
      </c>
      <c r="AJ340">
        <v>1</v>
      </c>
      <c r="AK340">
        <v>7</v>
      </c>
      <c r="AL340">
        <v>7</v>
      </c>
      <c r="AM340">
        <v>6</v>
      </c>
      <c r="AN340">
        <v>22</v>
      </c>
      <c r="AO340">
        <v>5</v>
      </c>
      <c r="AP340">
        <v>1</v>
      </c>
      <c r="AQ340">
        <v>1</v>
      </c>
      <c r="AR340">
        <v>7</v>
      </c>
      <c r="AS340">
        <v>7</v>
      </c>
      <c r="AT340">
        <v>7</v>
      </c>
      <c r="AU340">
        <v>7</v>
      </c>
      <c r="AV340">
        <v>7</v>
      </c>
      <c r="AW340">
        <v>6</v>
      </c>
      <c r="AX340">
        <v>1</v>
      </c>
      <c r="AY340" cm="1">
        <f t="array" ref="AY340">_xlfn.IFS(AZ340="Positive",1, AZ340="Negative",1, AZ340="Neutral",0)</f>
        <v>1</v>
      </c>
      <c r="AZ340" t="s">
        <v>196</v>
      </c>
      <c r="BA340">
        <v>10</v>
      </c>
      <c r="BB340">
        <v>1</v>
      </c>
      <c r="BC340" s="3">
        <v>6</v>
      </c>
      <c r="BD340" s="3">
        <v>0</v>
      </c>
      <c r="BE340" s="3">
        <v>2</v>
      </c>
      <c r="BF340" s="3">
        <v>1</v>
      </c>
      <c r="BG340" s="3">
        <v>1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 t="s">
        <v>305</v>
      </c>
      <c r="BT340">
        <v>3</v>
      </c>
      <c r="BU340" t="s">
        <v>308</v>
      </c>
      <c r="BV340" t="s">
        <v>309</v>
      </c>
    </row>
    <row r="341" spans="1:74" x14ac:dyDescent="0.2">
      <c r="A341">
        <v>352</v>
      </c>
      <c r="B341">
        <v>7</v>
      </c>
      <c r="C341" t="s">
        <v>77</v>
      </c>
      <c r="E341" t="s">
        <v>78</v>
      </c>
      <c r="F341">
        <v>11</v>
      </c>
      <c r="G341">
        <v>2001</v>
      </c>
      <c r="H341">
        <v>21</v>
      </c>
      <c r="I341" t="s">
        <v>64</v>
      </c>
      <c r="J341">
        <v>1</v>
      </c>
      <c r="K341" t="s">
        <v>642</v>
      </c>
      <c r="L341" t="s">
        <v>643</v>
      </c>
      <c r="M341">
        <v>5</v>
      </c>
      <c r="N341">
        <v>62</v>
      </c>
      <c r="O341" t="s">
        <v>314</v>
      </c>
      <c r="P341" t="s">
        <v>315</v>
      </c>
      <c r="Q341" t="s">
        <v>712</v>
      </c>
      <c r="R341" t="s">
        <v>713</v>
      </c>
      <c r="S341" t="s">
        <v>318</v>
      </c>
      <c r="T341" t="s">
        <v>319</v>
      </c>
      <c r="U341" t="s">
        <v>320</v>
      </c>
      <c r="V341" t="s">
        <v>321</v>
      </c>
      <c r="W341" t="s">
        <v>197</v>
      </c>
      <c r="X341" t="s">
        <v>196</v>
      </c>
      <c r="Y341" t="s">
        <v>274</v>
      </c>
      <c r="Z341">
        <v>7</v>
      </c>
      <c r="AA341">
        <v>7</v>
      </c>
      <c r="AB341">
        <v>7</v>
      </c>
      <c r="AC341">
        <v>6</v>
      </c>
      <c r="AD341">
        <v>7</v>
      </c>
      <c r="AE341">
        <v>6</v>
      </c>
      <c r="AF341">
        <v>3</v>
      </c>
      <c r="AG341">
        <v>1</v>
      </c>
      <c r="AH341">
        <v>7</v>
      </c>
      <c r="AI341">
        <v>7</v>
      </c>
      <c r="AJ341">
        <v>2</v>
      </c>
      <c r="AK341">
        <v>7</v>
      </c>
      <c r="AL341">
        <v>7</v>
      </c>
      <c r="AM341">
        <v>7</v>
      </c>
      <c r="AN341">
        <v>97</v>
      </c>
      <c r="AO341">
        <v>6</v>
      </c>
      <c r="AP341">
        <v>1</v>
      </c>
      <c r="AQ341">
        <v>1</v>
      </c>
      <c r="AR341">
        <v>5</v>
      </c>
      <c r="AS341">
        <v>6</v>
      </c>
      <c r="AT341">
        <v>4</v>
      </c>
      <c r="AU341">
        <v>5</v>
      </c>
      <c r="AV341">
        <v>5</v>
      </c>
      <c r="AW341">
        <v>5</v>
      </c>
      <c r="AX341">
        <v>1</v>
      </c>
      <c r="AY341" cm="1">
        <f t="array" ref="AY341">_xlfn.IFS(AZ341="Positive",1, AZ341="Negative",1, AZ341="Neutral",0)</f>
        <v>1</v>
      </c>
      <c r="AZ341" t="s">
        <v>196</v>
      </c>
      <c r="BA341">
        <v>0</v>
      </c>
      <c r="BB341">
        <v>4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>
        <v>0</v>
      </c>
      <c r="BI341">
        <v>0</v>
      </c>
      <c r="BJ341">
        <v>0</v>
      </c>
      <c r="BK341">
        <v>0</v>
      </c>
      <c r="BL341">
        <v>4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 t="s">
        <v>313</v>
      </c>
      <c r="BT341" t="s">
        <v>313</v>
      </c>
      <c r="BU341" t="s">
        <v>316</v>
      </c>
      <c r="BV341" t="s">
        <v>317</v>
      </c>
    </row>
    <row r="342" spans="1:74" hidden="1" x14ac:dyDescent="0.2">
      <c r="A342">
        <v>353</v>
      </c>
      <c r="B342">
        <v>8</v>
      </c>
      <c r="C342" t="s">
        <v>79</v>
      </c>
      <c r="E342" t="s">
        <v>80</v>
      </c>
      <c r="F342">
        <v>22</v>
      </c>
      <c r="G342">
        <v>2000</v>
      </c>
      <c r="H342">
        <v>22</v>
      </c>
      <c r="I342" t="s">
        <v>64</v>
      </c>
      <c r="J342">
        <v>1</v>
      </c>
      <c r="K342" t="s">
        <v>644</v>
      </c>
      <c r="L342" t="s">
        <v>645</v>
      </c>
      <c r="M342">
        <v>13</v>
      </c>
      <c r="N342">
        <v>71</v>
      </c>
      <c r="O342" t="s">
        <v>324</v>
      </c>
      <c r="P342" t="s">
        <v>325</v>
      </c>
      <c r="Q342" t="s">
        <v>714</v>
      </c>
      <c r="R342" t="s">
        <v>715</v>
      </c>
      <c r="S342" t="s">
        <v>328</v>
      </c>
      <c r="T342" t="s">
        <v>329</v>
      </c>
      <c r="U342" t="s">
        <v>330</v>
      </c>
      <c r="V342" t="s">
        <v>331</v>
      </c>
      <c r="W342" t="s">
        <v>197</v>
      </c>
      <c r="X342" t="s">
        <v>196</v>
      </c>
      <c r="Y342" t="s">
        <v>274</v>
      </c>
      <c r="Z342">
        <v>7</v>
      </c>
      <c r="AA342">
        <v>6</v>
      </c>
      <c r="AB342">
        <v>6</v>
      </c>
      <c r="AC342">
        <v>6</v>
      </c>
      <c r="AD342">
        <v>2</v>
      </c>
      <c r="AE342">
        <v>2</v>
      </c>
      <c r="AF342">
        <v>3</v>
      </c>
      <c r="AG342">
        <v>2</v>
      </c>
      <c r="AH342">
        <v>5</v>
      </c>
      <c r="AI342">
        <v>6</v>
      </c>
      <c r="AJ342">
        <v>1</v>
      </c>
      <c r="AK342">
        <v>5</v>
      </c>
      <c r="AL342">
        <v>5</v>
      </c>
      <c r="AM342">
        <v>6</v>
      </c>
      <c r="AN342">
        <v>38</v>
      </c>
      <c r="AO342">
        <v>5</v>
      </c>
      <c r="AP342">
        <v>2</v>
      </c>
      <c r="AQ342">
        <v>5</v>
      </c>
      <c r="AR342">
        <v>6</v>
      </c>
      <c r="AS342">
        <v>6</v>
      </c>
      <c r="AT342">
        <v>6</v>
      </c>
      <c r="AU342">
        <v>6</v>
      </c>
      <c r="AV342">
        <v>6</v>
      </c>
      <c r="AW342">
        <v>4</v>
      </c>
      <c r="AX342">
        <v>1</v>
      </c>
      <c r="AY342" cm="1">
        <f t="array" ref="AY342">_xlfn.IFS(AZ342="Positive",1, AZ342="Negative",1, AZ342="Neutral",0)</f>
        <v>1</v>
      </c>
      <c r="AZ342" t="s">
        <v>196</v>
      </c>
      <c r="BA342">
        <v>34</v>
      </c>
      <c r="BB342">
        <v>3</v>
      </c>
      <c r="BC342" s="3">
        <v>21</v>
      </c>
      <c r="BD342" s="3">
        <v>0</v>
      </c>
      <c r="BE342" s="3">
        <v>2</v>
      </c>
      <c r="BF342" s="3">
        <v>7</v>
      </c>
      <c r="BG342" s="3">
        <v>4</v>
      </c>
      <c r="BH342">
        <v>0</v>
      </c>
      <c r="BI342">
        <v>0</v>
      </c>
      <c r="BJ342">
        <v>1</v>
      </c>
      <c r="BK342">
        <v>2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 t="s">
        <v>322</v>
      </c>
      <c r="BT342" t="s">
        <v>323</v>
      </c>
      <c r="BU342" t="s">
        <v>326</v>
      </c>
      <c r="BV342" t="s">
        <v>327</v>
      </c>
    </row>
    <row r="343" spans="1:74" hidden="1" x14ac:dyDescent="0.2">
      <c r="A343">
        <v>354</v>
      </c>
      <c r="B343">
        <v>9</v>
      </c>
      <c r="C343" t="s">
        <v>81</v>
      </c>
      <c r="E343" t="s">
        <v>82</v>
      </c>
      <c r="F343">
        <v>29</v>
      </c>
      <c r="G343">
        <v>1999</v>
      </c>
      <c r="H343">
        <v>23</v>
      </c>
      <c r="I343" t="s">
        <v>69</v>
      </c>
      <c r="J343">
        <v>2</v>
      </c>
      <c r="K343" t="s">
        <v>646</v>
      </c>
      <c r="L343" t="s">
        <v>647</v>
      </c>
      <c r="M343">
        <v>1</v>
      </c>
      <c r="N343">
        <v>43</v>
      </c>
      <c r="O343" t="s">
        <v>332</v>
      </c>
      <c r="P343" t="s">
        <v>315</v>
      </c>
      <c r="Q343" t="s">
        <v>716</v>
      </c>
      <c r="R343" t="s">
        <v>717</v>
      </c>
      <c r="S343" t="s">
        <v>335</v>
      </c>
      <c r="T343" t="s">
        <v>336</v>
      </c>
      <c r="U343" t="s">
        <v>337</v>
      </c>
      <c r="V343" t="s">
        <v>321</v>
      </c>
      <c r="W343" t="s">
        <v>197</v>
      </c>
      <c r="X343" t="s">
        <v>196</v>
      </c>
      <c r="Y343" t="s">
        <v>274</v>
      </c>
      <c r="Z343">
        <v>7</v>
      </c>
      <c r="AA343">
        <v>2</v>
      </c>
      <c r="AB343">
        <v>7</v>
      </c>
      <c r="AC343">
        <v>4</v>
      </c>
      <c r="AD343">
        <v>1</v>
      </c>
      <c r="AE343">
        <v>7</v>
      </c>
      <c r="AF343">
        <v>1</v>
      </c>
      <c r="AG343">
        <v>5</v>
      </c>
      <c r="AH343">
        <v>4</v>
      </c>
      <c r="AI343">
        <v>5</v>
      </c>
      <c r="AJ343">
        <v>1</v>
      </c>
      <c r="AK343">
        <v>4</v>
      </c>
      <c r="AL343">
        <v>4</v>
      </c>
      <c r="AM343">
        <v>7</v>
      </c>
      <c r="AN343">
        <v>192</v>
      </c>
      <c r="AO343">
        <v>1</v>
      </c>
      <c r="AP343">
        <v>3</v>
      </c>
      <c r="AQ343">
        <v>4</v>
      </c>
      <c r="AR343">
        <v>4</v>
      </c>
      <c r="AS343">
        <v>4</v>
      </c>
      <c r="AT343">
        <v>4</v>
      </c>
      <c r="AU343">
        <v>7</v>
      </c>
      <c r="AV343">
        <v>6</v>
      </c>
      <c r="AW343">
        <v>6</v>
      </c>
      <c r="AX343">
        <v>2</v>
      </c>
      <c r="AY343" cm="1">
        <f t="array" ref="AY343">_xlfn.IFS(AZ343="Positive",1, AZ343="Negative",1, AZ343="Neutral",0)</f>
        <v>1</v>
      </c>
      <c r="AZ343" t="s">
        <v>196</v>
      </c>
      <c r="BA343">
        <v>5</v>
      </c>
      <c r="BB343">
        <v>0</v>
      </c>
      <c r="BC343" s="3">
        <v>3</v>
      </c>
      <c r="BD343" s="3">
        <v>1</v>
      </c>
      <c r="BE343" s="3">
        <v>1</v>
      </c>
      <c r="BF343" s="3">
        <v>0</v>
      </c>
      <c r="BG343" s="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2</v>
      </c>
      <c r="BT343" t="s">
        <v>275</v>
      </c>
      <c r="BU343" t="s">
        <v>333</v>
      </c>
      <c r="BV343" t="s">
        <v>334</v>
      </c>
    </row>
    <row r="344" spans="1:74" hidden="1" x14ac:dyDescent="0.2">
      <c r="A344">
        <v>355</v>
      </c>
      <c r="B344">
        <v>10</v>
      </c>
      <c r="C344" t="s">
        <v>83</v>
      </c>
      <c r="E344" t="s">
        <v>80</v>
      </c>
      <c r="F344">
        <v>23</v>
      </c>
      <c r="G344">
        <v>2001</v>
      </c>
      <c r="H344">
        <v>21</v>
      </c>
      <c r="I344" t="s">
        <v>64</v>
      </c>
      <c r="J344">
        <v>1</v>
      </c>
      <c r="K344" t="s">
        <v>637</v>
      </c>
      <c r="L344" t="s">
        <v>648</v>
      </c>
      <c r="M344">
        <v>13</v>
      </c>
      <c r="N344">
        <v>59</v>
      </c>
      <c r="O344" t="s">
        <v>338</v>
      </c>
      <c r="P344" t="s">
        <v>339</v>
      </c>
      <c r="Q344" t="s">
        <v>706</v>
      </c>
      <c r="R344" t="s">
        <v>718</v>
      </c>
      <c r="S344" t="s">
        <v>328</v>
      </c>
      <c r="T344" t="s">
        <v>341</v>
      </c>
      <c r="U344" t="s">
        <v>342</v>
      </c>
      <c r="V344" t="s">
        <v>343</v>
      </c>
      <c r="W344" t="s">
        <v>197</v>
      </c>
      <c r="X344" t="s">
        <v>196</v>
      </c>
      <c r="Y344" t="s">
        <v>274</v>
      </c>
      <c r="Z344">
        <v>7</v>
      </c>
      <c r="AA344">
        <v>3</v>
      </c>
      <c r="AB344">
        <v>5</v>
      </c>
      <c r="AC344">
        <v>2</v>
      </c>
      <c r="AD344">
        <v>1</v>
      </c>
      <c r="AE344">
        <v>1</v>
      </c>
      <c r="AF344">
        <v>1</v>
      </c>
      <c r="AG344">
        <v>5</v>
      </c>
      <c r="AH344">
        <v>5</v>
      </c>
      <c r="AI344">
        <v>5</v>
      </c>
      <c r="AJ344">
        <v>2</v>
      </c>
      <c r="AK344">
        <v>2</v>
      </c>
      <c r="AL344">
        <v>1</v>
      </c>
      <c r="AM344">
        <v>1</v>
      </c>
      <c r="AN344">
        <v>36</v>
      </c>
      <c r="AO344">
        <v>2</v>
      </c>
      <c r="AP344">
        <v>2</v>
      </c>
      <c r="AQ344">
        <v>3</v>
      </c>
      <c r="AR344">
        <v>3</v>
      </c>
      <c r="AS344">
        <v>2</v>
      </c>
      <c r="AT344">
        <v>3</v>
      </c>
      <c r="AU344">
        <v>3</v>
      </c>
      <c r="AV344">
        <v>4</v>
      </c>
      <c r="AW344">
        <v>5</v>
      </c>
      <c r="AX344">
        <v>1</v>
      </c>
      <c r="AY344" cm="1">
        <f t="array" ref="AY344">_xlfn.IFS(AZ344="Positive",1, AZ344="Negative",1, AZ344="Neutral",0)</f>
        <v>1</v>
      </c>
      <c r="AZ344" t="s">
        <v>196</v>
      </c>
      <c r="BA344">
        <v>6</v>
      </c>
      <c r="BB344">
        <v>0</v>
      </c>
      <c r="BC344" s="3">
        <v>3</v>
      </c>
      <c r="BD344" s="3">
        <v>1</v>
      </c>
      <c r="BE344" s="3">
        <v>1</v>
      </c>
      <c r="BF344" s="3">
        <v>1</v>
      </c>
      <c r="BG344" s="3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 t="s">
        <v>285</v>
      </c>
      <c r="BT344">
        <v>2</v>
      </c>
      <c r="BU344" t="s">
        <v>289</v>
      </c>
      <c r="BV344" t="s">
        <v>340</v>
      </c>
    </row>
    <row r="345" spans="1:74" hidden="1" x14ac:dyDescent="0.2">
      <c r="A345">
        <v>356</v>
      </c>
      <c r="B345">
        <v>11</v>
      </c>
      <c r="C345" t="s">
        <v>84</v>
      </c>
      <c r="E345" t="s">
        <v>85</v>
      </c>
      <c r="F345">
        <v>26</v>
      </c>
      <c r="G345">
        <v>2000</v>
      </c>
      <c r="H345">
        <v>22</v>
      </c>
      <c r="I345" t="s">
        <v>64</v>
      </c>
      <c r="J345">
        <v>1</v>
      </c>
      <c r="K345" t="s">
        <v>649</v>
      </c>
      <c r="L345" t="s">
        <v>650</v>
      </c>
      <c r="M345">
        <v>9</v>
      </c>
      <c r="N345">
        <v>61</v>
      </c>
      <c r="O345" t="s">
        <v>346</v>
      </c>
      <c r="P345" t="s">
        <v>314</v>
      </c>
      <c r="Q345" t="s">
        <v>719</v>
      </c>
      <c r="R345" t="s">
        <v>720</v>
      </c>
      <c r="S345" t="s">
        <v>349</v>
      </c>
      <c r="T345" t="s">
        <v>292</v>
      </c>
      <c r="U345" t="s">
        <v>350</v>
      </c>
      <c r="V345" t="s">
        <v>351</v>
      </c>
      <c r="W345" t="s">
        <v>197</v>
      </c>
      <c r="X345" t="s">
        <v>196</v>
      </c>
      <c r="Y345" t="s">
        <v>274</v>
      </c>
      <c r="Z345">
        <v>7</v>
      </c>
      <c r="AA345">
        <v>6</v>
      </c>
      <c r="AB345">
        <v>6</v>
      </c>
      <c r="AC345">
        <v>6</v>
      </c>
      <c r="AD345">
        <v>4</v>
      </c>
      <c r="AE345">
        <v>4</v>
      </c>
      <c r="AF345">
        <v>2</v>
      </c>
      <c r="AG345">
        <v>4</v>
      </c>
      <c r="AH345">
        <v>4</v>
      </c>
      <c r="AI345">
        <v>7</v>
      </c>
      <c r="AJ345">
        <v>1</v>
      </c>
      <c r="AK345">
        <v>4</v>
      </c>
      <c r="AL345">
        <v>4</v>
      </c>
      <c r="AM345">
        <v>2</v>
      </c>
      <c r="AN345">
        <v>171</v>
      </c>
      <c r="AO345">
        <v>4</v>
      </c>
      <c r="AP345">
        <v>2</v>
      </c>
      <c r="AQ345">
        <v>2</v>
      </c>
      <c r="AR345">
        <v>4</v>
      </c>
      <c r="AS345">
        <v>4</v>
      </c>
      <c r="AT345">
        <v>4</v>
      </c>
      <c r="AU345">
        <v>4</v>
      </c>
      <c r="AV345">
        <v>4</v>
      </c>
      <c r="AW345">
        <v>4</v>
      </c>
      <c r="AX345">
        <v>1</v>
      </c>
      <c r="AY345" cm="1">
        <f t="array" ref="AY345">_xlfn.IFS(AZ345="Positive",1, AZ345="Negative",1, AZ345="Neutral",0)</f>
        <v>1</v>
      </c>
      <c r="AZ345" t="s">
        <v>196</v>
      </c>
      <c r="BA345">
        <v>6</v>
      </c>
      <c r="BB345">
        <v>0</v>
      </c>
      <c r="BC345" s="3">
        <v>4</v>
      </c>
      <c r="BD345" s="3">
        <v>1</v>
      </c>
      <c r="BE345" s="3">
        <v>1</v>
      </c>
      <c r="BF345" s="3">
        <v>0</v>
      </c>
      <c r="BG345" s="3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 t="s">
        <v>344</v>
      </c>
      <c r="BT345" t="s">
        <v>345</v>
      </c>
      <c r="BU345" t="s">
        <v>347</v>
      </c>
      <c r="BV345" t="s">
        <v>348</v>
      </c>
    </row>
    <row r="346" spans="1:74" hidden="1" x14ac:dyDescent="0.2">
      <c r="A346">
        <v>357</v>
      </c>
      <c r="B346">
        <v>12</v>
      </c>
      <c r="C346" t="s">
        <v>86</v>
      </c>
      <c r="E346" t="s">
        <v>63</v>
      </c>
      <c r="F346">
        <v>7</v>
      </c>
      <c r="G346">
        <v>2001</v>
      </c>
      <c r="H346">
        <v>21</v>
      </c>
      <c r="I346" t="s">
        <v>69</v>
      </c>
      <c r="J346">
        <v>2</v>
      </c>
      <c r="K346" t="s">
        <v>651</v>
      </c>
      <c r="L346" t="s">
        <v>652</v>
      </c>
      <c r="M346">
        <v>19</v>
      </c>
      <c r="N346">
        <v>69</v>
      </c>
      <c r="O346" t="s">
        <v>353</v>
      </c>
      <c r="P346" t="s">
        <v>354</v>
      </c>
      <c r="Q346" t="s">
        <v>721</v>
      </c>
      <c r="R346" t="s">
        <v>722</v>
      </c>
      <c r="S346" t="s">
        <v>356</v>
      </c>
      <c r="T346" t="s">
        <v>357</v>
      </c>
      <c r="U346" t="s">
        <v>358</v>
      </c>
      <c r="V346" t="s">
        <v>359</v>
      </c>
      <c r="W346" t="s">
        <v>197</v>
      </c>
      <c r="X346" t="s">
        <v>196</v>
      </c>
      <c r="Y346" t="s">
        <v>274</v>
      </c>
      <c r="Z346">
        <v>7</v>
      </c>
      <c r="AA346">
        <v>6</v>
      </c>
      <c r="AB346">
        <v>7</v>
      </c>
      <c r="AC346">
        <v>7</v>
      </c>
      <c r="AD346">
        <v>7</v>
      </c>
      <c r="AE346">
        <v>4</v>
      </c>
      <c r="AF346">
        <v>1</v>
      </c>
      <c r="AG346">
        <v>1</v>
      </c>
      <c r="AH346">
        <v>5</v>
      </c>
      <c r="AI346">
        <v>6</v>
      </c>
      <c r="AJ346">
        <v>2</v>
      </c>
      <c r="AK346">
        <v>5</v>
      </c>
      <c r="AL346">
        <v>4</v>
      </c>
      <c r="AM346">
        <v>2</v>
      </c>
      <c r="AN346">
        <v>48</v>
      </c>
      <c r="AO346">
        <v>1</v>
      </c>
      <c r="AP346">
        <v>3</v>
      </c>
      <c r="AQ346">
        <v>5</v>
      </c>
      <c r="AR346">
        <v>7</v>
      </c>
      <c r="AS346">
        <v>3</v>
      </c>
      <c r="AT346">
        <v>6</v>
      </c>
      <c r="AU346">
        <v>7</v>
      </c>
      <c r="AV346">
        <v>7</v>
      </c>
      <c r="AW346">
        <v>7</v>
      </c>
      <c r="AX346">
        <v>2</v>
      </c>
      <c r="AY346" cm="1">
        <f t="array" ref="AY346">_xlfn.IFS(AZ346="Positive",1, AZ346="Negative",1, AZ346="Neutral",0)</f>
        <v>1</v>
      </c>
      <c r="AZ346" t="s">
        <v>196</v>
      </c>
      <c r="BA346">
        <v>19</v>
      </c>
      <c r="BB346">
        <v>0</v>
      </c>
      <c r="BC346" s="3">
        <v>15</v>
      </c>
      <c r="BD346" s="3">
        <v>0</v>
      </c>
      <c r="BE346" s="3">
        <v>1</v>
      </c>
      <c r="BF346" s="3">
        <v>3</v>
      </c>
      <c r="BG346" s="3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 t="s">
        <v>352</v>
      </c>
      <c r="BT346" t="s">
        <v>296</v>
      </c>
      <c r="BU346" t="s">
        <v>355</v>
      </c>
      <c r="BV346" t="s">
        <v>300</v>
      </c>
    </row>
    <row r="347" spans="1:74" hidden="1" x14ac:dyDescent="0.2">
      <c r="A347">
        <v>358</v>
      </c>
      <c r="B347">
        <v>13</v>
      </c>
      <c r="C347" t="s">
        <v>87</v>
      </c>
      <c r="E347" t="s">
        <v>88</v>
      </c>
      <c r="F347">
        <v>14</v>
      </c>
      <c r="G347">
        <v>1999</v>
      </c>
      <c r="H347">
        <v>23</v>
      </c>
      <c r="I347" t="s">
        <v>69</v>
      </c>
      <c r="J347">
        <v>2</v>
      </c>
      <c r="K347" t="s">
        <v>416</v>
      </c>
      <c r="L347" t="s">
        <v>653</v>
      </c>
      <c r="M347">
        <v>15</v>
      </c>
      <c r="N347">
        <v>58</v>
      </c>
      <c r="O347" t="s">
        <v>360</v>
      </c>
      <c r="P347" t="s">
        <v>361</v>
      </c>
      <c r="Q347" t="s">
        <v>723</v>
      </c>
      <c r="R347" t="s">
        <v>724</v>
      </c>
      <c r="S347" t="s">
        <v>363</v>
      </c>
      <c r="T347" t="s">
        <v>364</v>
      </c>
      <c r="U347" t="s">
        <v>365</v>
      </c>
      <c r="V347" t="s">
        <v>366</v>
      </c>
      <c r="W347" t="s">
        <v>197</v>
      </c>
      <c r="X347" t="s">
        <v>196</v>
      </c>
      <c r="Y347" t="s">
        <v>274</v>
      </c>
      <c r="Z347">
        <v>7</v>
      </c>
      <c r="AA347">
        <v>2</v>
      </c>
      <c r="AB347">
        <v>4</v>
      </c>
      <c r="AC347">
        <v>1</v>
      </c>
      <c r="AD347">
        <v>1</v>
      </c>
      <c r="AE347">
        <v>1</v>
      </c>
      <c r="AF347">
        <v>2</v>
      </c>
      <c r="AG347">
        <v>6</v>
      </c>
      <c r="AH347">
        <v>3</v>
      </c>
      <c r="AI347">
        <v>5</v>
      </c>
      <c r="AJ347">
        <v>1</v>
      </c>
      <c r="AK347">
        <v>2</v>
      </c>
      <c r="AL347">
        <v>2</v>
      </c>
      <c r="AM347">
        <v>1</v>
      </c>
      <c r="AN347">
        <v>193</v>
      </c>
      <c r="AO347">
        <v>6</v>
      </c>
      <c r="AP347">
        <v>1</v>
      </c>
      <c r="AQ347">
        <v>1</v>
      </c>
      <c r="AR347">
        <v>2</v>
      </c>
      <c r="AS347">
        <v>4</v>
      </c>
      <c r="AT347">
        <v>3</v>
      </c>
      <c r="AU347">
        <v>4</v>
      </c>
      <c r="AV347">
        <v>2</v>
      </c>
      <c r="AW347">
        <v>2</v>
      </c>
      <c r="AX347">
        <v>1</v>
      </c>
      <c r="AY347" cm="1">
        <f t="array" ref="AY347">_xlfn.IFS(AZ347="Positive",1, AZ347="Negative",1, AZ347="Neutral",0)</f>
        <v>1</v>
      </c>
      <c r="AZ347" t="s">
        <v>196</v>
      </c>
      <c r="BA347">
        <v>4</v>
      </c>
      <c r="BB347">
        <v>0</v>
      </c>
      <c r="BC347" s="3">
        <v>4</v>
      </c>
      <c r="BD347" s="3">
        <v>0</v>
      </c>
      <c r="BE347" s="3">
        <v>0</v>
      </c>
      <c r="BF347" s="3">
        <v>0</v>
      </c>
      <c r="BG347" s="3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 t="s">
        <v>296</v>
      </c>
      <c r="BT347">
        <v>3</v>
      </c>
      <c r="BU347" t="s">
        <v>362</v>
      </c>
      <c r="BV347" t="s">
        <v>309</v>
      </c>
    </row>
    <row r="348" spans="1:74" hidden="1" x14ac:dyDescent="0.2">
      <c r="A348">
        <v>359</v>
      </c>
      <c r="B348">
        <v>14</v>
      </c>
      <c r="C348" t="s">
        <v>89</v>
      </c>
      <c r="E348" t="s">
        <v>82</v>
      </c>
      <c r="F348">
        <v>15</v>
      </c>
      <c r="G348">
        <v>1999</v>
      </c>
      <c r="H348">
        <v>23</v>
      </c>
      <c r="I348" t="s">
        <v>64</v>
      </c>
      <c r="J348">
        <v>1</v>
      </c>
      <c r="K348" t="s">
        <v>416</v>
      </c>
      <c r="L348" t="s">
        <v>654</v>
      </c>
      <c r="M348">
        <v>7</v>
      </c>
      <c r="N348">
        <v>59</v>
      </c>
      <c r="O348" t="s">
        <v>629</v>
      </c>
      <c r="P348" t="s">
        <v>460</v>
      </c>
      <c r="Q348" t="s">
        <v>723</v>
      </c>
      <c r="R348" t="s">
        <v>728</v>
      </c>
      <c r="S348" t="s">
        <v>430</v>
      </c>
      <c r="T348" t="s">
        <v>341</v>
      </c>
      <c r="U348" t="s">
        <v>630</v>
      </c>
      <c r="V348" t="s">
        <v>462</v>
      </c>
      <c r="W348" t="s">
        <v>197</v>
      </c>
      <c r="X348" t="s">
        <v>196</v>
      </c>
      <c r="Y348" t="s">
        <v>274</v>
      </c>
      <c r="Z348">
        <v>7</v>
      </c>
      <c r="AA348">
        <v>6</v>
      </c>
      <c r="AB348">
        <v>6</v>
      </c>
      <c r="AC348">
        <v>5</v>
      </c>
      <c r="AD348">
        <v>1</v>
      </c>
      <c r="AE348">
        <v>5</v>
      </c>
      <c r="AF348">
        <v>1</v>
      </c>
      <c r="AG348">
        <v>6</v>
      </c>
      <c r="AH348">
        <v>6</v>
      </c>
      <c r="AI348">
        <v>6</v>
      </c>
      <c r="AJ348">
        <v>1</v>
      </c>
      <c r="AK348">
        <v>4</v>
      </c>
      <c r="AL348">
        <v>4</v>
      </c>
      <c r="AM348">
        <v>6</v>
      </c>
      <c r="AN348">
        <v>24</v>
      </c>
      <c r="AO348">
        <v>2</v>
      </c>
      <c r="AP348">
        <v>2</v>
      </c>
      <c r="AQ348">
        <v>4</v>
      </c>
      <c r="AR348">
        <v>2</v>
      </c>
      <c r="AS348">
        <v>6</v>
      </c>
      <c r="AT348">
        <v>2</v>
      </c>
      <c r="AU348">
        <v>6</v>
      </c>
      <c r="AV348">
        <v>4</v>
      </c>
      <c r="AW348">
        <v>5</v>
      </c>
      <c r="AX348">
        <v>1</v>
      </c>
      <c r="AY348" cm="1">
        <f t="array" ref="AY348">_xlfn.IFS(AZ348="Positive",1, AZ348="Negative",1, AZ348="Neutral",0)</f>
        <v>1</v>
      </c>
      <c r="AZ348" t="s">
        <v>196</v>
      </c>
      <c r="BA348">
        <v>4</v>
      </c>
      <c r="BB348">
        <v>1</v>
      </c>
      <c r="BC348" s="3">
        <v>2</v>
      </c>
      <c r="BD348" s="3">
        <v>0</v>
      </c>
      <c r="BE348" s="3">
        <v>2</v>
      </c>
      <c r="BF348" s="3">
        <v>0</v>
      </c>
      <c r="BG348" s="3">
        <v>0</v>
      </c>
      <c r="BH348">
        <v>0</v>
      </c>
      <c r="BI348">
        <v>0</v>
      </c>
      <c r="BJ348">
        <v>1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 t="s">
        <v>382</v>
      </c>
      <c r="BT348" t="s">
        <v>536</v>
      </c>
      <c r="BU348" t="s">
        <v>385</v>
      </c>
      <c r="BV348" t="s">
        <v>556</v>
      </c>
    </row>
    <row r="349" spans="1:74" hidden="1" x14ac:dyDescent="0.2">
      <c r="A349">
        <v>360</v>
      </c>
      <c r="B349">
        <v>15</v>
      </c>
      <c r="C349" t="s">
        <v>90</v>
      </c>
      <c r="E349" t="s">
        <v>76</v>
      </c>
      <c r="F349">
        <v>26</v>
      </c>
      <c r="G349">
        <v>2000</v>
      </c>
      <c r="H349">
        <v>22</v>
      </c>
      <c r="I349" t="s">
        <v>64</v>
      </c>
      <c r="J349">
        <v>1</v>
      </c>
      <c r="K349" t="s">
        <v>655</v>
      </c>
      <c r="L349" t="s">
        <v>656</v>
      </c>
      <c r="M349">
        <v>3</v>
      </c>
      <c r="N349">
        <v>69</v>
      </c>
      <c r="O349" t="s">
        <v>368</v>
      </c>
      <c r="P349" t="s">
        <v>369</v>
      </c>
      <c r="Q349" t="s">
        <v>725</v>
      </c>
      <c r="R349" t="s">
        <v>726</v>
      </c>
      <c r="S349" t="s">
        <v>372</v>
      </c>
      <c r="T349" t="s">
        <v>357</v>
      </c>
      <c r="U349" t="s">
        <v>373</v>
      </c>
      <c r="V349" t="s">
        <v>374</v>
      </c>
      <c r="W349" t="s">
        <v>197</v>
      </c>
      <c r="X349" t="s">
        <v>196</v>
      </c>
      <c r="Y349" t="s">
        <v>274</v>
      </c>
      <c r="Z349">
        <v>7</v>
      </c>
      <c r="AA349">
        <v>6</v>
      </c>
      <c r="AB349">
        <v>6</v>
      </c>
      <c r="AC349">
        <v>5</v>
      </c>
      <c r="AD349">
        <v>4</v>
      </c>
      <c r="AE349">
        <v>5</v>
      </c>
      <c r="AF349">
        <v>3</v>
      </c>
      <c r="AG349">
        <v>3</v>
      </c>
      <c r="AH349">
        <v>5</v>
      </c>
      <c r="AI349">
        <v>6</v>
      </c>
      <c r="AJ349">
        <v>1</v>
      </c>
      <c r="AK349">
        <v>5</v>
      </c>
      <c r="AL349">
        <v>6</v>
      </c>
      <c r="AM349">
        <v>6</v>
      </c>
      <c r="AN349">
        <v>120</v>
      </c>
      <c r="AO349">
        <v>3</v>
      </c>
      <c r="AP349">
        <v>2</v>
      </c>
      <c r="AQ349">
        <v>6</v>
      </c>
      <c r="AR349">
        <v>4</v>
      </c>
      <c r="AS349">
        <v>5</v>
      </c>
      <c r="AT349">
        <v>4</v>
      </c>
      <c r="AU349">
        <v>6</v>
      </c>
      <c r="AV349">
        <v>4</v>
      </c>
      <c r="AW349">
        <v>5</v>
      </c>
      <c r="AX349">
        <v>1</v>
      </c>
      <c r="AY349" cm="1">
        <f t="array" ref="AY349">_xlfn.IFS(AZ349="Positive",1, AZ349="Negative",1, AZ349="Neutral",0)</f>
        <v>1</v>
      </c>
      <c r="AZ349" t="s">
        <v>196</v>
      </c>
      <c r="BA349">
        <v>16</v>
      </c>
      <c r="BB349">
        <v>1</v>
      </c>
      <c r="BC349" s="3">
        <v>11</v>
      </c>
      <c r="BD349" s="3">
        <v>1</v>
      </c>
      <c r="BE349" s="3">
        <v>2</v>
      </c>
      <c r="BF349" s="3">
        <v>2</v>
      </c>
      <c r="BG349" s="3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4</v>
      </c>
      <c r="BT349" t="s">
        <v>367</v>
      </c>
      <c r="BU349" t="s">
        <v>370</v>
      </c>
      <c r="BV349" t="s">
        <v>371</v>
      </c>
    </row>
    <row r="350" spans="1:74" hidden="1" x14ac:dyDescent="0.2">
      <c r="A350">
        <v>361</v>
      </c>
      <c r="B350">
        <v>16</v>
      </c>
      <c r="C350" t="s">
        <v>91</v>
      </c>
      <c r="E350" t="s">
        <v>82</v>
      </c>
      <c r="F350">
        <v>8</v>
      </c>
      <c r="G350">
        <v>2000</v>
      </c>
      <c r="H350">
        <v>22</v>
      </c>
      <c r="I350" t="s">
        <v>64</v>
      </c>
      <c r="J350">
        <v>1</v>
      </c>
      <c r="K350" t="s">
        <v>657</v>
      </c>
      <c r="L350" t="s">
        <v>654</v>
      </c>
      <c r="M350">
        <v>10</v>
      </c>
      <c r="N350">
        <v>72</v>
      </c>
      <c r="O350" t="s">
        <v>278</v>
      </c>
      <c r="P350" t="s">
        <v>376</v>
      </c>
      <c r="Q350" t="s">
        <v>727</v>
      </c>
      <c r="R350" t="s">
        <v>728</v>
      </c>
      <c r="S350" t="s">
        <v>378</v>
      </c>
      <c r="T350" t="s">
        <v>379</v>
      </c>
      <c r="U350" t="s">
        <v>380</v>
      </c>
      <c r="V350" t="s">
        <v>381</v>
      </c>
      <c r="W350" t="s">
        <v>197</v>
      </c>
      <c r="X350" t="s">
        <v>196</v>
      </c>
      <c r="Y350" t="s">
        <v>274</v>
      </c>
      <c r="Z350">
        <v>7</v>
      </c>
      <c r="AA350">
        <v>4</v>
      </c>
      <c r="AB350">
        <v>6</v>
      </c>
      <c r="AC350">
        <v>5</v>
      </c>
      <c r="AD350">
        <v>1</v>
      </c>
      <c r="AE350">
        <v>5</v>
      </c>
      <c r="AF350">
        <v>1</v>
      </c>
      <c r="AG350">
        <v>4</v>
      </c>
      <c r="AH350">
        <v>1</v>
      </c>
      <c r="AI350">
        <v>6</v>
      </c>
      <c r="AJ350">
        <v>1</v>
      </c>
      <c r="AK350">
        <v>3</v>
      </c>
      <c r="AL350">
        <v>2</v>
      </c>
      <c r="AM350">
        <v>1</v>
      </c>
      <c r="AN350">
        <v>120</v>
      </c>
      <c r="AO350">
        <v>1</v>
      </c>
      <c r="AP350">
        <v>1</v>
      </c>
      <c r="AQ350">
        <v>5</v>
      </c>
      <c r="AR350">
        <v>3</v>
      </c>
      <c r="AS350">
        <v>4</v>
      </c>
      <c r="AT350">
        <v>4</v>
      </c>
      <c r="AU350">
        <v>6</v>
      </c>
      <c r="AV350">
        <v>5</v>
      </c>
      <c r="AW350">
        <v>7</v>
      </c>
      <c r="AX350">
        <v>1</v>
      </c>
      <c r="AY350" cm="1">
        <f t="array" ref="AY350">_xlfn.IFS(AZ350="Positive",1, AZ350="Negative",1, AZ350="Neutral",0)</f>
        <v>1</v>
      </c>
      <c r="AZ350" t="s">
        <v>196</v>
      </c>
      <c r="BA350">
        <v>7</v>
      </c>
      <c r="BB350">
        <v>0</v>
      </c>
      <c r="BC350" s="3">
        <v>2</v>
      </c>
      <c r="BD350" s="3">
        <v>0</v>
      </c>
      <c r="BE350" s="3">
        <v>1</v>
      </c>
      <c r="BF350" s="3">
        <v>0</v>
      </c>
      <c r="BG350" s="3">
        <v>4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 t="s">
        <v>375</v>
      </c>
      <c r="BT350" t="s">
        <v>367</v>
      </c>
      <c r="BU350" t="s">
        <v>377</v>
      </c>
      <c r="BV350" t="s">
        <v>371</v>
      </c>
    </row>
    <row r="351" spans="1:74" hidden="1" x14ac:dyDescent="0.2">
      <c r="A351">
        <v>362</v>
      </c>
      <c r="B351">
        <v>17</v>
      </c>
      <c r="C351" t="s">
        <v>92</v>
      </c>
      <c r="E351" t="s">
        <v>93</v>
      </c>
      <c r="F351">
        <v>25</v>
      </c>
      <c r="G351">
        <v>2001</v>
      </c>
      <c r="H351">
        <v>21</v>
      </c>
      <c r="I351" t="s">
        <v>64</v>
      </c>
      <c r="J351">
        <v>1</v>
      </c>
      <c r="K351" t="s">
        <v>658</v>
      </c>
      <c r="L351" t="s">
        <v>653</v>
      </c>
      <c r="M351">
        <v>10</v>
      </c>
      <c r="N351">
        <v>69</v>
      </c>
      <c r="O351" t="s">
        <v>384</v>
      </c>
      <c r="P351" t="s">
        <v>307</v>
      </c>
      <c r="Q351" t="s">
        <v>729</v>
      </c>
      <c r="R351" t="s">
        <v>724</v>
      </c>
      <c r="S351" t="s">
        <v>378</v>
      </c>
      <c r="T351" t="s">
        <v>357</v>
      </c>
      <c r="U351" t="s">
        <v>387</v>
      </c>
      <c r="V351" t="s">
        <v>312</v>
      </c>
      <c r="W351" t="s">
        <v>197</v>
      </c>
      <c r="X351" t="s">
        <v>196</v>
      </c>
      <c r="Y351" t="s">
        <v>274</v>
      </c>
      <c r="Z351">
        <v>7</v>
      </c>
      <c r="AA351">
        <v>4</v>
      </c>
      <c r="AB351">
        <v>4</v>
      </c>
      <c r="AC351">
        <v>4</v>
      </c>
      <c r="AD351">
        <v>4</v>
      </c>
      <c r="AE351">
        <v>4</v>
      </c>
      <c r="AF351">
        <v>4</v>
      </c>
      <c r="AG351">
        <v>4</v>
      </c>
      <c r="AH351">
        <v>4</v>
      </c>
      <c r="AI351">
        <v>7</v>
      </c>
      <c r="AJ351">
        <v>4</v>
      </c>
      <c r="AK351">
        <v>4</v>
      </c>
      <c r="AL351">
        <v>4</v>
      </c>
      <c r="AM351">
        <v>4</v>
      </c>
      <c r="AN351">
        <v>71</v>
      </c>
      <c r="AO351">
        <v>1</v>
      </c>
      <c r="AP351">
        <v>2</v>
      </c>
      <c r="AQ351">
        <v>2</v>
      </c>
      <c r="AR351">
        <v>2</v>
      </c>
      <c r="AS351">
        <v>3</v>
      </c>
      <c r="AT351">
        <v>3</v>
      </c>
      <c r="AU351">
        <v>3</v>
      </c>
      <c r="AV351">
        <v>4</v>
      </c>
      <c r="AW351">
        <v>7</v>
      </c>
      <c r="AX351">
        <v>1</v>
      </c>
      <c r="AY351" cm="1">
        <f t="array" ref="AY351">_xlfn.IFS(AZ351="Positive",1, AZ351="Negative",1, AZ351="Neutral",0)</f>
        <v>1</v>
      </c>
      <c r="AZ351" t="s">
        <v>196</v>
      </c>
      <c r="BA351">
        <v>8</v>
      </c>
      <c r="BB351">
        <v>0</v>
      </c>
      <c r="BC351" s="3">
        <v>3</v>
      </c>
      <c r="BD351" s="3">
        <v>0</v>
      </c>
      <c r="BE351" s="3">
        <v>1</v>
      </c>
      <c r="BF351" s="3">
        <v>0</v>
      </c>
      <c r="BG351" s="3">
        <v>4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 t="s">
        <v>382</v>
      </c>
      <c r="BT351" t="s">
        <v>383</v>
      </c>
      <c r="BU351" t="s">
        <v>385</v>
      </c>
      <c r="BV351" t="s">
        <v>386</v>
      </c>
    </row>
    <row r="352" spans="1:74" hidden="1" x14ac:dyDescent="0.2">
      <c r="B352">
        <v>18</v>
      </c>
      <c r="C352" t="s">
        <v>94</v>
      </c>
      <c r="E352" t="s">
        <v>76</v>
      </c>
      <c r="F352">
        <v>17</v>
      </c>
      <c r="G352">
        <v>1997</v>
      </c>
      <c r="H352">
        <v>25</v>
      </c>
      <c r="I352" t="s">
        <v>69</v>
      </c>
      <c r="J352">
        <v>2</v>
      </c>
      <c r="K352" t="s">
        <v>651</v>
      </c>
      <c r="L352" t="s">
        <v>659</v>
      </c>
      <c r="M352">
        <v>10</v>
      </c>
      <c r="N352">
        <v>69</v>
      </c>
      <c r="O352" t="s">
        <v>389</v>
      </c>
      <c r="P352" t="s">
        <v>389</v>
      </c>
      <c r="Q352" t="s">
        <v>721</v>
      </c>
      <c r="R352" t="s">
        <v>730</v>
      </c>
      <c r="S352" t="s">
        <v>378</v>
      </c>
      <c r="T352" t="s">
        <v>357</v>
      </c>
      <c r="U352" t="s">
        <v>391</v>
      </c>
      <c r="V352" t="s">
        <v>392</v>
      </c>
      <c r="W352" t="s">
        <v>197</v>
      </c>
      <c r="X352" t="s">
        <v>196</v>
      </c>
      <c r="Y352" t="s">
        <v>274</v>
      </c>
      <c r="Z352">
        <v>3</v>
      </c>
      <c r="AA352">
        <v>6</v>
      </c>
      <c r="AB352">
        <v>3</v>
      </c>
      <c r="AC352">
        <v>7</v>
      </c>
      <c r="AD352">
        <v>7</v>
      </c>
      <c r="AE352">
        <v>7</v>
      </c>
      <c r="AF352">
        <v>3</v>
      </c>
      <c r="AG352">
        <v>3</v>
      </c>
      <c r="AH352">
        <v>3</v>
      </c>
      <c r="AI352">
        <v>2</v>
      </c>
      <c r="AJ352">
        <v>7</v>
      </c>
      <c r="AK352">
        <v>4</v>
      </c>
      <c r="AL352">
        <v>4</v>
      </c>
      <c r="AM352">
        <v>6</v>
      </c>
      <c r="AN352">
        <v>38</v>
      </c>
      <c r="AO352">
        <v>4</v>
      </c>
      <c r="AP352">
        <v>7</v>
      </c>
      <c r="AQ352">
        <v>7</v>
      </c>
      <c r="AR352">
        <v>4</v>
      </c>
      <c r="AS352">
        <v>3</v>
      </c>
      <c r="AT352">
        <v>5</v>
      </c>
      <c r="AU352">
        <v>4</v>
      </c>
      <c r="AV352">
        <v>3</v>
      </c>
      <c r="AW352">
        <v>5</v>
      </c>
      <c r="AX352">
        <v>3</v>
      </c>
      <c r="AY352" cm="1">
        <f t="array" ref="AY352">_xlfn.IFS(AZ352="Positive",1, AZ352="Negative",1, AZ352="Neutral",0)</f>
        <v>1</v>
      </c>
      <c r="AZ352" t="s">
        <v>196</v>
      </c>
      <c r="BA352">
        <f>SUM(BC352:BG352)</f>
        <v>11</v>
      </c>
      <c r="BB352">
        <f>SUM(BH352:BR352)</f>
        <v>3</v>
      </c>
      <c r="BC352" s="3">
        <v>7</v>
      </c>
      <c r="BD352" s="3">
        <v>0</v>
      </c>
      <c r="BE352" s="3">
        <v>0</v>
      </c>
      <c r="BF352" s="3">
        <v>3</v>
      </c>
      <c r="BG352" s="3">
        <v>1</v>
      </c>
      <c r="BH352">
        <v>0</v>
      </c>
      <c r="BI352">
        <v>0</v>
      </c>
      <c r="BJ352">
        <v>2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4</v>
      </c>
      <c r="BT352" t="s">
        <v>388</v>
      </c>
      <c r="BU352" t="s">
        <v>370</v>
      </c>
      <c r="BV352" t="s">
        <v>390</v>
      </c>
    </row>
    <row r="353" spans="1:74" hidden="1" x14ac:dyDescent="0.2">
      <c r="A353">
        <v>364</v>
      </c>
      <c r="B353">
        <v>19</v>
      </c>
      <c r="C353" t="s">
        <v>95</v>
      </c>
      <c r="E353" t="s">
        <v>73</v>
      </c>
      <c r="F353">
        <v>30</v>
      </c>
      <c r="G353">
        <v>1999</v>
      </c>
      <c r="H353">
        <v>23</v>
      </c>
      <c r="I353" t="s">
        <v>64</v>
      </c>
      <c r="J353">
        <v>1</v>
      </c>
      <c r="K353" t="s">
        <v>632</v>
      </c>
      <c r="L353" t="s">
        <v>632</v>
      </c>
      <c r="M353">
        <v>4</v>
      </c>
      <c r="N353">
        <v>72</v>
      </c>
      <c r="O353" t="s">
        <v>393</v>
      </c>
      <c r="P353" t="s">
        <v>394</v>
      </c>
      <c r="Q353" t="s">
        <v>731</v>
      </c>
      <c r="R353" t="s">
        <v>732</v>
      </c>
      <c r="S353" t="s">
        <v>396</v>
      </c>
      <c r="T353" t="s">
        <v>379</v>
      </c>
      <c r="U353" t="s">
        <v>397</v>
      </c>
      <c r="V353" t="s">
        <v>398</v>
      </c>
      <c r="W353" t="s">
        <v>197</v>
      </c>
      <c r="X353" t="s">
        <v>196</v>
      </c>
      <c r="Y353" t="s">
        <v>274</v>
      </c>
      <c r="Z353">
        <v>7</v>
      </c>
      <c r="AA353">
        <v>4</v>
      </c>
      <c r="AB353">
        <v>4</v>
      </c>
      <c r="AC353">
        <v>4</v>
      </c>
      <c r="AD353">
        <v>4</v>
      </c>
      <c r="AE353">
        <v>4</v>
      </c>
      <c r="AF353">
        <v>4</v>
      </c>
      <c r="AG353">
        <v>4</v>
      </c>
      <c r="AH353">
        <v>4</v>
      </c>
      <c r="AI353">
        <v>4</v>
      </c>
      <c r="AJ353">
        <v>4</v>
      </c>
      <c r="AK353">
        <v>4</v>
      </c>
      <c r="AL353">
        <v>4</v>
      </c>
      <c r="AM353">
        <v>4</v>
      </c>
      <c r="AN353">
        <v>185</v>
      </c>
      <c r="AO353">
        <v>4</v>
      </c>
      <c r="AP353">
        <v>4</v>
      </c>
      <c r="AQ353">
        <v>4</v>
      </c>
      <c r="AR353">
        <v>4</v>
      </c>
      <c r="AS353">
        <v>4</v>
      </c>
      <c r="AT353">
        <v>4</v>
      </c>
      <c r="AU353">
        <v>4</v>
      </c>
      <c r="AV353">
        <v>4</v>
      </c>
      <c r="AW353">
        <v>4</v>
      </c>
      <c r="AX353">
        <v>2</v>
      </c>
      <c r="AY353" cm="1">
        <f t="array" ref="AY353">_xlfn.IFS(AZ353="Positive",1, AZ353="Negative",1, AZ353="Neutral",0)</f>
        <v>1</v>
      </c>
      <c r="AZ353" t="s">
        <v>196</v>
      </c>
      <c r="BA353">
        <v>8</v>
      </c>
      <c r="BB353">
        <v>0</v>
      </c>
      <c r="BC353" s="3">
        <v>7</v>
      </c>
      <c r="BD353" s="3">
        <v>0</v>
      </c>
      <c r="BE353" s="3">
        <v>1</v>
      </c>
      <c r="BF353" s="3">
        <v>0</v>
      </c>
      <c r="BG353" s="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3</v>
      </c>
      <c r="BT353">
        <v>3</v>
      </c>
      <c r="BU353" t="s">
        <v>395</v>
      </c>
      <c r="BV353" t="s">
        <v>309</v>
      </c>
    </row>
    <row r="354" spans="1:74" x14ac:dyDescent="0.2">
      <c r="A354">
        <v>365</v>
      </c>
      <c r="B354">
        <v>20</v>
      </c>
      <c r="C354" t="s">
        <v>96</v>
      </c>
      <c r="E354" t="s">
        <v>97</v>
      </c>
      <c r="F354">
        <v>27</v>
      </c>
      <c r="G354">
        <v>1998</v>
      </c>
      <c r="H354">
        <v>24</v>
      </c>
      <c r="I354" t="s">
        <v>64</v>
      </c>
      <c r="J354">
        <v>1</v>
      </c>
      <c r="K354" t="s">
        <v>644</v>
      </c>
      <c r="L354" t="s">
        <v>660</v>
      </c>
      <c r="M354">
        <v>2</v>
      </c>
      <c r="N354">
        <v>47</v>
      </c>
      <c r="O354" t="s">
        <v>287</v>
      </c>
      <c r="P354" t="s">
        <v>389</v>
      </c>
      <c r="Q354" t="s">
        <v>714</v>
      </c>
      <c r="R354" t="s">
        <v>733</v>
      </c>
      <c r="S354" t="s">
        <v>281</v>
      </c>
      <c r="T354" t="s">
        <v>401</v>
      </c>
      <c r="U354" t="s">
        <v>293</v>
      </c>
      <c r="V354" t="s">
        <v>392</v>
      </c>
      <c r="W354" t="s">
        <v>197</v>
      </c>
      <c r="X354" t="s">
        <v>196</v>
      </c>
      <c r="Y354" t="s">
        <v>274</v>
      </c>
      <c r="Z354">
        <v>7</v>
      </c>
      <c r="AA354">
        <v>3</v>
      </c>
      <c r="AB354">
        <v>5</v>
      </c>
      <c r="AC354">
        <v>4</v>
      </c>
      <c r="AD354">
        <v>5</v>
      </c>
      <c r="AE354">
        <v>4</v>
      </c>
      <c r="AF354">
        <v>3</v>
      </c>
      <c r="AG354">
        <v>5</v>
      </c>
      <c r="AH354">
        <v>3</v>
      </c>
      <c r="AI354">
        <v>4</v>
      </c>
      <c r="AJ354">
        <v>4</v>
      </c>
      <c r="AK354">
        <v>3</v>
      </c>
      <c r="AL354">
        <v>4</v>
      </c>
      <c r="AM354">
        <v>3</v>
      </c>
      <c r="AN354">
        <v>165</v>
      </c>
      <c r="AO354">
        <v>3</v>
      </c>
      <c r="AP354">
        <v>4</v>
      </c>
      <c r="AQ354">
        <v>4</v>
      </c>
      <c r="AR354">
        <v>4</v>
      </c>
      <c r="AS354">
        <v>4</v>
      </c>
      <c r="AT354">
        <v>4</v>
      </c>
      <c r="AU354">
        <v>3</v>
      </c>
      <c r="AV354">
        <v>3</v>
      </c>
      <c r="AW354">
        <v>3</v>
      </c>
      <c r="AX354">
        <v>2</v>
      </c>
      <c r="AY354" cm="1">
        <f t="array" ref="AY354">_xlfn.IFS(AZ354="Positive",1, AZ354="Negative",1, AZ354="Neutral",0)</f>
        <v>1</v>
      </c>
      <c r="AZ354" t="s">
        <v>196</v>
      </c>
      <c r="BA354">
        <v>0</v>
      </c>
      <c r="BB354">
        <v>4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>
        <v>0</v>
      </c>
      <c r="BI354">
        <v>0</v>
      </c>
      <c r="BJ354">
        <v>1</v>
      </c>
      <c r="BK354">
        <v>2</v>
      </c>
      <c r="BL354">
        <v>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 t="s">
        <v>399</v>
      </c>
      <c r="BT354" t="s">
        <v>367</v>
      </c>
      <c r="BU354" t="s">
        <v>400</v>
      </c>
      <c r="BV354" t="s">
        <v>371</v>
      </c>
    </row>
    <row r="355" spans="1:74" hidden="1" x14ac:dyDescent="0.2">
      <c r="A355">
        <v>366</v>
      </c>
      <c r="B355">
        <v>21</v>
      </c>
      <c r="C355" t="s">
        <v>98</v>
      </c>
      <c r="E355" t="s">
        <v>82</v>
      </c>
      <c r="F355">
        <v>27</v>
      </c>
      <c r="G355">
        <v>1997</v>
      </c>
      <c r="H355">
        <v>25</v>
      </c>
      <c r="I355" t="s">
        <v>64</v>
      </c>
      <c r="J355">
        <v>1</v>
      </c>
      <c r="K355" t="s">
        <v>661</v>
      </c>
      <c r="L355" t="s">
        <v>662</v>
      </c>
      <c r="M355">
        <v>6</v>
      </c>
      <c r="N355">
        <v>55</v>
      </c>
      <c r="O355" t="s">
        <v>287</v>
      </c>
      <c r="P355" t="s">
        <v>389</v>
      </c>
      <c r="Q355" t="s">
        <v>734</v>
      </c>
      <c r="R355" t="s">
        <v>735</v>
      </c>
      <c r="S355" t="s">
        <v>403</v>
      </c>
      <c r="T355" t="s">
        <v>404</v>
      </c>
      <c r="U355" t="s">
        <v>293</v>
      </c>
      <c r="V355" t="s">
        <v>392</v>
      </c>
      <c r="W355" t="s">
        <v>197</v>
      </c>
      <c r="X355" t="s">
        <v>196</v>
      </c>
      <c r="Y355" t="s">
        <v>274</v>
      </c>
      <c r="Z355">
        <v>7</v>
      </c>
      <c r="AA355">
        <v>5</v>
      </c>
      <c r="AB355">
        <v>4</v>
      </c>
      <c r="AC355">
        <v>5</v>
      </c>
      <c r="AD355">
        <v>5</v>
      </c>
      <c r="AE355">
        <v>6</v>
      </c>
      <c r="AF355">
        <v>4</v>
      </c>
      <c r="AG355">
        <v>6</v>
      </c>
      <c r="AH355">
        <v>5</v>
      </c>
      <c r="AI355">
        <v>4</v>
      </c>
      <c r="AJ355">
        <v>6</v>
      </c>
      <c r="AK355">
        <v>6</v>
      </c>
      <c r="AL355">
        <v>4</v>
      </c>
      <c r="AM355">
        <v>5</v>
      </c>
      <c r="AN355">
        <v>146</v>
      </c>
      <c r="AO355">
        <v>6</v>
      </c>
      <c r="AP355">
        <v>5</v>
      </c>
      <c r="AQ355">
        <v>5</v>
      </c>
      <c r="AR355">
        <v>4</v>
      </c>
      <c r="AS355">
        <v>6</v>
      </c>
      <c r="AT355">
        <v>4</v>
      </c>
      <c r="AU355">
        <v>6</v>
      </c>
      <c r="AV355">
        <v>5</v>
      </c>
      <c r="AW355">
        <v>6</v>
      </c>
      <c r="AX355">
        <v>2</v>
      </c>
      <c r="AY355" cm="1">
        <f t="array" ref="AY355">_xlfn.IFS(AZ355="Positive",1, AZ355="Negative",1, AZ355="Neutral",0)</f>
        <v>1</v>
      </c>
      <c r="AZ355" t="s">
        <v>196</v>
      </c>
      <c r="BA355">
        <v>6</v>
      </c>
      <c r="BB355">
        <v>1</v>
      </c>
      <c r="BC355" s="3">
        <v>3</v>
      </c>
      <c r="BD355" s="3">
        <v>0</v>
      </c>
      <c r="BE355" s="3">
        <v>1</v>
      </c>
      <c r="BF355" s="3">
        <v>0</v>
      </c>
      <c r="BG355" s="3">
        <v>2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 t="s">
        <v>305</v>
      </c>
      <c r="BT355" t="s">
        <v>305</v>
      </c>
      <c r="BU355" t="s">
        <v>308</v>
      </c>
      <c r="BV355" t="s">
        <v>402</v>
      </c>
    </row>
    <row r="356" spans="1:74" x14ac:dyDescent="0.2">
      <c r="A356">
        <v>367</v>
      </c>
      <c r="B356">
        <v>22</v>
      </c>
      <c r="C356" t="s">
        <v>99</v>
      </c>
      <c r="E356" t="s">
        <v>68</v>
      </c>
      <c r="F356">
        <v>17</v>
      </c>
      <c r="G356">
        <v>1998</v>
      </c>
      <c r="H356">
        <v>24</v>
      </c>
      <c r="I356" t="s">
        <v>64</v>
      </c>
      <c r="J356">
        <v>1</v>
      </c>
      <c r="K356" t="s">
        <v>456</v>
      </c>
      <c r="L356" t="s">
        <v>643</v>
      </c>
      <c r="M356">
        <v>6</v>
      </c>
      <c r="N356">
        <v>55</v>
      </c>
      <c r="O356" t="s">
        <v>332</v>
      </c>
      <c r="P356" t="s">
        <v>405</v>
      </c>
      <c r="Q356" t="s">
        <v>736</v>
      </c>
      <c r="R356" t="s">
        <v>713</v>
      </c>
      <c r="S356" t="s">
        <v>403</v>
      </c>
      <c r="T356" t="s">
        <v>404</v>
      </c>
      <c r="U356" t="s">
        <v>337</v>
      </c>
      <c r="V356" t="s">
        <v>407</v>
      </c>
      <c r="W356" t="s">
        <v>197</v>
      </c>
      <c r="X356" t="s">
        <v>196</v>
      </c>
      <c r="Y356" t="s">
        <v>274</v>
      </c>
      <c r="Z356">
        <v>7</v>
      </c>
      <c r="AA356">
        <v>2</v>
      </c>
      <c r="AB356">
        <v>2</v>
      </c>
      <c r="AC356">
        <v>2</v>
      </c>
      <c r="AD356">
        <v>2</v>
      </c>
      <c r="AE356">
        <v>2</v>
      </c>
      <c r="AF356">
        <v>2</v>
      </c>
      <c r="AG356">
        <v>6</v>
      </c>
      <c r="AH356">
        <v>2</v>
      </c>
      <c r="AI356">
        <v>4</v>
      </c>
      <c r="AJ356">
        <v>1</v>
      </c>
      <c r="AK356">
        <v>2</v>
      </c>
      <c r="AL356">
        <v>2</v>
      </c>
      <c r="AM356">
        <v>2</v>
      </c>
      <c r="AN356">
        <v>240</v>
      </c>
      <c r="AO356">
        <v>6</v>
      </c>
      <c r="AP356">
        <v>4</v>
      </c>
      <c r="AQ356">
        <v>4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2</v>
      </c>
      <c r="AY356" cm="1">
        <f t="array" ref="AY356">_xlfn.IFS(AZ356="Positive",1, AZ356="Negative",1, AZ356="Neutral",0)</f>
        <v>1</v>
      </c>
      <c r="AZ356" t="s">
        <v>196</v>
      </c>
      <c r="BA356">
        <v>0</v>
      </c>
      <c r="BB356">
        <v>1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>
        <v>0</v>
      </c>
      <c r="BI356">
        <v>0</v>
      </c>
      <c r="BJ356">
        <v>0</v>
      </c>
      <c r="BK356">
        <v>0</v>
      </c>
      <c r="BL356">
        <v>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 t="s">
        <v>405</v>
      </c>
      <c r="BT356" t="s">
        <v>313</v>
      </c>
      <c r="BU356" t="s">
        <v>406</v>
      </c>
      <c r="BV356" t="s">
        <v>317</v>
      </c>
    </row>
    <row r="357" spans="1:74" x14ac:dyDescent="0.2">
      <c r="A357">
        <v>368</v>
      </c>
      <c r="B357">
        <v>23</v>
      </c>
      <c r="C357" t="s">
        <v>100</v>
      </c>
      <c r="E357" t="s">
        <v>78</v>
      </c>
      <c r="F357">
        <v>31</v>
      </c>
      <c r="G357">
        <v>2000</v>
      </c>
      <c r="H357">
        <v>22</v>
      </c>
      <c r="I357" t="s">
        <v>69</v>
      </c>
      <c r="J357">
        <v>2</v>
      </c>
      <c r="K357" t="s">
        <v>663</v>
      </c>
      <c r="L357" t="s">
        <v>652</v>
      </c>
      <c r="M357">
        <v>0</v>
      </c>
      <c r="N357">
        <v>58</v>
      </c>
      <c r="O357" t="s">
        <v>408</v>
      </c>
      <c r="P357" t="s">
        <v>409</v>
      </c>
      <c r="Q357" t="s">
        <v>737</v>
      </c>
      <c r="R357" t="s">
        <v>722</v>
      </c>
      <c r="S357" t="s">
        <v>411</v>
      </c>
      <c r="T357" t="s">
        <v>364</v>
      </c>
      <c r="U357" t="s">
        <v>412</v>
      </c>
      <c r="V357" t="s">
        <v>413</v>
      </c>
      <c r="W357" t="s">
        <v>197</v>
      </c>
      <c r="X357" t="s">
        <v>196</v>
      </c>
      <c r="Y357" t="s">
        <v>274</v>
      </c>
      <c r="Z357">
        <v>7</v>
      </c>
      <c r="AA357">
        <v>6</v>
      </c>
      <c r="AB357">
        <v>7</v>
      </c>
      <c r="AC357">
        <v>7</v>
      </c>
      <c r="AD357">
        <v>1</v>
      </c>
      <c r="AE357">
        <v>5</v>
      </c>
      <c r="AF357">
        <v>3</v>
      </c>
      <c r="AG357">
        <v>2</v>
      </c>
      <c r="AH357">
        <v>7</v>
      </c>
      <c r="AI357">
        <v>7</v>
      </c>
      <c r="AJ357">
        <v>1</v>
      </c>
      <c r="AK357">
        <v>5</v>
      </c>
      <c r="AL357">
        <v>5</v>
      </c>
      <c r="AM357">
        <v>4</v>
      </c>
      <c r="AN357">
        <v>240</v>
      </c>
      <c r="AO357">
        <v>1</v>
      </c>
      <c r="AP357">
        <v>1</v>
      </c>
      <c r="AQ357">
        <v>4</v>
      </c>
      <c r="AR357">
        <v>3</v>
      </c>
      <c r="AS357">
        <v>6</v>
      </c>
      <c r="AT357">
        <v>2</v>
      </c>
      <c r="AU357">
        <v>5</v>
      </c>
      <c r="AV357">
        <v>7</v>
      </c>
      <c r="AW357">
        <v>7</v>
      </c>
      <c r="AX357">
        <v>1</v>
      </c>
      <c r="AY357" cm="1">
        <f t="array" ref="AY357">_xlfn.IFS(AZ357="Positive",1, AZ357="Negative",1, AZ357="Neutral",0)</f>
        <v>1</v>
      </c>
      <c r="AZ357" t="s">
        <v>196</v>
      </c>
      <c r="BA357">
        <v>0</v>
      </c>
      <c r="BB357">
        <v>1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 t="s">
        <v>405</v>
      </c>
      <c r="BT357" t="s">
        <v>382</v>
      </c>
      <c r="BU357" t="s">
        <v>406</v>
      </c>
      <c r="BV357" t="s">
        <v>410</v>
      </c>
    </row>
    <row r="358" spans="1:74" hidden="1" x14ac:dyDescent="0.2">
      <c r="A358">
        <v>369</v>
      </c>
      <c r="B358">
        <v>24</v>
      </c>
      <c r="C358" t="s">
        <v>101</v>
      </c>
      <c r="E358" t="s">
        <v>76</v>
      </c>
      <c r="F358">
        <v>18</v>
      </c>
      <c r="G358">
        <v>2000</v>
      </c>
      <c r="H358">
        <v>22</v>
      </c>
      <c r="I358" t="s">
        <v>64</v>
      </c>
      <c r="J358">
        <v>1</v>
      </c>
      <c r="K358" t="s">
        <v>664</v>
      </c>
      <c r="L358" t="s">
        <v>648</v>
      </c>
      <c r="M358">
        <v>9</v>
      </c>
      <c r="N358">
        <v>48</v>
      </c>
      <c r="O358" t="s">
        <v>415</v>
      </c>
      <c r="P358" t="s">
        <v>416</v>
      </c>
      <c r="Q358" t="s">
        <v>738</v>
      </c>
      <c r="R358" t="s">
        <v>718</v>
      </c>
      <c r="S358" t="s">
        <v>349</v>
      </c>
      <c r="T358" t="s">
        <v>418</v>
      </c>
      <c r="U358" t="s">
        <v>419</v>
      </c>
      <c r="V358" t="s">
        <v>420</v>
      </c>
      <c r="W358" t="s">
        <v>197</v>
      </c>
      <c r="X358" t="s">
        <v>196</v>
      </c>
      <c r="Y358" t="s">
        <v>274</v>
      </c>
      <c r="Z358">
        <v>7</v>
      </c>
      <c r="AA358">
        <v>4</v>
      </c>
      <c r="AB358">
        <v>5</v>
      </c>
      <c r="AC358">
        <v>6</v>
      </c>
      <c r="AD358">
        <v>1</v>
      </c>
      <c r="AE358">
        <v>1</v>
      </c>
      <c r="AF358">
        <v>6</v>
      </c>
      <c r="AG358">
        <v>4</v>
      </c>
      <c r="AH358">
        <v>6</v>
      </c>
      <c r="AI358">
        <v>3</v>
      </c>
      <c r="AJ358">
        <v>1</v>
      </c>
      <c r="AK358">
        <v>1</v>
      </c>
      <c r="AL358">
        <v>2</v>
      </c>
      <c r="AM358">
        <v>5</v>
      </c>
      <c r="AN358">
        <v>123</v>
      </c>
      <c r="AO358">
        <v>5</v>
      </c>
      <c r="AP358">
        <v>3</v>
      </c>
      <c r="AQ358">
        <v>3</v>
      </c>
      <c r="AR358">
        <v>1</v>
      </c>
      <c r="AS358">
        <v>4</v>
      </c>
      <c r="AT358">
        <v>1</v>
      </c>
      <c r="AU358">
        <v>5</v>
      </c>
      <c r="AV358">
        <v>1</v>
      </c>
      <c r="AW358">
        <v>2</v>
      </c>
      <c r="AX358">
        <v>2</v>
      </c>
      <c r="AY358" cm="1">
        <f t="array" ref="AY358">_xlfn.IFS(AZ358="Positive",1, AZ358="Negative",1, AZ358="Neutral",0)</f>
        <v>1</v>
      </c>
      <c r="AZ358" t="s">
        <v>196</v>
      </c>
      <c r="BA358">
        <v>7</v>
      </c>
      <c r="BB358">
        <v>2</v>
      </c>
      <c r="BC358" s="3">
        <v>5</v>
      </c>
      <c r="BD358" s="3">
        <v>0</v>
      </c>
      <c r="BE358" s="3">
        <v>0</v>
      </c>
      <c r="BF358" s="3">
        <v>2</v>
      </c>
      <c r="BG358" s="3">
        <v>0</v>
      </c>
      <c r="BH358">
        <v>0</v>
      </c>
      <c r="BI358">
        <v>0</v>
      </c>
      <c r="BJ358">
        <v>0</v>
      </c>
      <c r="BK358">
        <v>2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 t="s">
        <v>414</v>
      </c>
      <c r="BT358">
        <v>2</v>
      </c>
      <c r="BU358" t="s">
        <v>417</v>
      </c>
      <c r="BV358" t="s">
        <v>340</v>
      </c>
    </row>
    <row r="359" spans="1:74" hidden="1" x14ac:dyDescent="0.2">
      <c r="A359">
        <v>370</v>
      </c>
      <c r="B359">
        <v>25</v>
      </c>
      <c r="C359" t="s">
        <v>102</v>
      </c>
      <c r="E359" t="s">
        <v>63</v>
      </c>
      <c r="F359">
        <v>3</v>
      </c>
      <c r="G359">
        <v>2001</v>
      </c>
      <c r="H359">
        <v>21</v>
      </c>
      <c r="I359" t="s">
        <v>69</v>
      </c>
      <c r="J359">
        <v>2</v>
      </c>
      <c r="K359" t="s">
        <v>661</v>
      </c>
      <c r="L359" t="s">
        <v>665</v>
      </c>
      <c r="M359">
        <v>0</v>
      </c>
      <c r="N359">
        <v>56</v>
      </c>
      <c r="O359" t="s">
        <v>421</v>
      </c>
      <c r="P359" t="s">
        <v>394</v>
      </c>
      <c r="Q359" t="s">
        <v>734</v>
      </c>
      <c r="R359" t="s">
        <v>739</v>
      </c>
      <c r="S359" t="s">
        <v>411</v>
      </c>
      <c r="T359" t="s">
        <v>423</v>
      </c>
      <c r="U359" t="s">
        <v>424</v>
      </c>
      <c r="V359" t="s">
        <v>398</v>
      </c>
      <c r="W359" t="s">
        <v>197</v>
      </c>
      <c r="X359" t="s">
        <v>196</v>
      </c>
      <c r="Y359" t="s">
        <v>274</v>
      </c>
      <c r="Z359">
        <v>7</v>
      </c>
      <c r="AA359">
        <v>3</v>
      </c>
      <c r="AB359">
        <v>5</v>
      </c>
      <c r="AC359">
        <v>4</v>
      </c>
      <c r="AD359">
        <v>2</v>
      </c>
      <c r="AE359">
        <v>1</v>
      </c>
      <c r="AF359">
        <v>4</v>
      </c>
      <c r="AG359">
        <v>4</v>
      </c>
      <c r="AH359">
        <v>5</v>
      </c>
      <c r="AI359">
        <v>5</v>
      </c>
      <c r="AJ359">
        <v>2</v>
      </c>
      <c r="AK359">
        <v>2</v>
      </c>
      <c r="AL359">
        <v>3</v>
      </c>
      <c r="AM359">
        <v>7</v>
      </c>
      <c r="AN359">
        <v>116</v>
      </c>
      <c r="AO359">
        <v>2</v>
      </c>
      <c r="AP359">
        <v>2</v>
      </c>
      <c r="AQ359">
        <v>3</v>
      </c>
      <c r="AR359">
        <v>3</v>
      </c>
      <c r="AS359">
        <v>3</v>
      </c>
      <c r="AT359">
        <v>4</v>
      </c>
      <c r="AU359">
        <v>3</v>
      </c>
      <c r="AV359">
        <v>6</v>
      </c>
      <c r="AW359">
        <v>3</v>
      </c>
      <c r="AX359">
        <v>1</v>
      </c>
      <c r="AY359" cm="1">
        <f t="array" ref="AY359">_xlfn.IFS(AZ359="Positive",1, AZ359="Negative",1, AZ359="Neutral",0)</f>
        <v>1</v>
      </c>
      <c r="AZ359" t="s">
        <v>196</v>
      </c>
      <c r="BA359">
        <v>5</v>
      </c>
      <c r="BB359">
        <v>0</v>
      </c>
      <c r="BC359" s="3">
        <v>3</v>
      </c>
      <c r="BD359" s="3">
        <v>0</v>
      </c>
      <c r="BE359" s="3">
        <v>1</v>
      </c>
      <c r="BF359" s="3">
        <v>0</v>
      </c>
      <c r="BG359" s="3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 t="s">
        <v>285</v>
      </c>
      <c r="BT359" t="s">
        <v>322</v>
      </c>
      <c r="BU359" t="s">
        <v>289</v>
      </c>
      <c r="BV359" t="s">
        <v>422</v>
      </c>
    </row>
    <row r="360" spans="1:74" hidden="1" x14ac:dyDescent="0.2">
      <c r="A360">
        <v>371</v>
      </c>
      <c r="B360">
        <v>26</v>
      </c>
      <c r="C360" t="s">
        <v>103</v>
      </c>
      <c r="E360" t="s">
        <v>97</v>
      </c>
      <c r="F360">
        <v>14</v>
      </c>
      <c r="G360">
        <v>2001</v>
      </c>
      <c r="H360">
        <v>21</v>
      </c>
      <c r="I360" t="s">
        <v>64</v>
      </c>
      <c r="J360">
        <v>1</v>
      </c>
      <c r="K360" t="s">
        <v>663</v>
      </c>
      <c r="L360" t="s">
        <v>645</v>
      </c>
      <c r="M360">
        <v>7</v>
      </c>
      <c r="N360">
        <v>67</v>
      </c>
      <c r="O360" t="s">
        <v>277</v>
      </c>
      <c r="P360" t="s">
        <v>427</v>
      </c>
      <c r="Q360" t="s">
        <v>737</v>
      </c>
      <c r="R360" t="s">
        <v>715</v>
      </c>
      <c r="S360" t="s">
        <v>430</v>
      </c>
      <c r="T360" t="s">
        <v>431</v>
      </c>
      <c r="U360" t="s">
        <v>283</v>
      </c>
      <c r="V360" t="s">
        <v>432</v>
      </c>
      <c r="W360" t="s">
        <v>197</v>
      </c>
      <c r="X360" t="s">
        <v>196</v>
      </c>
      <c r="Y360" t="s">
        <v>274</v>
      </c>
      <c r="Z360">
        <v>7</v>
      </c>
      <c r="AA360">
        <v>7</v>
      </c>
      <c r="AB360">
        <v>7</v>
      </c>
      <c r="AC360">
        <v>7</v>
      </c>
      <c r="AD360">
        <v>1</v>
      </c>
      <c r="AE360">
        <v>5</v>
      </c>
      <c r="AF360">
        <v>1</v>
      </c>
      <c r="AG360">
        <v>2</v>
      </c>
      <c r="AH360">
        <v>6</v>
      </c>
      <c r="AI360">
        <v>7</v>
      </c>
      <c r="AJ360">
        <v>1</v>
      </c>
      <c r="AK360">
        <v>5</v>
      </c>
      <c r="AL360">
        <v>4</v>
      </c>
      <c r="AM360">
        <v>3</v>
      </c>
      <c r="AN360">
        <v>6</v>
      </c>
      <c r="AO360">
        <v>4</v>
      </c>
      <c r="AP360">
        <v>1</v>
      </c>
      <c r="AQ360">
        <v>1</v>
      </c>
      <c r="AR360">
        <v>6</v>
      </c>
      <c r="AS360">
        <v>7</v>
      </c>
      <c r="AT360">
        <v>7</v>
      </c>
      <c r="AU360">
        <v>7</v>
      </c>
      <c r="AV360">
        <v>7</v>
      </c>
      <c r="AW360">
        <v>7</v>
      </c>
      <c r="AX360">
        <v>1</v>
      </c>
      <c r="AY360" cm="1">
        <f t="array" ref="AY360">_xlfn.IFS(AZ360="Positive",1, AZ360="Negative",1, AZ360="Neutral",0)</f>
        <v>1</v>
      </c>
      <c r="AZ360" t="s">
        <v>196</v>
      </c>
      <c r="BA360">
        <v>11</v>
      </c>
      <c r="BB360">
        <v>1</v>
      </c>
      <c r="BC360" s="3">
        <v>6</v>
      </c>
      <c r="BD360" s="3">
        <v>1</v>
      </c>
      <c r="BE360" s="3">
        <v>1</v>
      </c>
      <c r="BF360" s="3">
        <v>0</v>
      </c>
      <c r="BG360" s="3">
        <v>3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</v>
      </c>
      <c r="BR360">
        <v>0</v>
      </c>
      <c r="BS360" t="s">
        <v>425</v>
      </c>
      <c r="BT360" t="s">
        <v>426</v>
      </c>
      <c r="BU360" t="s">
        <v>428</v>
      </c>
      <c r="BV360" t="s">
        <v>429</v>
      </c>
    </row>
    <row r="361" spans="1:74" hidden="1" x14ac:dyDescent="0.2">
      <c r="A361">
        <v>372</v>
      </c>
      <c r="B361">
        <v>27</v>
      </c>
      <c r="C361" t="s">
        <v>104</v>
      </c>
      <c r="E361" t="s">
        <v>85</v>
      </c>
      <c r="F361">
        <v>26</v>
      </c>
      <c r="G361">
        <v>2001</v>
      </c>
      <c r="H361">
        <v>21</v>
      </c>
      <c r="I361" t="s">
        <v>64</v>
      </c>
      <c r="J361">
        <v>1</v>
      </c>
      <c r="K361" t="s">
        <v>651</v>
      </c>
      <c r="L361" t="s">
        <v>647</v>
      </c>
      <c r="M361">
        <v>7</v>
      </c>
      <c r="N361">
        <v>69</v>
      </c>
      <c r="O361">
        <v>6</v>
      </c>
      <c r="P361" t="s">
        <v>353</v>
      </c>
      <c r="Q361" t="s">
        <v>721</v>
      </c>
      <c r="R361" t="s">
        <v>717</v>
      </c>
      <c r="S361" t="s">
        <v>430</v>
      </c>
      <c r="T361" t="s">
        <v>357</v>
      </c>
      <c r="U361" t="s">
        <v>436</v>
      </c>
      <c r="V361" t="s">
        <v>437</v>
      </c>
      <c r="W361" t="s">
        <v>197</v>
      </c>
      <c r="X361" t="s">
        <v>196</v>
      </c>
      <c r="Y361" t="s">
        <v>274</v>
      </c>
      <c r="Z361">
        <v>7</v>
      </c>
      <c r="AA361">
        <v>6</v>
      </c>
      <c r="AB361">
        <v>5</v>
      </c>
      <c r="AC361">
        <v>5</v>
      </c>
      <c r="AD361">
        <v>5</v>
      </c>
      <c r="AE361">
        <v>3</v>
      </c>
      <c r="AF361">
        <v>2</v>
      </c>
      <c r="AG361">
        <v>1</v>
      </c>
      <c r="AH361">
        <v>5</v>
      </c>
      <c r="AI361">
        <v>5</v>
      </c>
      <c r="AJ361">
        <v>1</v>
      </c>
      <c r="AK361">
        <v>3</v>
      </c>
      <c r="AL361">
        <v>4</v>
      </c>
      <c r="AM361">
        <v>3</v>
      </c>
      <c r="AN361">
        <v>96</v>
      </c>
      <c r="AO361">
        <v>2</v>
      </c>
      <c r="AP361">
        <v>3</v>
      </c>
      <c r="AQ361">
        <v>5</v>
      </c>
      <c r="AR361">
        <v>3</v>
      </c>
      <c r="AS361">
        <v>6</v>
      </c>
      <c r="AT361">
        <v>6</v>
      </c>
      <c r="AU361">
        <v>6</v>
      </c>
      <c r="AV361">
        <v>5</v>
      </c>
      <c r="AW361">
        <v>6</v>
      </c>
      <c r="AX361">
        <v>2</v>
      </c>
      <c r="AY361" cm="1">
        <f t="array" ref="AY361">_xlfn.IFS(AZ361="Positive",1, AZ361="Negative",1, AZ361="Neutral",0)</f>
        <v>1</v>
      </c>
      <c r="AZ361" t="s">
        <v>196</v>
      </c>
      <c r="BA361">
        <v>19</v>
      </c>
      <c r="BB361">
        <v>0</v>
      </c>
      <c r="BC361" s="3">
        <v>14</v>
      </c>
      <c r="BD361" s="3">
        <v>0</v>
      </c>
      <c r="BE361" s="3">
        <v>2</v>
      </c>
      <c r="BF361" s="3">
        <v>0</v>
      </c>
      <c r="BG361" s="3">
        <v>3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 t="s">
        <v>388</v>
      </c>
      <c r="BT361" t="s">
        <v>433</v>
      </c>
      <c r="BU361" t="s">
        <v>434</v>
      </c>
      <c r="BV361" t="s">
        <v>435</v>
      </c>
    </row>
    <row r="362" spans="1:74" hidden="1" x14ac:dyDescent="0.2">
      <c r="B362">
        <v>28</v>
      </c>
      <c r="C362" t="s">
        <v>105</v>
      </c>
      <c r="E362" t="s">
        <v>85</v>
      </c>
      <c r="F362">
        <v>15</v>
      </c>
      <c r="G362">
        <v>2001</v>
      </c>
      <c r="H362">
        <v>21</v>
      </c>
      <c r="I362" t="s">
        <v>64</v>
      </c>
      <c r="J362">
        <v>1</v>
      </c>
      <c r="K362" t="s">
        <v>655</v>
      </c>
      <c r="L362" t="s">
        <v>653</v>
      </c>
      <c r="M362">
        <v>8</v>
      </c>
      <c r="N362">
        <v>65</v>
      </c>
      <c r="O362" t="s">
        <v>376</v>
      </c>
      <c r="P362" t="s">
        <v>438</v>
      </c>
      <c r="Q362" t="s">
        <v>725</v>
      </c>
      <c r="R362" t="s">
        <v>724</v>
      </c>
      <c r="S362" t="s">
        <v>291</v>
      </c>
      <c r="T362" t="s">
        <v>439</v>
      </c>
      <c r="U362" t="s">
        <v>440</v>
      </c>
      <c r="V362" t="s">
        <v>441</v>
      </c>
      <c r="W362" t="s">
        <v>197</v>
      </c>
      <c r="X362" t="s">
        <v>196</v>
      </c>
      <c r="Y362" t="s">
        <v>274</v>
      </c>
      <c r="Z362">
        <v>7</v>
      </c>
      <c r="AA362">
        <v>7</v>
      </c>
      <c r="AB362">
        <v>7</v>
      </c>
      <c r="AC362">
        <v>7</v>
      </c>
      <c r="AD362">
        <v>2</v>
      </c>
      <c r="AE362">
        <v>5</v>
      </c>
      <c r="AF362">
        <v>4</v>
      </c>
      <c r="AG362">
        <v>7</v>
      </c>
      <c r="AH362">
        <v>7</v>
      </c>
      <c r="AI362">
        <v>1</v>
      </c>
      <c r="AJ362">
        <v>7</v>
      </c>
      <c r="AK362">
        <v>7</v>
      </c>
      <c r="AL362">
        <v>7</v>
      </c>
      <c r="AM362">
        <v>1</v>
      </c>
      <c r="AN362">
        <v>120</v>
      </c>
      <c r="AO362">
        <v>7</v>
      </c>
      <c r="AP362">
        <v>7</v>
      </c>
      <c r="AQ362">
        <v>7</v>
      </c>
      <c r="AR362">
        <v>5</v>
      </c>
      <c r="AS362">
        <v>6</v>
      </c>
      <c r="AT362">
        <v>4</v>
      </c>
      <c r="AU362">
        <v>7</v>
      </c>
      <c r="AV362">
        <v>6</v>
      </c>
      <c r="AW362">
        <v>6</v>
      </c>
      <c r="AX362">
        <v>3</v>
      </c>
      <c r="AY362">
        <v>1</v>
      </c>
      <c r="AZ362" t="s">
        <v>196</v>
      </c>
      <c r="BA362">
        <f>SUM(BC362:BG362)</f>
        <v>12</v>
      </c>
      <c r="BB362">
        <f>SUM(BH362:BR362)</f>
        <v>2</v>
      </c>
      <c r="BC362" s="3">
        <v>9</v>
      </c>
      <c r="BD362" s="3">
        <v>0</v>
      </c>
      <c r="BE362" s="3">
        <v>1</v>
      </c>
      <c r="BF362" s="3">
        <v>1</v>
      </c>
      <c r="BG362" s="3">
        <v>1</v>
      </c>
      <c r="BH362">
        <v>0</v>
      </c>
      <c r="BI362">
        <v>0</v>
      </c>
      <c r="BJ362">
        <v>1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1</v>
      </c>
      <c r="BR362">
        <v>0</v>
      </c>
      <c r="BS362" t="s">
        <v>414</v>
      </c>
      <c r="BT362">
        <v>3</v>
      </c>
      <c r="BU362" t="s">
        <v>417</v>
      </c>
      <c r="BV362" t="s">
        <v>309</v>
      </c>
    </row>
    <row r="363" spans="1:74" hidden="1" x14ac:dyDescent="0.2">
      <c r="A363">
        <v>374</v>
      </c>
      <c r="B363">
        <v>29</v>
      </c>
      <c r="C363" t="s">
        <v>106</v>
      </c>
      <c r="E363" t="s">
        <v>78</v>
      </c>
      <c r="F363">
        <v>3</v>
      </c>
      <c r="G363">
        <v>1999</v>
      </c>
      <c r="H363">
        <v>23</v>
      </c>
      <c r="I363" t="s">
        <v>64</v>
      </c>
      <c r="J363">
        <v>1</v>
      </c>
      <c r="K363" t="s">
        <v>644</v>
      </c>
      <c r="L363" t="s">
        <v>666</v>
      </c>
      <c r="M363">
        <v>17</v>
      </c>
      <c r="N363">
        <v>60</v>
      </c>
      <c r="O363" t="s">
        <v>442</v>
      </c>
      <c r="P363" t="s">
        <v>409</v>
      </c>
      <c r="Q363" t="s">
        <v>714</v>
      </c>
      <c r="R363" t="s">
        <v>740</v>
      </c>
      <c r="S363" t="s">
        <v>443</v>
      </c>
      <c r="T363" t="s">
        <v>444</v>
      </c>
      <c r="U363" t="s">
        <v>445</v>
      </c>
      <c r="V363" t="s">
        <v>413</v>
      </c>
      <c r="W363" t="s">
        <v>197</v>
      </c>
      <c r="X363" t="s">
        <v>196</v>
      </c>
      <c r="Y363" t="s">
        <v>274</v>
      </c>
      <c r="Z363">
        <v>7</v>
      </c>
      <c r="AA363">
        <v>7</v>
      </c>
      <c r="AB363">
        <v>7</v>
      </c>
      <c r="AC363">
        <v>7</v>
      </c>
      <c r="AD363">
        <v>7</v>
      </c>
      <c r="AE363">
        <v>6</v>
      </c>
      <c r="AF363">
        <v>2</v>
      </c>
      <c r="AG363">
        <v>1</v>
      </c>
      <c r="AH363">
        <v>7</v>
      </c>
      <c r="AI363">
        <v>7</v>
      </c>
      <c r="AJ363">
        <v>1</v>
      </c>
      <c r="AK363">
        <v>5</v>
      </c>
      <c r="AL363">
        <v>6</v>
      </c>
      <c r="AM363">
        <v>6</v>
      </c>
      <c r="AN363">
        <v>37</v>
      </c>
      <c r="AO363">
        <v>3</v>
      </c>
      <c r="AP363">
        <v>1</v>
      </c>
      <c r="AQ363">
        <v>4</v>
      </c>
      <c r="AR363">
        <v>2</v>
      </c>
      <c r="AS363">
        <v>6</v>
      </c>
      <c r="AT363">
        <v>4</v>
      </c>
      <c r="AU363">
        <v>7</v>
      </c>
      <c r="AV363">
        <v>7</v>
      </c>
      <c r="AW363">
        <v>7</v>
      </c>
      <c r="AX363">
        <v>1</v>
      </c>
      <c r="AY363" cm="1">
        <f t="array" ref="AY363">_xlfn.IFS(AZ363="Positive",1, AZ363="Negative",1, AZ363="Neutral",0)</f>
        <v>1</v>
      </c>
      <c r="AZ363" t="s">
        <v>196</v>
      </c>
      <c r="BA363">
        <v>16</v>
      </c>
      <c r="BB363">
        <v>3</v>
      </c>
      <c r="BC363" s="3">
        <v>7</v>
      </c>
      <c r="BD363" s="3">
        <v>0</v>
      </c>
      <c r="BE363" s="3">
        <v>1</v>
      </c>
      <c r="BF363" s="3">
        <v>6</v>
      </c>
      <c r="BG363" s="3">
        <v>2</v>
      </c>
      <c r="BH363">
        <v>0</v>
      </c>
      <c r="BI363">
        <v>0</v>
      </c>
      <c r="BJ363">
        <v>1</v>
      </c>
      <c r="BK363">
        <v>1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>
        <v>0</v>
      </c>
      <c r="BS363" t="s">
        <v>296</v>
      </c>
      <c r="BT363" t="s">
        <v>276</v>
      </c>
      <c r="BU363" t="s">
        <v>362</v>
      </c>
      <c r="BV363" t="s">
        <v>280</v>
      </c>
    </row>
    <row r="364" spans="1:74" x14ac:dyDescent="0.2">
      <c r="A364">
        <v>375</v>
      </c>
      <c r="B364">
        <v>30</v>
      </c>
      <c r="C364" t="s">
        <v>107</v>
      </c>
      <c r="E364" t="s">
        <v>73</v>
      </c>
      <c r="F364">
        <v>30</v>
      </c>
      <c r="G364">
        <v>1999</v>
      </c>
      <c r="H364">
        <v>23</v>
      </c>
      <c r="I364" t="s">
        <v>64</v>
      </c>
      <c r="J364">
        <v>1</v>
      </c>
      <c r="K364" t="s">
        <v>661</v>
      </c>
      <c r="L364" t="s">
        <v>652</v>
      </c>
      <c r="M364">
        <v>6</v>
      </c>
      <c r="N364">
        <v>66</v>
      </c>
      <c r="O364" t="s">
        <v>446</v>
      </c>
      <c r="P364" t="s">
        <v>369</v>
      </c>
      <c r="Q364" t="s">
        <v>734</v>
      </c>
      <c r="R364" t="s">
        <v>722</v>
      </c>
      <c r="S364" t="s">
        <v>403</v>
      </c>
      <c r="T364" t="s">
        <v>282</v>
      </c>
      <c r="U364" t="s">
        <v>448</v>
      </c>
      <c r="V364" t="s">
        <v>374</v>
      </c>
      <c r="W364" t="s">
        <v>197</v>
      </c>
      <c r="X364" t="s">
        <v>196</v>
      </c>
      <c r="Y364" t="s">
        <v>274</v>
      </c>
      <c r="Z364">
        <v>7</v>
      </c>
      <c r="AA364">
        <v>5</v>
      </c>
      <c r="AB364">
        <v>5</v>
      </c>
      <c r="AC364">
        <v>6</v>
      </c>
      <c r="AD364">
        <v>3</v>
      </c>
      <c r="AE364">
        <v>5</v>
      </c>
      <c r="AF364">
        <v>5</v>
      </c>
      <c r="AG364">
        <v>5</v>
      </c>
      <c r="AH364">
        <v>5</v>
      </c>
      <c r="AI364">
        <v>6</v>
      </c>
      <c r="AJ364">
        <v>2</v>
      </c>
      <c r="AK364">
        <v>6</v>
      </c>
      <c r="AL364">
        <v>5</v>
      </c>
      <c r="AM364">
        <v>5</v>
      </c>
      <c r="AN364">
        <v>122</v>
      </c>
      <c r="AO364">
        <v>5</v>
      </c>
      <c r="AP364">
        <v>5</v>
      </c>
      <c r="AQ364">
        <v>4</v>
      </c>
      <c r="AR364">
        <v>5</v>
      </c>
      <c r="AS364">
        <v>5</v>
      </c>
      <c r="AT364">
        <v>5</v>
      </c>
      <c r="AU364">
        <v>4</v>
      </c>
      <c r="AV364">
        <v>4</v>
      </c>
      <c r="AW364">
        <v>5</v>
      </c>
      <c r="AX364">
        <v>2</v>
      </c>
      <c r="AY364" cm="1">
        <f t="array" ref="AY364">_xlfn.IFS(AZ364="Positive",1, AZ364="Negative",1, AZ364="Neutral",0)</f>
        <v>1</v>
      </c>
      <c r="AZ364" t="s">
        <v>196</v>
      </c>
      <c r="BA364">
        <v>0</v>
      </c>
      <c r="BB364">
        <v>2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>
        <v>0</v>
      </c>
      <c r="BI364">
        <v>0</v>
      </c>
      <c r="BJ364">
        <v>1</v>
      </c>
      <c r="BK364">
        <v>0</v>
      </c>
      <c r="BL364">
        <v>1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 t="s">
        <v>414</v>
      </c>
      <c r="BT364" t="s">
        <v>399</v>
      </c>
      <c r="BU364" t="s">
        <v>417</v>
      </c>
      <c r="BV364" t="s">
        <v>447</v>
      </c>
    </row>
    <row r="365" spans="1:74" hidden="1" x14ac:dyDescent="0.2">
      <c r="A365">
        <v>376</v>
      </c>
      <c r="B365">
        <v>31</v>
      </c>
      <c r="C365" t="s">
        <v>108</v>
      </c>
      <c r="E365" t="s">
        <v>97</v>
      </c>
      <c r="F365">
        <v>24</v>
      </c>
      <c r="G365">
        <v>1999</v>
      </c>
      <c r="H365">
        <v>23</v>
      </c>
      <c r="I365" t="s">
        <v>64</v>
      </c>
      <c r="J365">
        <v>1</v>
      </c>
      <c r="K365" t="s">
        <v>667</v>
      </c>
      <c r="L365" t="s">
        <v>668</v>
      </c>
      <c r="M365">
        <v>2</v>
      </c>
      <c r="N365">
        <v>62</v>
      </c>
      <c r="O365" t="s">
        <v>339</v>
      </c>
      <c r="P365" t="s">
        <v>339</v>
      </c>
      <c r="Q365" t="s">
        <v>741</v>
      </c>
      <c r="R365" t="s">
        <v>742</v>
      </c>
      <c r="S365" t="s">
        <v>281</v>
      </c>
      <c r="T365" t="s">
        <v>319</v>
      </c>
      <c r="U365" t="s">
        <v>452</v>
      </c>
      <c r="V365" t="s">
        <v>343</v>
      </c>
      <c r="W365" t="s">
        <v>197</v>
      </c>
      <c r="X365" t="s">
        <v>196</v>
      </c>
      <c r="Y365" t="s">
        <v>274</v>
      </c>
      <c r="Z365">
        <v>7</v>
      </c>
      <c r="AA365">
        <v>1</v>
      </c>
      <c r="AB365">
        <v>2</v>
      </c>
      <c r="AC365">
        <v>1</v>
      </c>
      <c r="AD365">
        <v>1</v>
      </c>
      <c r="AE365">
        <v>1</v>
      </c>
      <c r="AF365">
        <v>5</v>
      </c>
      <c r="AG365">
        <v>1</v>
      </c>
      <c r="AH365">
        <v>1</v>
      </c>
      <c r="AI365">
        <v>7</v>
      </c>
      <c r="AJ365">
        <v>1</v>
      </c>
      <c r="AK365">
        <v>1</v>
      </c>
      <c r="AL365">
        <v>3</v>
      </c>
      <c r="AM365">
        <v>2</v>
      </c>
      <c r="AN365">
        <v>168</v>
      </c>
      <c r="AO365">
        <v>6</v>
      </c>
      <c r="AP365">
        <v>1</v>
      </c>
      <c r="AQ365">
        <v>1</v>
      </c>
      <c r="AR365">
        <v>2</v>
      </c>
      <c r="AS365">
        <v>2</v>
      </c>
      <c r="AT365">
        <v>2</v>
      </c>
      <c r="AU365">
        <v>2</v>
      </c>
      <c r="AV365">
        <v>2</v>
      </c>
      <c r="AW365">
        <v>2</v>
      </c>
      <c r="AX365">
        <v>1</v>
      </c>
      <c r="AY365" cm="1">
        <f t="array" ref="AY365">_xlfn.IFS(AZ365="Positive",1, AZ365="Negative",1, AZ365="Neutral",0)</f>
        <v>1</v>
      </c>
      <c r="AZ365" t="s">
        <v>196</v>
      </c>
      <c r="BA365">
        <v>10</v>
      </c>
      <c r="BB365">
        <v>0</v>
      </c>
      <c r="BC365" s="3">
        <v>5</v>
      </c>
      <c r="BD365" s="3">
        <v>0</v>
      </c>
      <c r="BE365" s="3">
        <v>1</v>
      </c>
      <c r="BF365" s="3">
        <v>1</v>
      </c>
      <c r="BG365" s="3">
        <v>3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 t="s">
        <v>367</v>
      </c>
      <c r="BT365" t="s">
        <v>449</v>
      </c>
      <c r="BU365" t="s">
        <v>450</v>
      </c>
      <c r="BV365" t="s">
        <v>451</v>
      </c>
    </row>
    <row r="366" spans="1:74" hidden="1" x14ac:dyDescent="0.2">
      <c r="A366">
        <v>377</v>
      </c>
      <c r="B366">
        <v>32</v>
      </c>
      <c r="C366" t="s">
        <v>109</v>
      </c>
      <c r="E366" t="s">
        <v>68</v>
      </c>
      <c r="F366">
        <v>9</v>
      </c>
      <c r="G366">
        <v>1999</v>
      </c>
      <c r="H366">
        <v>23</v>
      </c>
      <c r="I366" t="s">
        <v>69</v>
      </c>
      <c r="J366">
        <v>2</v>
      </c>
      <c r="K366" t="s">
        <v>481</v>
      </c>
      <c r="L366" t="s">
        <v>633</v>
      </c>
      <c r="M366">
        <v>8</v>
      </c>
      <c r="N366">
        <v>54</v>
      </c>
      <c r="O366" t="s">
        <v>393</v>
      </c>
      <c r="P366" t="s">
        <v>314</v>
      </c>
      <c r="Q366" t="s">
        <v>743</v>
      </c>
      <c r="R366" t="s">
        <v>711</v>
      </c>
      <c r="S366" t="s">
        <v>291</v>
      </c>
      <c r="T366" t="s">
        <v>455</v>
      </c>
      <c r="U366" t="s">
        <v>397</v>
      </c>
      <c r="V366" t="s">
        <v>351</v>
      </c>
      <c r="W366" t="s">
        <v>197</v>
      </c>
      <c r="X366" t="s">
        <v>196</v>
      </c>
      <c r="Y366" t="s">
        <v>274</v>
      </c>
      <c r="Z366">
        <v>7</v>
      </c>
      <c r="AA366">
        <v>6</v>
      </c>
      <c r="AB366">
        <v>7</v>
      </c>
      <c r="AC366">
        <v>5</v>
      </c>
      <c r="AD366">
        <v>1</v>
      </c>
      <c r="AE366">
        <v>4</v>
      </c>
      <c r="AF366">
        <v>1</v>
      </c>
      <c r="AG366">
        <v>1</v>
      </c>
      <c r="AH366">
        <v>5</v>
      </c>
      <c r="AI366">
        <v>7</v>
      </c>
      <c r="AJ366">
        <v>2</v>
      </c>
      <c r="AK366">
        <v>7</v>
      </c>
      <c r="AL366">
        <v>4</v>
      </c>
      <c r="AM366">
        <v>4</v>
      </c>
      <c r="AN366">
        <v>134</v>
      </c>
      <c r="AO366">
        <v>3</v>
      </c>
      <c r="AP366">
        <v>1</v>
      </c>
      <c r="AQ366">
        <v>6</v>
      </c>
      <c r="AR366">
        <v>3</v>
      </c>
      <c r="AS366">
        <v>6</v>
      </c>
      <c r="AT366">
        <v>7</v>
      </c>
      <c r="AU366">
        <v>6</v>
      </c>
      <c r="AV366">
        <v>2</v>
      </c>
      <c r="AW366">
        <v>5</v>
      </c>
      <c r="AX366">
        <v>1</v>
      </c>
      <c r="AY366" cm="1">
        <f t="array" ref="AY366">_xlfn.IFS(AZ366="Positive",1, AZ366="Negative",1, AZ366="Neutral",0)</f>
        <v>1</v>
      </c>
      <c r="AZ366" t="s">
        <v>196</v>
      </c>
      <c r="BA366">
        <v>33</v>
      </c>
      <c r="BB366">
        <v>0</v>
      </c>
      <c r="BC366" s="3">
        <v>19</v>
      </c>
      <c r="BD366" s="3">
        <v>0</v>
      </c>
      <c r="BE366" s="3">
        <v>2</v>
      </c>
      <c r="BF366" s="3">
        <v>10</v>
      </c>
      <c r="BG366" s="3">
        <v>2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 t="s">
        <v>305</v>
      </c>
      <c r="BT366" t="s">
        <v>453</v>
      </c>
      <c r="BU366" t="s">
        <v>308</v>
      </c>
      <c r="BV366" t="s">
        <v>454</v>
      </c>
    </row>
    <row r="367" spans="1:74" hidden="1" x14ac:dyDescent="0.2">
      <c r="A367">
        <v>378</v>
      </c>
      <c r="B367">
        <v>33</v>
      </c>
      <c r="C367" t="s">
        <v>110</v>
      </c>
      <c r="E367" t="s">
        <v>63</v>
      </c>
      <c r="F367">
        <v>4</v>
      </c>
      <c r="G367">
        <v>1998</v>
      </c>
      <c r="H367">
        <v>24</v>
      </c>
      <c r="I367" t="s">
        <v>69</v>
      </c>
      <c r="J367">
        <v>2</v>
      </c>
      <c r="K367" t="s">
        <v>642</v>
      </c>
      <c r="L367" t="s">
        <v>652</v>
      </c>
      <c r="M367">
        <v>20</v>
      </c>
      <c r="N367">
        <v>46</v>
      </c>
      <c r="O367" t="s">
        <v>339</v>
      </c>
      <c r="P367" t="s">
        <v>456</v>
      </c>
      <c r="Q367" t="s">
        <v>712</v>
      </c>
      <c r="R367" t="s">
        <v>722</v>
      </c>
      <c r="S367" t="s">
        <v>301</v>
      </c>
      <c r="T367" t="s">
        <v>457</v>
      </c>
      <c r="U367" t="s">
        <v>452</v>
      </c>
      <c r="V367" t="s">
        <v>458</v>
      </c>
      <c r="W367" t="s">
        <v>197</v>
      </c>
      <c r="X367" t="s">
        <v>196</v>
      </c>
      <c r="Y367" t="s">
        <v>274</v>
      </c>
      <c r="Z367">
        <v>7</v>
      </c>
      <c r="AA367">
        <v>2</v>
      </c>
      <c r="AB367">
        <v>6</v>
      </c>
      <c r="AC367">
        <v>1</v>
      </c>
      <c r="AD367">
        <v>1</v>
      </c>
      <c r="AE367">
        <v>1</v>
      </c>
      <c r="AF367">
        <v>1</v>
      </c>
      <c r="AG367">
        <v>5</v>
      </c>
      <c r="AH367">
        <v>4</v>
      </c>
      <c r="AI367">
        <v>6</v>
      </c>
      <c r="AJ367">
        <v>2</v>
      </c>
      <c r="AK367">
        <v>2</v>
      </c>
      <c r="AL367">
        <v>2</v>
      </c>
      <c r="AM367">
        <v>1</v>
      </c>
      <c r="AN367">
        <v>122</v>
      </c>
      <c r="AO367">
        <v>3</v>
      </c>
      <c r="AP367">
        <v>2</v>
      </c>
      <c r="AQ367">
        <v>2</v>
      </c>
      <c r="AR367">
        <v>1</v>
      </c>
      <c r="AS367">
        <v>5</v>
      </c>
      <c r="AT367">
        <v>2</v>
      </c>
      <c r="AU367">
        <v>5</v>
      </c>
      <c r="AV367">
        <v>3</v>
      </c>
      <c r="AW367">
        <v>3</v>
      </c>
      <c r="AX367">
        <v>1</v>
      </c>
      <c r="AY367" cm="1">
        <f t="array" ref="AY367">_xlfn.IFS(AZ367="Positive",1, AZ367="Negative",1, AZ367="Neutral",0)</f>
        <v>1</v>
      </c>
      <c r="AZ367" t="s">
        <v>196</v>
      </c>
      <c r="BA367">
        <v>4</v>
      </c>
      <c r="BB367">
        <v>2</v>
      </c>
      <c r="BC367" s="3">
        <v>2</v>
      </c>
      <c r="BD367" s="3">
        <v>0</v>
      </c>
      <c r="BE367" s="3">
        <v>2</v>
      </c>
      <c r="BF367" s="3">
        <v>0</v>
      </c>
      <c r="BG367" s="3">
        <v>0</v>
      </c>
      <c r="BH367">
        <v>0</v>
      </c>
      <c r="BI367">
        <v>0</v>
      </c>
      <c r="BJ367">
        <v>2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 t="s">
        <v>382</v>
      </c>
      <c r="BT367" t="s">
        <v>382</v>
      </c>
      <c r="BU367" t="s">
        <v>385</v>
      </c>
      <c r="BV367" t="s">
        <v>410</v>
      </c>
    </row>
    <row r="368" spans="1:74" hidden="1" x14ac:dyDescent="0.2">
      <c r="A368">
        <v>379</v>
      </c>
      <c r="B368">
        <v>34</v>
      </c>
      <c r="C368" t="s">
        <v>111</v>
      </c>
      <c r="E368" t="s">
        <v>88</v>
      </c>
      <c r="F368">
        <v>5</v>
      </c>
      <c r="G368">
        <v>1999</v>
      </c>
      <c r="H368">
        <v>23</v>
      </c>
      <c r="I368" t="s">
        <v>69</v>
      </c>
      <c r="J368">
        <v>2</v>
      </c>
      <c r="K368" t="s">
        <v>517</v>
      </c>
      <c r="L368" t="s">
        <v>632</v>
      </c>
      <c r="M368">
        <v>9</v>
      </c>
      <c r="N368">
        <v>60</v>
      </c>
      <c r="O368" t="s">
        <v>456</v>
      </c>
      <c r="P368" t="s">
        <v>394</v>
      </c>
      <c r="Q368" t="s">
        <v>744</v>
      </c>
      <c r="R368" t="s">
        <v>732</v>
      </c>
      <c r="S368" t="s">
        <v>349</v>
      </c>
      <c r="T368" t="s">
        <v>444</v>
      </c>
      <c r="U368" t="s">
        <v>459</v>
      </c>
      <c r="V368" t="s">
        <v>398</v>
      </c>
      <c r="W368" t="s">
        <v>197</v>
      </c>
      <c r="X368" t="s">
        <v>196</v>
      </c>
      <c r="Y368" t="s">
        <v>274</v>
      </c>
      <c r="Z368">
        <v>7</v>
      </c>
      <c r="AA368">
        <v>4</v>
      </c>
      <c r="AB368">
        <v>6</v>
      </c>
      <c r="AC368">
        <v>4</v>
      </c>
      <c r="AD368">
        <v>3</v>
      </c>
      <c r="AE368">
        <v>3</v>
      </c>
      <c r="AF368">
        <v>4</v>
      </c>
      <c r="AG368">
        <v>3</v>
      </c>
      <c r="AH368">
        <v>5</v>
      </c>
      <c r="AI368">
        <v>6</v>
      </c>
      <c r="AJ368">
        <v>1</v>
      </c>
      <c r="AK368">
        <v>4</v>
      </c>
      <c r="AL368">
        <v>4</v>
      </c>
      <c r="AM368">
        <v>2</v>
      </c>
      <c r="AN368">
        <v>96</v>
      </c>
      <c r="AO368">
        <v>3</v>
      </c>
      <c r="AP368">
        <v>2</v>
      </c>
      <c r="AQ368">
        <v>2</v>
      </c>
      <c r="AR368">
        <v>3</v>
      </c>
      <c r="AS368">
        <v>4</v>
      </c>
      <c r="AT368">
        <v>4</v>
      </c>
      <c r="AU368">
        <v>3</v>
      </c>
      <c r="AV368">
        <v>3</v>
      </c>
      <c r="AW368">
        <v>6</v>
      </c>
      <c r="AX368">
        <v>1</v>
      </c>
      <c r="AY368" cm="1">
        <f t="array" ref="AY368">_xlfn.IFS(AZ368="Positive",1, AZ368="Negative",1, AZ368="Neutral",0)</f>
        <v>1</v>
      </c>
      <c r="AZ368" t="s">
        <v>196</v>
      </c>
      <c r="BA368">
        <v>9</v>
      </c>
      <c r="BB368">
        <v>1</v>
      </c>
      <c r="BC368" s="3">
        <v>5</v>
      </c>
      <c r="BD368" s="3">
        <v>1</v>
      </c>
      <c r="BE368" s="3">
        <v>2</v>
      </c>
      <c r="BF368" s="3">
        <v>0</v>
      </c>
      <c r="BG368" s="3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1</v>
      </c>
      <c r="BR368">
        <v>0</v>
      </c>
      <c r="BS368" t="s">
        <v>313</v>
      </c>
      <c r="BT368" t="s">
        <v>383</v>
      </c>
      <c r="BU368" t="s">
        <v>316</v>
      </c>
      <c r="BV368" t="s">
        <v>386</v>
      </c>
    </row>
    <row r="369" spans="1:74" hidden="1" x14ac:dyDescent="0.2">
      <c r="A369">
        <v>380</v>
      </c>
      <c r="B369">
        <v>35</v>
      </c>
      <c r="C369" t="s">
        <v>112</v>
      </c>
      <c r="E369" t="s">
        <v>68</v>
      </c>
      <c r="F369">
        <v>5</v>
      </c>
      <c r="G369">
        <v>1998</v>
      </c>
      <c r="H369">
        <v>24</v>
      </c>
      <c r="I369" t="s">
        <v>64</v>
      </c>
      <c r="J369">
        <v>1</v>
      </c>
      <c r="K369" t="s">
        <v>416</v>
      </c>
      <c r="L369" t="s">
        <v>669</v>
      </c>
      <c r="M369">
        <v>9</v>
      </c>
      <c r="N369">
        <v>56</v>
      </c>
      <c r="O369" t="s">
        <v>288</v>
      </c>
      <c r="P369" t="s">
        <v>460</v>
      </c>
      <c r="Q369" t="s">
        <v>723</v>
      </c>
      <c r="R369" t="s">
        <v>745</v>
      </c>
      <c r="S369" t="s">
        <v>349</v>
      </c>
      <c r="T369" t="s">
        <v>423</v>
      </c>
      <c r="U369" t="s">
        <v>461</v>
      </c>
      <c r="V369" t="s">
        <v>462</v>
      </c>
      <c r="W369" t="s">
        <v>197</v>
      </c>
      <c r="X369" t="s">
        <v>196</v>
      </c>
      <c r="Y369" t="s">
        <v>274</v>
      </c>
      <c r="Z369">
        <v>7</v>
      </c>
      <c r="AA369">
        <v>4</v>
      </c>
      <c r="AB369">
        <v>5</v>
      </c>
      <c r="AC369">
        <v>6</v>
      </c>
      <c r="AD369">
        <v>1</v>
      </c>
      <c r="AE369">
        <v>4</v>
      </c>
      <c r="AF369">
        <v>3</v>
      </c>
      <c r="AG369">
        <v>4</v>
      </c>
      <c r="AH369">
        <v>6</v>
      </c>
      <c r="AI369">
        <v>6</v>
      </c>
      <c r="AJ369">
        <v>1</v>
      </c>
      <c r="AK369">
        <v>5</v>
      </c>
      <c r="AL369">
        <v>4</v>
      </c>
      <c r="AM369">
        <v>4</v>
      </c>
      <c r="AN369">
        <v>186</v>
      </c>
      <c r="AO369">
        <v>1</v>
      </c>
      <c r="AP369">
        <v>1</v>
      </c>
      <c r="AQ369">
        <v>5</v>
      </c>
      <c r="AR369">
        <v>3</v>
      </c>
      <c r="AS369">
        <v>4</v>
      </c>
      <c r="AT369">
        <v>4</v>
      </c>
      <c r="AU369">
        <v>4</v>
      </c>
      <c r="AV369">
        <v>5</v>
      </c>
      <c r="AW369">
        <v>4</v>
      </c>
      <c r="AX369">
        <v>1</v>
      </c>
      <c r="AY369" cm="1">
        <f t="array" ref="AY369">_xlfn.IFS(AZ369="Positive",1, AZ369="Negative",1, AZ369="Neutral",0)</f>
        <v>1</v>
      </c>
      <c r="AZ369" t="s">
        <v>196</v>
      </c>
      <c r="BA369">
        <v>8</v>
      </c>
      <c r="BB369">
        <v>1</v>
      </c>
      <c r="BC369" s="3">
        <v>3</v>
      </c>
      <c r="BD369" s="3">
        <v>2</v>
      </c>
      <c r="BE369" s="3">
        <v>1</v>
      </c>
      <c r="BF369" s="3">
        <v>1</v>
      </c>
      <c r="BG369" s="3">
        <v>1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1</v>
      </c>
      <c r="BS369" t="s">
        <v>382</v>
      </c>
      <c r="BT369" t="s">
        <v>433</v>
      </c>
      <c r="BU369" t="s">
        <v>385</v>
      </c>
      <c r="BV369" t="s">
        <v>435</v>
      </c>
    </row>
    <row r="370" spans="1:74" hidden="1" x14ac:dyDescent="0.2">
      <c r="A370">
        <v>381</v>
      </c>
      <c r="B370">
        <v>36</v>
      </c>
      <c r="C370" t="s">
        <v>113</v>
      </c>
      <c r="E370" t="s">
        <v>78</v>
      </c>
      <c r="F370">
        <v>8</v>
      </c>
      <c r="G370">
        <v>1998</v>
      </c>
      <c r="H370">
        <v>24</v>
      </c>
      <c r="I370" t="s">
        <v>64</v>
      </c>
      <c r="J370">
        <v>1</v>
      </c>
      <c r="K370" t="s">
        <v>517</v>
      </c>
      <c r="L370" t="s">
        <v>670</v>
      </c>
      <c r="M370">
        <v>10</v>
      </c>
      <c r="N370">
        <v>58</v>
      </c>
      <c r="O370" t="s">
        <v>384</v>
      </c>
      <c r="P370" t="s">
        <v>376</v>
      </c>
      <c r="Q370" t="s">
        <v>744</v>
      </c>
      <c r="R370" t="s">
        <v>746</v>
      </c>
      <c r="S370" t="s">
        <v>378</v>
      </c>
      <c r="T370" t="s">
        <v>364</v>
      </c>
      <c r="U370" t="s">
        <v>387</v>
      </c>
      <c r="V370" t="s">
        <v>381</v>
      </c>
      <c r="W370" t="s">
        <v>197</v>
      </c>
      <c r="X370" t="s">
        <v>196</v>
      </c>
      <c r="Y370" t="s">
        <v>274</v>
      </c>
      <c r="Z370">
        <v>7</v>
      </c>
      <c r="AA370">
        <v>4</v>
      </c>
      <c r="AB370">
        <v>7</v>
      </c>
      <c r="AC370">
        <v>7</v>
      </c>
      <c r="AD370">
        <v>1</v>
      </c>
      <c r="AE370">
        <v>1</v>
      </c>
      <c r="AF370">
        <v>1</v>
      </c>
      <c r="AG370">
        <v>1</v>
      </c>
      <c r="AH370">
        <v>4</v>
      </c>
      <c r="AI370">
        <v>7</v>
      </c>
      <c r="AJ370">
        <v>1</v>
      </c>
      <c r="AK370">
        <v>3</v>
      </c>
      <c r="AL370">
        <v>2</v>
      </c>
      <c r="AM370">
        <v>5</v>
      </c>
      <c r="AN370">
        <v>216</v>
      </c>
      <c r="AO370">
        <v>1</v>
      </c>
      <c r="AP370">
        <v>1</v>
      </c>
      <c r="AQ370">
        <v>5</v>
      </c>
      <c r="AR370">
        <v>6</v>
      </c>
      <c r="AS370">
        <v>6</v>
      </c>
      <c r="AT370">
        <v>6</v>
      </c>
      <c r="AU370">
        <v>6</v>
      </c>
      <c r="AV370">
        <v>6</v>
      </c>
      <c r="AW370">
        <v>7</v>
      </c>
      <c r="AX370">
        <v>1</v>
      </c>
      <c r="AY370" cm="1">
        <f t="array" ref="AY370">_xlfn.IFS(AZ370="Positive",1, AZ370="Negative",1, AZ370="Neutral",0)</f>
        <v>1</v>
      </c>
      <c r="AZ370" t="s">
        <v>196</v>
      </c>
      <c r="BA370">
        <v>15</v>
      </c>
      <c r="BB370">
        <v>0</v>
      </c>
      <c r="BC370" s="3">
        <v>10</v>
      </c>
      <c r="BD370" s="3">
        <v>1</v>
      </c>
      <c r="BE370" s="3">
        <v>1</v>
      </c>
      <c r="BF370" s="3">
        <v>2</v>
      </c>
      <c r="BG370" s="3">
        <v>1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 t="s">
        <v>463</v>
      </c>
      <c r="BT370" t="s">
        <v>464</v>
      </c>
      <c r="BU370" t="s">
        <v>465</v>
      </c>
      <c r="BV370" t="s">
        <v>466</v>
      </c>
    </row>
    <row r="371" spans="1:74" hidden="1" x14ac:dyDescent="0.2">
      <c r="A371">
        <v>382</v>
      </c>
      <c r="B371">
        <v>37</v>
      </c>
      <c r="C371" t="s">
        <v>114</v>
      </c>
      <c r="E371" t="s">
        <v>88</v>
      </c>
      <c r="F371">
        <v>25</v>
      </c>
      <c r="G371">
        <v>2000</v>
      </c>
      <c r="H371">
        <v>22</v>
      </c>
      <c r="I371" t="s">
        <v>64</v>
      </c>
      <c r="J371">
        <v>1</v>
      </c>
      <c r="K371" t="s">
        <v>416</v>
      </c>
      <c r="L371" t="s">
        <v>634</v>
      </c>
      <c r="M371">
        <v>15</v>
      </c>
      <c r="N371">
        <v>61</v>
      </c>
      <c r="O371" t="s">
        <v>468</v>
      </c>
      <c r="P371">
        <v>6</v>
      </c>
      <c r="Q371" t="s">
        <v>723</v>
      </c>
      <c r="R371" t="s">
        <v>747</v>
      </c>
      <c r="S371" t="s">
        <v>363</v>
      </c>
      <c r="T371" t="s">
        <v>292</v>
      </c>
      <c r="U371" t="s">
        <v>470</v>
      </c>
      <c r="V371" t="s">
        <v>471</v>
      </c>
      <c r="W371" t="s">
        <v>197</v>
      </c>
      <c r="X371" t="s">
        <v>196</v>
      </c>
      <c r="Y371" t="s">
        <v>274</v>
      </c>
      <c r="Z371">
        <v>7</v>
      </c>
      <c r="AA371">
        <v>1</v>
      </c>
      <c r="AB371">
        <v>3</v>
      </c>
      <c r="AC371">
        <v>1</v>
      </c>
      <c r="AD371">
        <v>1</v>
      </c>
      <c r="AE371">
        <v>1</v>
      </c>
      <c r="AF371">
        <v>6</v>
      </c>
      <c r="AG371">
        <v>6</v>
      </c>
      <c r="AH371">
        <v>2</v>
      </c>
      <c r="AI371">
        <v>4</v>
      </c>
      <c r="AJ371">
        <v>4</v>
      </c>
      <c r="AK371">
        <v>1</v>
      </c>
      <c r="AL371">
        <v>1</v>
      </c>
      <c r="AM371">
        <v>2</v>
      </c>
      <c r="AN371">
        <v>84</v>
      </c>
      <c r="AO371">
        <v>4</v>
      </c>
      <c r="AP371">
        <v>4</v>
      </c>
      <c r="AQ371">
        <v>2</v>
      </c>
      <c r="AR371">
        <v>1</v>
      </c>
      <c r="AS371">
        <v>3</v>
      </c>
      <c r="AT371">
        <v>1</v>
      </c>
      <c r="AU371">
        <v>4</v>
      </c>
      <c r="AV371">
        <v>3</v>
      </c>
      <c r="AW371">
        <v>2</v>
      </c>
      <c r="AX371">
        <v>2</v>
      </c>
      <c r="AY371" cm="1">
        <f t="array" ref="AY371">_xlfn.IFS(AZ371="Positive",1, AZ371="Negative",1, AZ371="Neutral",0)</f>
        <v>1</v>
      </c>
      <c r="AZ371" t="s">
        <v>196</v>
      </c>
      <c r="BA371">
        <v>10</v>
      </c>
      <c r="BB371">
        <v>1</v>
      </c>
      <c r="BC371" s="3">
        <v>2</v>
      </c>
      <c r="BD371" s="3">
        <v>2</v>
      </c>
      <c r="BE371" s="3">
        <v>2</v>
      </c>
      <c r="BF371" s="3">
        <v>1</v>
      </c>
      <c r="BG371" s="3">
        <v>3</v>
      </c>
      <c r="BH371">
        <v>0</v>
      </c>
      <c r="BI371">
        <v>0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 t="s">
        <v>467</v>
      </c>
      <c r="BT371" t="s">
        <v>399</v>
      </c>
      <c r="BU371" t="s">
        <v>469</v>
      </c>
      <c r="BV371" t="s">
        <v>447</v>
      </c>
    </row>
    <row r="372" spans="1:74" hidden="1" x14ac:dyDescent="0.2">
      <c r="A372">
        <v>383</v>
      </c>
      <c r="B372">
        <v>38</v>
      </c>
      <c r="C372" t="s">
        <v>115</v>
      </c>
      <c r="E372" t="s">
        <v>85</v>
      </c>
      <c r="F372">
        <v>27</v>
      </c>
      <c r="G372">
        <v>1999</v>
      </c>
      <c r="H372">
        <v>23</v>
      </c>
      <c r="I372" t="s">
        <v>64</v>
      </c>
      <c r="J372">
        <v>1</v>
      </c>
      <c r="K372" t="s">
        <v>671</v>
      </c>
      <c r="L372" t="s">
        <v>670</v>
      </c>
      <c r="M372">
        <v>3</v>
      </c>
      <c r="N372">
        <v>48</v>
      </c>
      <c r="O372" t="s">
        <v>315</v>
      </c>
      <c r="P372" t="s">
        <v>405</v>
      </c>
      <c r="Q372" t="s">
        <v>748</v>
      </c>
      <c r="R372" t="s">
        <v>746</v>
      </c>
      <c r="S372" t="s">
        <v>372</v>
      </c>
      <c r="T372" t="s">
        <v>418</v>
      </c>
      <c r="U372" t="s">
        <v>474</v>
      </c>
      <c r="V372" t="s">
        <v>407</v>
      </c>
      <c r="W372" t="s">
        <v>197</v>
      </c>
      <c r="X372" t="s">
        <v>196</v>
      </c>
      <c r="Y372" t="s">
        <v>274</v>
      </c>
      <c r="Z372">
        <v>7</v>
      </c>
      <c r="AA372">
        <v>2</v>
      </c>
      <c r="AB372">
        <v>2</v>
      </c>
      <c r="AC372">
        <v>1</v>
      </c>
      <c r="AD372">
        <v>1</v>
      </c>
      <c r="AE372">
        <v>1</v>
      </c>
      <c r="AF372">
        <v>4</v>
      </c>
      <c r="AG372">
        <v>6</v>
      </c>
      <c r="AH372">
        <v>2</v>
      </c>
      <c r="AI372">
        <v>4</v>
      </c>
      <c r="AJ372">
        <v>1</v>
      </c>
      <c r="AK372">
        <v>2</v>
      </c>
      <c r="AL372">
        <v>2</v>
      </c>
      <c r="AM372">
        <v>5</v>
      </c>
      <c r="AN372">
        <v>194</v>
      </c>
      <c r="AO372">
        <v>4</v>
      </c>
      <c r="AP372">
        <v>4</v>
      </c>
      <c r="AQ372">
        <v>2</v>
      </c>
      <c r="AR372">
        <v>1</v>
      </c>
      <c r="AS372">
        <v>4</v>
      </c>
      <c r="AT372">
        <v>4</v>
      </c>
      <c r="AU372">
        <v>5</v>
      </c>
      <c r="AV372">
        <v>5</v>
      </c>
      <c r="AW372">
        <v>4</v>
      </c>
      <c r="AX372">
        <v>2</v>
      </c>
      <c r="AY372" cm="1">
        <f t="array" ref="AY372">_xlfn.IFS(AZ372="Positive",1, AZ372="Negative",1, AZ372="Neutral",0)</f>
        <v>1</v>
      </c>
      <c r="AZ372" t="s">
        <v>196</v>
      </c>
      <c r="BA372">
        <v>5</v>
      </c>
      <c r="BB372">
        <v>0</v>
      </c>
      <c r="BC372" s="3">
        <v>3</v>
      </c>
      <c r="BD372" s="3">
        <v>0</v>
      </c>
      <c r="BE372" s="3">
        <v>2</v>
      </c>
      <c r="BF372" s="3">
        <v>0</v>
      </c>
      <c r="BG372" s="3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 t="s">
        <v>453</v>
      </c>
      <c r="BT372" t="s">
        <v>295</v>
      </c>
      <c r="BU372" t="s">
        <v>472</v>
      </c>
      <c r="BV372" t="s">
        <v>473</v>
      </c>
    </row>
    <row r="373" spans="1:74" hidden="1" x14ac:dyDescent="0.2">
      <c r="A373">
        <v>384</v>
      </c>
      <c r="B373">
        <v>39</v>
      </c>
      <c r="C373" t="s">
        <v>116</v>
      </c>
      <c r="E373" t="s">
        <v>71</v>
      </c>
      <c r="F373">
        <v>28</v>
      </c>
      <c r="G373">
        <v>2001</v>
      </c>
      <c r="H373">
        <v>21</v>
      </c>
      <c r="I373" t="s">
        <v>69</v>
      </c>
      <c r="J373">
        <v>2</v>
      </c>
      <c r="K373" t="s">
        <v>517</v>
      </c>
      <c r="L373" t="s">
        <v>672</v>
      </c>
      <c r="M373">
        <v>4</v>
      </c>
      <c r="N373">
        <v>63</v>
      </c>
      <c r="O373" t="s">
        <v>394</v>
      </c>
      <c r="P373" t="s">
        <v>354</v>
      </c>
      <c r="Q373" t="s">
        <v>744</v>
      </c>
      <c r="R373" t="s">
        <v>749</v>
      </c>
      <c r="S373" t="s">
        <v>396</v>
      </c>
      <c r="T373" t="s">
        <v>477</v>
      </c>
      <c r="U373" t="s">
        <v>478</v>
      </c>
      <c r="V373" t="s">
        <v>359</v>
      </c>
      <c r="W373" t="s">
        <v>197</v>
      </c>
      <c r="X373" t="s">
        <v>196</v>
      </c>
      <c r="Y373" t="s">
        <v>274</v>
      </c>
      <c r="Z373">
        <v>7</v>
      </c>
      <c r="AA373">
        <v>2</v>
      </c>
      <c r="AB373">
        <v>5</v>
      </c>
      <c r="AC373">
        <v>5</v>
      </c>
      <c r="AD373">
        <v>1</v>
      </c>
      <c r="AE373">
        <v>1</v>
      </c>
      <c r="AF373">
        <v>1</v>
      </c>
      <c r="AG373">
        <v>5</v>
      </c>
      <c r="AH373">
        <v>2</v>
      </c>
      <c r="AI373">
        <v>6</v>
      </c>
      <c r="AJ373">
        <v>1</v>
      </c>
      <c r="AK373">
        <v>2</v>
      </c>
      <c r="AL373">
        <v>2</v>
      </c>
      <c r="AM373">
        <v>2</v>
      </c>
      <c r="AN373">
        <v>48</v>
      </c>
      <c r="AO373">
        <v>1</v>
      </c>
      <c r="AP373">
        <v>2</v>
      </c>
      <c r="AQ373">
        <v>4</v>
      </c>
      <c r="AR373">
        <v>1</v>
      </c>
      <c r="AS373">
        <v>5</v>
      </c>
      <c r="AT373">
        <v>2</v>
      </c>
      <c r="AU373">
        <v>5</v>
      </c>
      <c r="AV373">
        <v>5</v>
      </c>
      <c r="AW373">
        <v>3</v>
      </c>
      <c r="AX373">
        <v>1</v>
      </c>
      <c r="AY373" cm="1">
        <f t="array" ref="AY373">_xlfn.IFS(AZ373="Positive",1, AZ373="Negative",1, AZ373="Neutral",0)</f>
        <v>1</v>
      </c>
      <c r="AZ373" t="s">
        <v>196</v>
      </c>
      <c r="BA373">
        <v>8</v>
      </c>
      <c r="BB373">
        <v>3</v>
      </c>
      <c r="BC373" s="3">
        <v>5</v>
      </c>
      <c r="BD373" s="3">
        <v>0</v>
      </c>
      <c r="BE373" s="3">
        <v>2</v>
      </c>
      <c r="BF373" s="3">
        <v>1</v>
      </c>
      <c r="BG373" s="3">
        <v>0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2</v>
      </c>
      <c r="BR373">
        <v>0</v>
      </c>
      <c r="BS373" t="s">
        <v>399</v>
      </c>
      <c r="BT373" t="s">
        <v>475</v>
      </c>
      <c r="BU373" t="s">
        <v>400</v>
      </c>
      <c r="BV373" t="s">
        <v>476</v>
      </c>
    </row>
    <row r="374" spans="1:74" hidden="1" x14ac:dyDescent="0.2">
      <c r="A374">
        <v>385</v>
      </c>
      <c r="B374">
        <v>40</v>
      </c>
      <c r="C374" t="s">
        <v>117</v>
      </c>
      <c r="E374" t="s">
        <v>88</v>
      </c>
      <c r="F374">
        <v>15</v>
      </c>
      <c r="G374">
        <v>2001</v>
      </c>
      <c r="H374">
        <v>21</v>
      </c>
      <c r="I374" t="s">
        <v>69</v>
      </c>
      <c r="J374">
        <v>2</v>
      </c>
      <c r="K374" t="s">
        <v>673</v>
      </c>
      <c r="L374" t="s">
        <v>648</v>
      </c>
      <c r="M374">
        <v>5</v>
      </c>
      <c r="N374">
        <v>48</v>
      </c>
      <c r="O374" t="s">
        <v>393</v>
      </c>
      <c r="P374" t="s">
        <v>369</v>
      </c>
      <c r="Q374" t="s">
        <v>750</v>
      </c>
      <c r="R374" t="s">
        <v>718</v>
      </c>
      <c r="S374" t="s">
        <v>318</v>
      </c>
      <c r="T374" t="s">
        <v>418</v>
      </c>
      <c r="U374" t="s">
        <v>397</v>
      </c>
      <c r="V374" t="s">
        <v>374</v>
      </c>
      <c r="W374" t="s">
        <v>197</v>
      </c>
      <c r="X374" t="s">
        <v>196</v>
      </c>
      <c r="Y374" t="s">
        <v>274</v>
      </c>
      <c r="Z374">
        <v>7</v>
      </c>
      <c r="AA374">
        <v>2</v>
      </c>
      <c r="AB374">
        <v>2</v>
      </c>
      <c r="AC374">
        <v>4</v>
      </c>
      <c r="AD374">
        <v>1</v>
      </c>
      <c r="AE374">
        <v>1</v>
      </c>
      <c r="AF374">
        <v>1</v>
      </c>
      <c r="AG374">
        <v>2</v>
      </c>
      <c r="AH374">
        <v>2</v>
      </c>
      <c r="AI374">
        <v>6</v>
      </c>
      <c r="AJ374">
        <v>1</v>
      </c>
      <c r="AK374">
        <v>5</v>
      </c>
      <c r="AL374">
        <v>4</v>
      </c>
      <c r="AM374">
        <v>5</v>
      </c>
      <c r="AN374">
        <v>110</v>
      </c>
      <c r="AO374">
        <v>1</v>
      </c>
      <c r="AP374">
        <v>1</v>
      </c>
      <c r="AQ374">
        <v>6</v>
      </c>
      <c r="AR374">
        <v>1</v>
      </c>
      <c r="AS374">
        <v>5</v>
      </c>
      <c r="AT374">
        <v>2</v>
      </c>
      <c r="AU374">
        <v>6</v>
      </c>
      <c r="AV374">
        <v>4</v>
      </c>
      <c r="AW374">
        <v>5</v>
      </c>
      <c r="AX374">
        <v>1</v>
      </c>
      <c r="AY374" cm="1">
        <f t="array" ref="AY374">_xlfn.IFS(AZ374="Positive",1, AZ374="Negative",1, AZ374="Neutral",0)</f>
        <v>1</v>
      </c>
      <c r="AZ374" t="s">
        <v>196</v>
      </c>
      <c r="BA374">
        <v>22</v>
      </c>
      <c r="BB374">
        <v>0</v>
      </c>
      <c r="BC374" s="3">
        <v>15</v>
      </c>
      <c r="BD374" s="3">
        <v>1</v>
      </c>
      <c r="BE374" s="3">
        <v>1</v>
      </c>
      <c r="BF374" s="3">
        <v>2</v>
      </c>
      <c r="BG374" s="3">
        <v>3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 t="s">
        <v>323</v>
      </c>
      <c r="BT374">
        <v>2</v>
      </c>
      <c r="BU374" t="s">
        <v>479</v>
      </c>
      <c r="BV374" t="s">
        <v>340</v>
      </c>
    </row>
    <row r="375" spans="1:74" hidden="1" x14ac:dyDescent="0.2">
      <c r="A375">
        <v>386</v>
      </c>
      <c r="B375">
        <v>41</v>
      </c>
      <c r="C375" t="s">
        <v>118</v>
      </c>
      <c r="E375" t="s">
        <v>88</v>
      </c>
      <c r="F375">
        <v>27</v>
      </c>
      <c r="G375">
        <v>1998</v>
      </c>
      <c r="H375">
        <v>24</v>
      </c>
      <c r="I375" t="s">
        <v>69</v>
      </c>
      <c r="J375">
        <v>2</v>
      </c>
      <c r="K375" t="s">
        <v>656</v>
      </c>
      <c r="L375" t="s">
        <v>653</v>
      </c>
      <c r="M375">
        <v>8</v>
      </c>
      <c r="N375">
        <v>59</v>
      </c>
      <c r="O375" t="s">
        <v>339</v>
      </c>
      <c r="P375" t="s">
        <v>481</v>
      </c>
      <c r="Q375" t="s">
        <v>751</v>
      </c>
      <c r="R375" t="s">
        <v>724</v>
      </c>
      <c r="S375" t="s">
        <v>291</v>
      </c>
      <c r="T375" t="s">
        <v>341</v>
      </c>
      <c r="U375" t="s">
        <v>452</v>
      </c>
      <c r="V375" t="s">
        <v>483</v>
      </c>
      <c r="W375" t="s">
        <v>197</v>
      </c>
      <c r="X375" t="s">
        <v>196</v>
      </c>
      <c r="Y375" t="s">
        <v>274</v>
      </c>
      <c r="Z375">
        <v>7</v>
      </c>
      <c r="AA375">
        <v>2</v>
      </c>
      <c r="AB375">
        <v>5</v>
      </c>
      <c r="AC375">
        <v>4</v>
      </c>
      <c r="AD375">
        <v>1</v>
      </c>
      <c r="AE375">
        <v>1</v>
      </c>
      <c r="AF375">
        <v>2</v>
      </c>
      <c r="AG375">
        <v>1</v>
      </c>
      <c r="AH375">
        <v>2</v>
      </c>
      <c r="AI375">
        <v>5</v>
      </c>
      <c r="AJ375">
        <v>2</v>
      </c>
      <c r="AK375">
        <v>2</v>
      </c>
      <c r="AL375">
        <v>1</v>
      </c>
      <c r="AM375">
        <v>1</v>
      </c>
      <c r="AN375">
        <v>60</v>
      </c>
      <c r="AO375">
        <v>2</v>
      </c>
      <c r="AP375">
        <v>3</v>
      </c>
      <c r="AQ375">
        <v>2</v>
      </c>
      <c r="AR375">
        <v>4</v>
      </c>
      <c r="AS375">
        <v>4</v>
      </c>
      <c r="AT375">
        <v>4</v>
      </c>
      <c r="AU375">
        <v>5</v>
      </c>
      <c r="AV375">
        <v>6</v>
      </c>
      <c r="AW375">
        <v>4</v>
      </c>
      <c r="AX375">
        <v>2</v>
      </c>
      <c r="AY375" cm="1">
        <f t="array" ref="AY375">_xlfn.IFS(AZ375="Positive",1, AZ375="Negative",1, AZ375="Neutral",0)</f>
        <v>1</v>
      </c>
      <c r="AZ375" t="s">
        <v>196</v>
      </c>
      <c r="BA375">
        <v>11</v>
      </c>
      <c r="BB375">
        <v>0</v>
      </c>
      <c r="BC375" s="3">
        <v>7</v>
      </c>
      <c r="BD375" s="3">
        <v>0</v>
      </c>
      <c r="BE375" s="3">
        <v>1</v>
      </c>
      <c r="BF375" s="3">
        <v>2</v>
      </c>
      <c r="BG375" s="3">
        <v>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 t="s">
        <v>295</v>
      </c>
      <c r="BT375" t="s">
        <v>480</v>
      </c>
      <c r="BU375" t="s">
        <v>299</v>
      </c>
      <c r="BV375" t="s">
        <v>482</v>
      </c>
    </row>
    <row r="376" spans="1:74" hidden="1" x14ac:dyDescent="0.2">
      <c r="A376">
        <v>387</v>
      </c>
      <c r="B376">
        <v>42</v>
      </c>
      <c r="C376" t="s">
        <v>119</v>
      </c>
      <c r="E376" t="s">
        <v>88</v>
      </c>
      <c r="F376">
        <v>17</v>
      </c>
      <c r="G376">
        <v>2001</v>
      </c>
      <c r="H376">
        <v>21</v>
      </c>
      <c r="I376" t="s">
        <v>64</v>
      </c>
      <c r="J376">
        <v>1</v>
      </c>
      <c r="K376" t="s">
        <v>674</v>
      </c>
      <c r="L376" t="s">
        <v>636</v>
      </c>
      <c r="M376">
        <v>10</v>
      </c>
      <c r="N376">
        <v>68</v>
      </c>
      <c r="O376" t="s">
        <v>485</v>
      </c>
      <c r="P376" t="s">
        <v>389</v>
      </c>
      <c r="Q376" t="s">
        <v>752</v>
      </c>
      <c r="R376" t="s">
        <v>705</v>
      </c>
      <c r="S376" t="s">
        <v>378</v>
      </c>
      <c r="T376" t="s">
        <v>487</v>
      </c>
      <c r="U376" t="s">
        <v>488</v>
      </c>
      <c r="V376" t="s">
        <v>392</v>
      </c>
      <c r="W376" t="s">
        <v>197</v>
      </c>
      <c r="X376" t="s">
        <v>196</v>
      </c>
      <c r="Y376" t="s">
        <v>274</v>
      </c>
      <c r="Z376">
        <v>7</v>
      </c>
      <c r="AA376">
        <v>6</v>
      </c>
      <c r="AB376">
        <v>7</v>
      </c>
      <c r="AC376">
        <v>6</v>
      </c>
      <c r="AD376">
        <v>6</v>
      </c>
      <c r="AE376">
        <v>6</v>
      </c>
      <c r="AF376">
        <v>3</v>
      </c>
      <c r="AG376">
        <v>2</v>
      </c>
      <c r="AH376">
        <v>6</v>
      </c>
      <c r="AI376">
        <v>7</v>
      </c>
      <c r="AJ376">
        <v>1</v>
      </c>
      <c r="AK376">
        <v>5</v>
      </c>
      <c r="AL376">
        <v>5</v>
      </c>
      <c r="AM376">
        <v>6</v>
      </c>
      <c r="AN376">
        <v>49</v>
      </c>
      <c r="AO376">
        <v>2</v>
      </c>
      <c r="AP376">
        <v>1</v>
      </c>
      <c r="AQ376">
        <v>5</v>
      </c>
      <c r="AR376">
        <v>5</v>
      </c>
      <c r="AS376">
        <v>4</v>
      </c>
      <c r="AT376">
        <v>6</v>
      </c>
      <c r="AU376">
        <v>5</v>
      </c>
      <c r="AV376">
        <v>6</v>
      </c>
      <c r="AW376">
        <v>6</v>
      </c>
      <c r="AX376">
        <v>1</v>
      </c>
      <c r="AY376" cm="1">
        <f t="array" ref="AY376">_xlfn.IFS(AZ376="Positive",1, AZ376="Negative",1, AZ376="Neutral",0)</f>
        <v>1</v>
      </c>
      <c r="AZ376" t="s">
        <v>196</v>
      </c>
      <c r="BA376">
        <v>20</v>
      </c>
      <c r="BB376">
        <v>0</v>
      </c>
      <c r="BC376" s="3">
        <v>13</v>
      </c>
      <c r="BD376" s="3">
        <v>2</v>
      </c>
      <c r="BE376" s="3">
        <v>2</v>
      </c>
      <c r="BF376" s="3">
        <v>3</v>
      </c>
      <c r="BG376" s="3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 t="s">
        <v>388</v>
      </c>
      <c r="BT376" t="s">
        <v>484</v>
      </c>
      <c r="BU376" t="s">
        <v>434</v>
      </c>
      <c r="BV376" t="s">
        <v>486</v>
      </c>
    </row>
    <row r="377" spans="1:74" x14ac:dyDescent="0.2">
      <c r="A377">
        <v>388</v>
      </c>
      <c r="B377">
        <v>43</v>
      </c>
      <c r="C377" t="s">
        <v>120</v>
      </c>
      <c r="E377" t="s">
        <v>85</v>
      </c>
      <c r="F377">
        <v>3</v>
      </c>
      <c r="G377">
        <v>1998</v>
      </c>
      <c r="H377">
        <v>24</v>
      </c>
      <c r="I377" t="s">
        <v>69</v>
      </c>
      <c r="J377">
        <v>2</v>
      </c>
      <c r="K377" t="s">
        <v>642</v>
      </c>
      <c r="L377" t="s">
        <v>634</v>
      </c>
      <c r="M377">
        <v>1</v>
      </c>
      <c r="N377">
        <v>49</v>
      </c>
      <c r="O377" t="s">
        <v>456</v>
      </c>
      <c r="P377" t="s">
        <v>394</v>
      </c>
      <c r="Q377" t="s">
        <v>712</v>
      </c>
      <c r="R377" t="s">
        <v>747</v>
      </c>
      <c r="S377" t="s">
        <v>335</v>
      </c>
      <c r="T377" t="s">
        <v>491</v>
      </c>
      <c r="U377" t="s">
        <v>459</v>
      </c>
      <c r="V377" t="s">
        <v>398</v>
      </c>
      <c r="W377" t="s">
        <v>197</v>
      </c>
      <c r="X377" t="s">
        <v>196</v>
      </c>
      <c r="Y377" t="s">
        <v>274</v>
      </c>
      <c r="Z377">
        <v>7</v>
      </c>
      <c r="AA377">
        <v>6</v>
      </c>
      <c r="AB377">
        <v>6</v>
      </c>
      <c r="AC377">
        <v>5</v>
      </c>
      <c r="AD377">
        <v>4</v>
      </c>
      <c r="AE377">
        <v>6</v>
      </c>
      <c r="AF377">
        <v>5</v>
      </c>
      <c r="AG377">
        <v>5</v>
      </c>
      <c r="AH377">
        <v>5</v>
      </c>
      <c r="AI377">
        <v>6</v>
      </c>
      <c r="AJ377">
        <v>1</v>
      </c>
      <c r="AK377">
        <v>5</v>
      </c>
      <c r="AL377">
        <v>5</v>
      </c>
      <c r="AM377">
        <v>4</v>
      </c>
      <c r="AN377">
        <v>114</v>
      </c>
      <c r="AO377">
        <v>6</v>
      </c>
      <c r="AP377">
        <v>1</v>
      </c>
      <c r="AQ377">
        <v>2</v>
      </c>
      <c r="AR377">
        <v>4</v>
      </c>
      <c r="AS377">
        <v>5</v>
      </c>
      <c r="AT377">
        <v>3</v>
      </c>
      <c r="AU377">
        <v>6</v>
      </c>
      <c r="AV377">
        <v>6</v>
      </c>
      <c r="AW377">
        <v>2</v>
      </c>
      <c r="AX377">
        <v>1</v>
      </c>
      <c r="AY377" cm="1">
        <f t="array" ref="AY377">_xlfn.IFS(AZ377="Positive",1, AZ377="Negative",1, AZ377="Neutral",0)</f>
        <v>1</v>
      </c>
      <c r="AZ377" t="s">
        <v>196</v>
      </c>
      <c r="BA377">
        <v>0</v>
      </c>
      <c r="BB377">
        <v>4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>
        <v>0</v>
      </c>
      <c r="BI377">
        <v>0</v>
      </c>
      <c r="BJ377">
        <v>2</v>
      </c>
      <c r="BK377">
        <v>0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 t="s">
        <v>489</v>
      </c>
      <c r="BT377" t="s">
        <v>399</v>
      </c>
      <c r="BU377" t="s">
        <v>490</v>
      </c>
      <c r="BV377" t="s">
        <v>447</v>
      </c>
    </row>
    <row r="378" spans="1:74" hidden="1" x14ac:dyDescent="0.2">
      <c r="A378">
        <v>389</v>
      </c>
      <c r="B378">
        <v>44</v>
      </c>
      <c r="C378" t="s">
        <v>121</v>
      </c>
      <c r="E378" t="s">
        <v>80</v>
      </c>
      <c r="F378">
        <v>19</v>
      </c>
      <c r="G378">
        <v>1999</v>
      </c>
      <c r="H378">
        <v>23</v>
      </c>
      <c r="I378" t="s">
        <v>64</v>
      </c>
      <c r="J378">
        <v>1</v>
      </c>
      <c r="K378" t="s">
        <v>658</v>
      </c>
      <c r="L378" t="s">
        <v>634</v>
      </c>
      <c r="M378">
        <v>9</v>
      </c>
      <c r="N378">
        <v>52</v>
      </c>
      <c r="O378" t="s">
        <v>493</v>
      </c>
      <c r="P378" t="s">
        <v>315</v>
      </c>
      <c r="Q378" t="s">
        <v>729</v>
      </c>
      <c r="R378" t="s">
        <v>747</v>
      </c>
      <c r="S378" t="s">
        <v>349</v>
      </c>
      <c r="T378" t="s">
        <v>495</v>
      </c>
      <c r="U378" t="s">
        <v>496</v>
      </c>
      <c r="V378" t="s">
        <v>321</v>
      </c>
      <c r="W378" t="s">
        <v>197</v>
      </c>
      <c r="X378" t="s">
        <v>196</v>
      </c>
      <c r="Y378" t="s">
        <v>274</v>
      </c>
      <c r="Z378">
        <v>7</v>
      </c>
      <c r="AA378">
        <v>6</v>
      </c>
      <c r="AB378">
        <v>6</v>
      </c>
      <c r="AC378">
        <v>6</v>
      </c>
      <c r="AD378">
        <v>1</v>
      </c>
      <c r="AE378">
        <v>4</v>
      </c>
      <c r="AF378">
        <v>5</v>
      </c>
      <c r="AG378">
        <v>4</v>
      </c>
      <c r="AH378">
        <v>4</v>
      </c>
      <c r="AI378">
        <v>4</v>
      </c>
      <c r="AJ378">
        <v>5</v>
      </c>
      <c r="AK378">
        <v>5</v>
      </c>
      <c r="AL378">
        <v>5</v>
      </c>
      <c r="AM378">
        <v>4</v>
      </c>
      <c r="AN378">
        <v>121</v>
      </c>
      <c r="AO378">
        <v>1</v>
      </c>
      <c r="AP378">
        <v>1</v>
      </c>
      <c r="AQ378">
        <v>7</v>
      </c>
      <c r="AR378">
        <v>5</v>
      </c>
      <c r="AS378">
        <v>5</v>
      </c>
      <c r="AT378">
        <v>4</v>
      </c>
      <c r="AU378">
        <v>4</v>
      </c>
      <c r="AV378">
        <v>4</v>
      </c>
      <c r="AW378">
        <v>5</v>
      </c>
      <c r="AX378">
        <v>1</v>
      </c>
      <c r="AY378" cm="1">
        <f t="array" ref="AY378">_xlfn.IFS(AZ378="Positive",1, AZ378="Negative",1, AZ378="Neutral",0)</f>
        <v>1</v>
      </c>
      <c r="AZ378" t="s">
        <v>196</v>
      </c>
      <c r="BA378">
        <v>6</v>
      </c>
      <c r="BB378">
        <v>0</v>
      </c>
      <c r="BC378" s="3">
        <v>2</v>
      </c>
      <c r="BD378" s="3">
        <v>1</v>
      </c>
      <c r="BE378" s="3">
        <v>2</v>
      </c>
      <c r="BF378" s="3">
        <v>0</v>
      </c>
      <c r="BG378" s="3">
        <v>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 t="s">
        <v>322</v>
      </c>
      <c r="BT378" t="s">
        <v>492</v>
      </c>
      <c r="BU378" t="s">
        <v>326</v>
      </c>
      <c r="BV378" t="s">
        <v>494</v>
      </c>
    </row>
    <row r="379" spans="1:74" hidden="1" x14ac:dyDescent="0.2">
      <c r="A379">
        <v>390</v>
      </c>
      <c r="B379">
        <v>45</v>
      </c>
      <c r="C379" t="s">
        <v>122</v>
      </c>
      <c r="E379" t="s">
        <v>76</v>
      </c>
      <c r="F379">
        <v>4</v>
      </c>
      <c r="G379">
        <v>2000</v>
      </c>
      <c r="H379">
        <v>22</v>
      </c>
      <c r="I379" t="s">
        <v>64</v>
      </c>
      <c r="J379">
        <v>1</v>
      </c>
      <c r="K379" t="s">
        <v>652</v>
      </c>
      <c r="L379" t="s">
        <v>653</v>
      </c>
      <c r="M379">
        <v>6</v>
      </c>
      <c r="N379">
        <v>62</v>
      </c>
      <c r="O379" t="s">
        <v>497</v>
      </c>
      <c r="P379" t="s">
        <v>278</v>
      </c>
      <c r="Q379" t="s">
        <v>753</v>
      </c>
      <c r="R379" t="s">
        <v>724</v>
      </c>
      <c r="S379" t="s">
        <v>403</v>
      </c>
      <c r="T379" t="s">
        <v>319</v>
      </c>
      <c r="U379" t="s">
        <v>498</v>
      </c>
      <c r="V379" t="s">
        <v>284</v>
      </c>
      <c r="W379" t="s">
        <v>197</v>
      </c>
      <c r="X379" t="s">
        <v>196</v>
      </c>
      <c r="Y379" t="s">
        <v>274</v>
      </c>
      <c r="Z379">
        <v>7</v>
      </c>
      <c r="AA379">
        <v>5</v>
      </c>
      <c r="AB379">
        <v>7</v>
      </c>
      <c r="AC379">
        <v>3</v>
      </c>
      <c r="AD379">
        <v>2</v>
      </c>
      <c r="AE379">
        <v>6</v>
      </c>
      <c r="AF379">
        <v>4</v>
      </c>
      <c r="AG379">
        <v>5</v>
      </c>
      <c r="AH379">
        <v>5</v>
      </c>
      <c r="AI379">
        <v>6</v>
      </c>
      <c r="AJ379">
        <v>3</v>
      </c>
      <c r="AK379">
        <v>6</v>
      </c>
      <c r="AL379">
        <v>5</v>
      </c>
      <c r="AM379">
        <v>3</v>
      </c>
      <c r="AN379">
        <v>240</v>
      </c>
      <c r="AO379">
        <v>6</v>
      </c>
      <c r="AP379">
        <v>3</v>
      </c>
      <c r="AQ379">
        <v>5</v>
      </c>
      <c r="AR379">
        <v>3</v>
      </c>
      <c r="AS379">
        <v>5</v>
      </c>
      <c r="AT379">
        <v>7</v>
      </c>
      <c r="AU379">
        <v>3</v>
      </c>
      <c r="AV379">
        <v>7</v>
      </c>
      <c r="AW379">
        <v>7</v>
      </c>
      <c r="AX379">
        <v>2</v>
      </c>
      <c r="AY379" cm="1">
        <f t="array" ref="AY379">_xlfn.IFS(AZ379="Positive",1, AZ379="Negative",1, AZ379="Neutral",0)</f>
        <v>1</v>
      </c>
      <c r="AZ379" t="s">
        <v>196</v>
      </c>
      <c r="BA379">
        <v>5</v>
      </c>
      <c r="BB379">
        <v>2</v>
      </c>
      <c r="BC379" s="3">
        <v>2</v>
      </c>
      <c r="BD379" s="3">
        <v>1</v>
      </c>
      <c r="BE379" s="3">
        <v>1</v>
      </c>
      <c r="BF379" s="3">
        <v>0</v>
      </c>
      <c r="BG379" s="3">
        <v>1</v>
      </c>
      <c r="BH379">
        <v>0</v>
      </c>
      <c r="BI379">
        <v>0</v>
      </c>
      <c r="BJ379">
        <v>1</v>
      </c>
      <c r="BK379">
        <v>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 t="s">
        <v>285</v>
      </c>
      <c r="BT379" t="s">
        <v>383</v>
      </c>
      <c r="BU379" t="s">
        <v>289</v>
      </c>
      <c r="BV379" t="s">
        <v>386</v>
      </c>
    </row>
    <row r="380" spans="1:74" hidden="1" x14ac:dyDescent="0.2">
      <c r="A380">
        <v>391</v>
      </c>
      <c r="B380">
        <v>46</v>
      </c>
      <c r="C380" t="s">
        <v>123</v>
      </c>
      <c r="E380" t="s">
        <v>68</v>
      </c>
      <c r="F380">
        <v>22</v>
      </c>
      <c r="G380">
        <v>2000</v>
      </c>
      <c r="H380">
        <v>22</v>
      </c>
      <c r="I380" t="s">
        <v>64</v>
      </c>
      <c r="J380">
        <v>1</v>
      </c>
      <c r="K380" t="s">
        <v>674</v>
      </c>
      <c r="L380" t="s">
        <v>675</v>
      </c>
      <c r="M380">
        <v>12</v>
      </c>
      <c r="N380">
        <v>69</v>
      </c>
      <c r="O380" t="s">
        <v>456</v>
      </c>
      <c r="P380" t="s">
        <v>315</v>
      </c>
      <c r="Q380" t="s">
        <v>752</v>
      </c>
      <c r="R380" t="s">
        <v>754</v>
      </c>
      <c r="S380" t="s">
        <v>499</v>
      </c>
      <c r="T380" t="s">
        <v>357</v>
      </c>
      <c r="U380" t="s">
        <v>459</v>
      </c>
      <c r="V380" t="s">
        <v>321</v>
      </c>
      <c r="W380" t="s">
        <v>197</v>
      </c>
      <c r="X380" t="s">
        <v>196</v>
      </c>
      <c r="Y380" t="s">
        <v>274</v>
      </c>
      <c r="Z380">
        <v>7</v>
      </c>
      <c r="AA380">
        <v>3</v>
      </c>
      <c r="AB380">
        <v>6</v>
      </c>
      <c r="AC380">
        <v>4</v>
      </c>
      <c r="AD380">
        <v>2</v>
      </c>
      <c r="AE380">
        <v>1</v>
      </c>
      <c r="AF380">
        <v>1</v>
      </c>
      <c r="AG380">
        <v>4</v>
      </c>
      <c r="AH380">
        <v>4</v>
      </c>
      <c r="AI380">
        <v>5</v>
      </c>
      <c r="AJ380">
        <v>2</v>
      </c>
      <c r="AK380">
        <v>3</v>
      </c>
      <c r="AL380">
        <v>2</v>
      </c>
      <c r="AM380">
        <v>3</v>
      </c>
      <c r="AN380">
        <v>89</v>
      </c>
      <c r="AO380">
        <v>5</v>
      </c>
      <c r="AP380">
        <v>3</v>
      </c>
      <c r="AQ380">
        <v>3</v>
      </c>
      <c r="AR380">
        <v>3</v>
      </c>
      <c r="AS380">
        <v>3</v>
      </c>
      <c r="AT380">
        <v>4</v>
      </c>
      <c r="AU380">
        <v>4</v>
      </c>
      <c r="AV380">
        <v>4</v>
      </c>
      <c r="AW380">
        <v>4</v>
      </c>
      <c r="AX380">
        <v>2</v>
      </c>
      <c r="AY380" cm="1">
        <f t="array" ref="AY380">_xlfn.IFS(AZ380="Positive",1, AZ380="Negative",1, AZ380="Neutral",0)</f>
        <v>1</v>
      </c>
      <c r="AZ380" t="s">
        <v>196</v>
      </c>
      <c r="BA380">
        <v>10</v>
      </c>
      <c r="BB380">
        <v>0</v>
      </c>
      <c r="BC380" s="3">
        <v>6</v>
      </c>
      <c r="BD380" s="3">
        <v>2</v>
      </c>
      <c r="BE380" s="3">
        <v>1</v>
      </c>
      <c r="BF380" s="3">
        <v>0</v>
      </c>
      <c r="BG380" s="3">
        <v>1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 t="s">
        <v>414</v>
      </c>
      <c r="BT380" t="s">
        <v>313</v>
      </c>
      <c r="BU380" t="s">
        <v>417</v>
      </c>
      <c r="BV380" t="s">
        <v>317</v>
      </c>
    </row>
    <row r="381" spans="1:74" hidden="1" x14ac:dyDescent="0.2">
      <c r="A381">
        <v>392</v>
      </c>
      <c r="B381">
        <v>47</v>
      </c>
      <c r="C381" t="s">
        <v>124</v>
      </c>
      <c r="E381" t="s">
        <v>73</v>
      </c>
      <c r="F381">
        <v>22</v>
      </c>
      <c r="G381">
        <v>2001</v>
      </c>
      <c r="H381">
        <v>21</v>
      </c>
      <c r="I381" t="s">
        <v>64</v>
      </c>
      <c r="J381">
        <v>1</v>
      </c>
      <c r="K381" t="s">
        <v>676</v>
      </c>
      <c r="L381" t="s">
        <v>632</v>
      </c>
      <c r="M381">
        <v>18</v>
      </c>
      <c r="N381">
        <v>78</v>
      </c>
      <c r="O381" t="s">
        <v>500</v>
      </c>
      <c r="P381" t="s">
        <v>338</v>
      </c>
      <c r="Q381" t="s">
        <v>755</v>
      </c>
      <c r="R381" t="s">
        <v>732</v>
      </c>
      <c r="S381" t="s">
        <v>501</v>
      </c>
      <c r="T381" t="s">
        <v>502</v>
      </c>
      <c r="U381" t="s">
        <v>503</v>
      </c>
      <c r="V381" t="s">
        <v>504</v>
      </c>
      <c r="W381" t="s">
        <v>197</v>
      </c>
      <c r="X381" t="s">
        <v>196</v>
      </c>
      <c r="Y381" t="s">
        <v>274</v>
      </c>
      <c r="Z381">
        <v>7</v>
      </c>
      <c r="AA381">
        <v>2</v>
      </c>
      <c r="AB381">
        <v>4</v>
      </c>
      <c r="AC381">
        <v>5</v>
      </c>
      <c r="AD381">
        <v>1</v>
      </c>
      <c r="AE381">
        <v>1</v>
      </c>
      <c r="AF381">
        <v>6</v>
      </c>
      <c r="AG381">
        <v>5</v>
      </c>
      <c r="AH381">
        <v>2</v>
      </c>
      <c r="AI381">
        <v>4</v>
      </c>
      <c r="AJ381">
        <v>1</v>
      </c>
      <c r="AK381">
        <v>2</v>
      </c>
      <c r="AL381">
        <v>1</v>
      </c>
      <c r="AM381">
        <v>1</v>
      </c>
      <c r="AN381">
        <v>71</v>
      </c>
      <c r="AO381">
        <v>7</v>
      </c>
      <c r="AP381">
        <v>3</v>
      </c>
      <c r="AQ381">
        <v>3</v>
      </c>
      <c r="AR381">
        <v>1</v>
      </c>
      <c r="AS381">
        <v>2</v>
      </c>
      <c r="AT381">
        <v>1</v>
      </c>
      <c r="AU381">
        <v>1</v>
      </c>
      <c r="AV381">
        <v>1</v>
      </c>
      <c r="AW381">
        <v>1</v>
      </c>
      <c r="AX381">
        <v>2</v>
      </c>
      <c r="AY381" cm="1">
        <f t="array" ref="AY381">_xlfn.IFS(AZ381="Positive",1, AZ381="Negative",1, AZ381="Neutral",0)</f>
        <v>1</v>
      </c>
      <c r="AZ381" t="s">
        <v>196</v>
      </c>
      <c r="BA381">
        <v>6</v>
      </c>
      <c r="BB381">
        <v>1</v>
      </c>
      <c r="BC381" s="3">
        <v>5</v>
      </c>
      <c r="BD381" s="3">
        <v>0</v>
      </c>
      <c r="BE381" s="3">
        <v>0</v>
      </c>
      <c r="BF381" s="3">
        <v>0</v>
      </c>
      <c r="BG381" s="3">
        <v>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</v>
      </c>
      <c r="BS381" t="s">
        <v>322</v>
      </c>
      <c r="BT381" t="s">
        <v>453</v>
      </c>
      <c r="BU381" t="s">
        <v>326</v>
      </c>
      <c r="BV381" t="s">
        <v>454</v>
      </c>
    </row>
    <row r="382" spans="1:74" hidden="1" x14ac:dyDescent="0.2">
      <c r="A382">
        <v>393</v>
      </c>
      <c r="B382">
        <v>48</v>
      </c>
      <c r="C382" t="s">
        <v>125</v>
      </c>
      <c r="E382" t="s">
        <v>63</v>
      </c>
      <c r="F382">
        <v>6</v>
      </c>
      <c r="G382">
        <v>1999</v>
      </c>
      <c r="H382">
        <v>23</v>
      </c>
      <c r="I382" t="s">
        <v>64</v>
      </c>
      <c r="J382">
        <v>1</v>
      </c>
      <c r="K382" t="s">
        <v>657</v>
      </c>
      <c r="L382" t="s">
        <v>669</v>
      </c>
      <c r="M382">
        <v>5</v>
      </c>
      <c r="N382">
        <v>75</v>
      </c>
      <c r="O382">
        <v>7</v>
      </c>
      <c r="P382" t="s">
        <v>505</v>
      </c>
      <c r="Q382" t="s">
        <v>727</v>
      </c>
      <c r="R382" t="s">
        <v>745</v>
      </c>
      <c r="S382" t="s">
        <v>318</v>
      </c>
      <c r="T382" t="s">
        <v>507</v>
      </c>
      <c r="U382" t="s">
        <v>508</v>
      </c>
      <c r="V382" t="s">
        <v>509</v>
      </c>
      <c r="W382" t="s">
        <v>197</v>
      </c>
      <c r="X382" t="s">
        <v>196</v>
      </c>
      <c r="Y382" t="s">
        <v>274</v>
      </c>
      <c r="Z382">
        <v>7</v>
      </c>
      <c r="AA382">
        <v>7</v>
      </c>
      <c r="AB382">
        <v>7</v>
      </c>
      <c r="AC382">
        <v>7</v>
      </c>
      <c r="AD382">
        <v>3</v>
      </c>
      <c r="AE382">
        <v>7</v>
      </c>
      <c r="AF382">
        <v>1</v>
      </c>
      <c r="AG382">
        <v>3</v>
      </c>
      <c r="AH382">
        <v>7</v>
      </c>
      <c r="AI382">
        <v>7</v>
      </c>
      <c r="AJ382">
        <v>1</v>
      </c>
      <c r="AK382">
        <v>5</v>
      </c>
      <c r="AL382">
        <v>5</v>
      </c>
      <c r="AM382">
        <v>7</v>
      </c>
      <c r="AN382">
        <v>13</v>
      </c>
      <c r="AO382">
        <v>7</v>
      </c>
      <c r="AP382">
        <v>3</v>
      </c>
      <c r="AQ382">
        <v>3</v>
      </c>
      <c r="AR382">
        <v>7</v>
      </c>
      <c r="AS382">
        <v>1</v>
      </c>
      <c r="AT382">
        <v>7</v>
      </c>
      <c r="AU382">
        <v>1</v>
      </c>
      <c r="AV382">
        <v>7</v>
      </c>
      <c r="AW382">
        <v>7</v>
      </c>
      <c r="AX382">
        <v>2</v>
      </c>
      <c r="AY382" cm="1">
        <f t="array" ref="AY382">_xlfn.IFS(AZ382="Positive",1, AZ382="Negative",1, AZ382="Neutral",0)</f>
        <v>1</v>
      </c>
      <c r="AZ382" t="s">
        <v>196</v>
      </c>
      <c r="BA382">
        <v>13</v>
      </c>
      <c r="BB382">
        <v>2</v>
      </c>
      <c r="BC382" s="3">
        <v>5</v>
      </c>
      <c r="BD382" s="3">
        <v>0</v>
      </c>
      <c r="BE382" s="3">
        <v>1</v>
      </c>
      <c r="BF382" s="3">
        <v>4</v>
      </c>
      <c r="BG382" s="3">
        <v>3</v>
      </c>
      <c r="BH382">
        <v>0</v>
      </c>
      <c r="BI382">
        <v>0</v>
      </c>
      <c r="BJ382">
        <v>1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5</v>
      </c>
      <c r="BT382" t="s">
        <v>464</v>
      </c>
      <c r="BU382" t="s">
        <v>506</v>
      </c>
      <c r="BV382" t="s">
        <v>466</v>
      </c>
    </row>
    <row r="383" spans="1:74" hidden="1" x14ac:dyDescent="0.2">
      <c r="A383">
        <v>394</v>
      </c>
      <c r="B383">
        <v>49</v>
      </c>
      <c r="C383" t="s">
        <v>126</v>
      </c>
      <c r="E383" t="s">
        <v>73</v>
      </c>
      <c r="F383">
        <v>2</v>
      </c>
      <c r="G383">
        <v>1999</v>
      </c>
      <c r="H383">
        <v>23</v>
      </c>
      <c r="I383" t="s">
        <v>64</v>
      </c>
      <c r="J383">
        <v>1</v>
      </c>
      <c r="K383" t="s">
        <v>674</v>
      </c>
      <c r="L383" t="s">
        <v>677</v>
      </c>
      <c r="M383">
        <v>4</v>
      </c>
      <c r="N383">
        <v>56</v>
      </c>
      <c r="O383" t="s">
        <v>353</v>
      </c>
      <c r="P383" t="s">
        <v>361</v>
      </c>
      <c r="Q383" t="s">
        <v>752</v>
      </c>
      <c r="R383" t="s">
        <v>756</v>
      </c>
      <c r="S383" t="s">
        <v>396</v>
      </c>
      <c r="T383" t="s">
        <v>423</v>
      </c>
      <c r="U383" t="s">
        <v>358</v>
      </c>
      <c r="V383" t="s">
        <v>366</v>
      </c>
      <c r="W383" t="s">
        <v>197</v>
      </c>
      <c r="X383" t="s">
        <v>196</v>
      </c>
      <c r="Y383" t="s">
        <v>274</v>
      </c>
      <c r="Z383">
        <v>7</v>
      </c>
      <c r="AA383">
        <v>6</v>
      </c>
      <c r="AB383">
        <v>7</v>
      </c>
      <c r="AC383">
        <v>7</v>
      </c>
      <c r="AD383">
        <v>1</v>
      </c>
      <c r="AE383">
        <v>7</v>
      </c>
      <c r="AF383">
        <v>6</v>
      </c>
      <c r="AG383">
        <v>1</v>
      </c>
      <c r="AH383">
        <v>5</v>
      </c>
      <c r="AI383">
        <v>6</v>
      </c>
      <c r="AJ383">
        <v>2</v>
      </c>
      <c r="AK383">
        <v>5</v>
      </c>
      <c r="AL383">
        <v>2</v>
      </c>
      <c r="AM383">
        <v>5</v>
      </c>
      <c r="AN383">
        <v>102</v>
      </c>
      <c r="AO383">
        <v>6</v>
      </c>
      <c r="AP383">
        <v>2</v>
      </c>
      <c r="AQ383">
        <v>6</v>
      </c>
      <c r="AR383">
        <v>6</v>
      </c>
      <c r="AS383">
        <v>5</v>
      </c>
      <c r="AT383">
        <v>5</v>
      </c>
      <c r="AU383">
        <v>5</v>
      </c>
      <c r="AV383">
        <v>6</v>
      </c>
      <c r="AW383">
        <v>6</v>
      </c>
      <c r="AX383">
        <v>1</v>
      </c>
      <c r="AY383" cm="1">
        <f t="array" ref="AY383">_xlfn.IFS(AZ383="Positive",1, AZ383="Negative",1, AZ383="Neutral",0)</f>
        <v>1</v>
      </c>
      <c r="AZ383" t="s">
        <v>196</v>
      </c>
      <c r="BA383">
        <v>15</v>
      </c>
      <c r="BB383">
        <v>5</v>
      </c>
      <c r="BC383" s="3">
        <v>10</v>
      </c>
      <c r="BD383" s="3">
        <v>0</v>
      </c>
      <c r="BE383" s="3">
        <v>1</v>
      </c>
      <c r="BF383" s="3">
        <v>3</v>
      </c>
      <c r="BG383" s="3">
        <v>1</v>
      </c>
      <c r="BH383">
        <v>0</v>
      </c>
      <c r="BI383">
        <v>0</v>
      </c>
      <c r="BJ383">
        <v>3</v>
      </c>
      <c r="BK383">
        <v>0</v>
      </c>
      <c r="BL383">
        <v>2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 t="s">
        <v>510</v>
      </c>
      <c r="BT383" t="s">
        <v>489</v>
      </c>
      <c r="BU383" t="s">
        <v>511</v>
      </c>
      <c r="BV383" t="s">
        <v>512</v>
      </c>
    </row>
    <row r="384" spans="1:74" hidden="1" x14ac:dyDescent="0.2">
      <c r="B384">
        <v>50</v>
      </c>
      <c r="C384" t="s">
        <v>127</v>
      </c>
      <c r="E384" t="s">
        <v>76</v>
      </c>
      <c r="F384">
        <v>7</v>
      </c>
      <c r="G384">
        <v>1999</v>
      </c>
      <c r="H384">
        <v>23</v>
      </c>
      <c r="I384" t="s">
        <v>69</v>
      </c>
      <c r="J384">
        <v>2</v>
      </c>
      <c r="K384" t="s">
        <v>678</v>
      </c>
      <c r="L384" t="s">
        <v>659</v>
      </c>
      <c r="M384">
        <v>17</v>
      </c>
      <c r="N384">
        <v>49</v>
      </c>
      <c r="O384" t="s">
        <v>314</v>
      </c>
      <c r="P384" t="s">
        <v>278</v>
      </c>
      <c r="Q384" t="s">
        <v>757</v>
      </c>
      <c r="R384" t="s">
        <v>730</v>
      </c>
      <c r="S384" t="s">
        <v>443</v>
      </c>
      <c r="T384" t="s">
        <v>491</v>
      </c>
      <c r="U384" t="s">
        <v>320</v>
      </c>
      <c r="V384" t="s">
        <v>284</v>
      </c>
      <c r="W384" t="s">
        <v>197</v>
      </c>
      <c r="X384" t="s">
        <v>196</v>
      </c>
      <c r="Y384" t="s">
        <v>274</v>
      </c>
      <c r="Z384">
        <v>6</v>
      </c>
      <c r="AA384">
        <v>6</v>
      </c>
      <c r="AB384">
        <v>7</v>
      </c>
      <c r="AC384">
        <v>6</v>
      </c>
      <c r="AD384">
        <v>6</v>
      </c>
      <c r="AE384">
        <v>6</v>
      </c>
      <c r="AF384">
        <v>6</v>
      </c>
      <c r="AG384">
        <v>6</v>
      </c>
      <c r="AH384">
        <v>7</v>
      </c>
      <c r="AI384">
        <v>7</v>
      </c>
      <c r="AJ384">
        <v>2</v>
      </c>
      <c r="AK384">
        <v>6</v>
      </c>
      <c r="AL384">
        <v>4</v>
      </c>
      <c r="AM384">
        <v>5</v>
      </c>
      <c r="AN384">
        <v>148</v>
      </c>
      <c r="AO384">
        <v>5</v>
      </c>
      <c r="AP384">
        <v>6</v>
      </c>
      <c r="AQ384">
        <v>6</v>
      </c>
      <c r="AR384">
        <v>5</v>
      </c>
      <c r="AS384">
        <v>4</v>
      </c>
      <c r="AT384">
        <v>5</v>
      </c>
      <c r="AU384">
        <v>5</v>
      </c>
      <c r="AV384">
        <v>5</v>
      </c>
      <c r="AW384">
        <v>5</v>
      </c>
      <c r="AX384">
        <v>3</v>
      </c>
      <c r="AY384" cm="1">
        <f t="array" ref="AY384">_xlfn.IFS(AZ384="Positive",1, AZ384="Negative",1, AZ384="Neutral",0)</f>
        <v>1</v>
      </c>
      <c r="AZ384" t="s">
        <v>196</v>
      </c>
      <c r="BA384">
        <f>SUM(BC384:BG384)</f>
        <v>12</v>
      </c>
      <c r="BB384">
        <f>SUM(BH384:BR384)</f>
        <v>2</v>
      </c>
      <c r="BC384" s="3">
        <v>5</v>
      </c>
      <c r="BD384" s="3">
        <v>0</v>
      </c>
      <c r="BE384" s="3">
        <v>2</v>
      </c>
      <c r="BF384" s="3">
        <v>1</v>
      </c>
      <c r="BG384" s="3">
        <v>4</v>
      </c>
      <c r="BH384">
        <v>0</v>
      </c>
      <c r="BI384">
        <v>1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 t="s">
        <v>352</v>
      </c>
      <c r="BT384" t="s">
        <v>388</v>
      </c>
      <c r="BU384" t="s">
        <v>355</v>
      </c>
      <c r="BV384" t="s">
        <v>390</v>
      </c>
    </row>
    <row r="385" spans="1:74" hidden="1" x14ac:dyDescent="0.2">
      <c r="A385">
        <v>396</v>
      </c>
      <c r="B385">
        <v>51</v>
      </c>
      <c r="C385" t="s">
        <v>128</v>
      </c>
      <c r="E385" t="s">
        <v>63</v>
      </c>
      <c r="F385">
        <v>4</v>
      </c>
      <c r="G385">
        <v>2001</v>
      </c>
      <c r="H385">
        <v>21</v>
      </c>
      <c r="I385" t="s">
        <v>64</v>
      </c>
      <c r="J385">
        <v>1</v>
      </c>
      <c r="K385" t="s">
        <v>642</v>
      </c>
      <c r="L385" t="s">
        <v>679</v>
      </c>
      <c r="M385">
        <v>11</v>
      </c>
      <c r="N385">
        <v>62</v>
      </c>
      <c r="O385" t="s">
        <v>513</v>
      </c>
      <c r="P385" t="s">
        <v>405</v>
      </c>
      <c r="Q385" t="s">
        <v>712</v>
      </c>
      <c r="R385" t="s">
        <v>758</v>
      </c>
      <c r="S385" t="s">
        <v>514</v>
      </c>
      <c r="T385" t="s">
        <v>319</v>
      </c>
      <c r="U385" t="s">
        <v>515</v>
      </c>
      <c r="V385" t="s">
        <v>407</v>
      </c>
      <c r="W385" t="s">
        <v>197</v>
      </c>
      <c r="X385" t="s">
        <v>196</v>
      </c>
      <c r="Y385" t="s">
        <v>274</v>
      </c>
      <c r="Z385">
        <v>7</v>
      </c>
      <c r="AA385">
        <v>6</v>
      </c>
      <c r="AB385">
        <v>6</v>
      </c>
      <c r="AC385">
        <v>2</v>
      </c>
      <c r="AD385">
        <v>2</v>
      </c>
      <c r="AE385">
        <v>3</v>
      </c>
      <c r="AF385">
        <v>1</v>
      </c>
      <c r="AG385">
        <v>2</v>
      </c>
      <c r="AH385">
        <v>5</v>
      </c>
      <c r="AI385">
        <v>6</v>
      </c>
      <c r="AJ385">
        <v>1</v>
      </c>
      <c r="AK385">
        <v>3</v>
      </c>
      <c r="AL385">
        <v>4</v>
      </c>
      <c r="AM385">
        <v>4</v>
      </c>
      <c r="AN385">
        <v>48</v>
      </c>
      <c r="AO385">
        <v>1</v>
      </c>
      <c r="AP385">
        <v>1</v>
      </c>
      <c r="AQ385">
        <v>4</v>
      </c>
      <c r="AR385">
        <v>5</v>
      </c>
      <c r="AS385">
        <v>5</v>
      </c>
      <c r="AT385">
        <v>6</v>
      </c>
      <c r="AU385">
        <v>6</v>
      </c>
      <c r="AV385">
        <v>6</v>
      </c>
      <c r="AW385">
        <v>6</v>
      </c>
      <c r="AX385">
        <v>1</v>
      </c>
      <c r="AY385" cm="1">
        <f t="array" ref="AY385">_xlfn.IFS(AZ385="Positive",1, AZ385="Negative",1, AZ385="Neutral",0)</f>
        <v>1</v>
      </c>
      <c r="AZ385" t="s">
        <v>196</v>
      </c>
      <c r="BA385">
        <v>10</v>
      </c>
      <c r="BB385">
        <v>1</v>
      </c>
      <c r="BC385" s="3">
        <v>6</v>
      </c>
      <c r="BD385" s="3">
        <v>1</v>
      </c>
      <c r="BE385" s="3">
        <v>2</v>
      </c>
      <c r="BF385" s="3">
        <v>1</v>
      </c>
      <c r="BG385" s="3">
        <v>0</v>
      </c>
      <c r="BH385">
        <v>0</v>
      </c>
      <c r="BI385">
        <v>0</v>
      </c>
      <c r="BJ385">
        <v>0</v>
      </c>
      <c r="BK385">
        <v>0</v>
      </c>
      <c r="BL385">
        <v>1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 t="s">
        <v>463</v>
      </c>
      <c r="BT385" t="s">
        <v>275</v>
      </c>
      <c r="BU385" t="s">
        <v>465</v>
      </c>
      <c r="BV385" t="s">
        <v>334</v>
      </c>
    </row>
    <row r="386" spans="1:74" hidden="1" x14ac:dyDescent="0.2">
      <c r="A386">
        <v>397</v>
      </c>
      <c r="B386">
        <v>52</v>
      </c>
      <c r="C386" t="s">
        <v>129</v>
      </c>
      <c r="E386" t="s">
        <v>76</v>
      </c>
      <c r="F386">
        <v>28</v>
      </c>
      <c r="G386">
        <v>1997</v>
      </c>
      <c r="H386">
        <v>25</v>
      </c>
      <c r="I386" t="s">
        <v>69</v>
      </c>
      <c r="J386">
        <v>2</v>
      </c>
      <c r="K386" t="s">
        <v>656</v>
      </c>
      <c r="L386" t="s">
        <v>666</v>
      </c>
      <c r="M386">
        <v>6</v>
      </c>
      <c r="N386">
        <v>67</v>
      </c>
      <c r="O386" t="s">
        <v>338</v>
      </c>
      <c r="P386" t="s">
        <v>517</v>
      </c>
      <c r="Q386" t="s">
        <v>751</v>
      </c>
      <c r="R386" t="s">
        <v>740</v>
      </c>
      <c r="S386" t="s">
        <v>403</v>
      </c>
      <c r="T386" t="s">
        <v>431</v>
      </c>
      <c r="U386" t="s">
        <v>342</v>
      </c>
      <c r="V386" t="s">
        <v>519</v>
      </c>
      <c r="W386" t="s">
        <v>197</v>
      </c>
      <c r="X386" t="s">
        <v>196</v>
      </c>
      <c r="Y386" t="s">
        <v>274</v>
      </c>
      <c r="Z386">
        <v>7</v>
      </c>
      <c r="AA386">
        <v>5</v>
      </c>
      <c r="AB386">
        <v>1</v>
      </c>
      <c r="AC386">
        <v>6</v>
      </c>
      <c r="AD386">
        <v>1</v>
      </c>
      <c r="AE386">
        <v>1</v>
      </c>
      <c r="AF386">
        <v>7</v>
      </c>
      <c r="AG386">
        <v>4</v>
      </c>
      <c r="AH386">
        <v>5</v>
      </c>
      <c r="AI386">
        <v>5</v>
      </c>
      <c r="AJ386">
        <v>3</v>
      </c>
      <c r="AK386">
        <v>3</v>
      </c>
      <c r="AL386">
        <v>1</v>
      </c>
      <c r="AM386">
        <v>1</v>
      </c>
      <c r="AN386">
        <v>3</v>
      </c>
      <c r="AO386">
        <v>6</v>
      </c>
      <c r="AP386">
        <v>3</v>
      </c>
      <c r="AQ386">
        <v>2</v>
      </c>
      <c r="AR386">
        <v>1</v>
      </c>
      <c r="AS386">
        <v>3</v>
      </c>
      <c r="AT386">
        <v>3</v>
      </c>
      <c r="AU386">
        <v>2</v>
      </c>
      <c r="AV386">
        <v>2</v>
      </c>
      <c r="AW386">
        <v>4</v>
      </c>
      <c r="AX386">
        <v>2</v>
      </c>
      <c r="AY386" cm="1">
        <f t="array" ref="AY386">_xlfn.IFS(AZ386="Positive",1, AZ386="Negative",1, AZ386="Neutral",0)</f>
        <v>1</v>
      </c>
      <c r="AZ386" t="s">
        <v>196</v>
      </c>
      <c r="BA386">
        <v>6</v>
      </c>
      <c r="BB386">
        <v>1</v>
      </c>
      <c r="BC386" s="3">
        <v>6</v>
      </c>
      <c r="BD386" s="3">
        <v>0</v>
      </c>
      <c r="BE386" s="3">
        <v>0</v>
      </c>
      <c r="BF386" s="3">
        <v>0</v>
      </c>
      <c r="BG386" s="3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1</v>
      </c>
      <c r="BS386" t="s">
        <v>516</v>
      </c>
      <c r="BT386" t="s">
        <v>433</v>
      </c>
      <c r="BU386" t="s">
        <v>518</v>
      </c>
      <c r="BV386" t="s">
        <v>435</v>
      </c>
    </row>
    <row r="387" spans="1:74" hidden="1" x14ac:dyDescent="0.2">
      <c r="A387">
        <v>399</v>
      </c>
      <c r="B387">
        <v>54</v>
      </c>
      <c r="C387" t="s">
        <v>131</v>
      </c>
      <c r="E387" t="s">
        <v>93</v>
      </c>
      <c r="F387">
        <v>22</v>
      </c>
      <c r="G387">
        <v>1998</v>
      </c>
      <c r="H387">
        <v>24</v>
      </c>
      <c r="I387" t="s">
        <v>64</v>
      </c>
      <c r="J387">
        <v>1</v>
      </c>
      <c r="K387" t="s">
        <v>456</v>
      </c>
      <c r="L387" t="s">
        <v>681</v>
      </c>
      <c r="M387">
        <v>9</v>
      </c>
      <c r="N387">
        <v>53</v>
      </c>
      <c r="O387" t="s">
        <v>525</v>
      </c>
      <c r="P387" t="s">
        <v>306</v>
      </c>
      <c r="Q387" t="s">
        <v>736</v>
      </c>
      <c r="R387" t="s">
        <v>760</v>
      </c>
      <c r="S387" t="s">
        <v>349</v>
      </c>
      <c r="T387" t="s">
        <v>522</v>
      </c>
      <c r="U387" t="s">
        <v>527</v>
      </c>
      <c r="V387" t="s">
        <v>528</v>
      </c>
      <c r="W387" t="s">
        <v>197</v>
      </c>
      <c r="X387" t="s">
        <v>196</v>
      </c>
      <c r="Y387" t="s">
        <v>274</v>
      </c>
      <c r="Z387">
        <v>7</v>
      </c>
      <c r="AA387">
        <v>7</v>
      </c>
      <c r="AB387">
        <v>7</v>
      </c>
      <c r="AC387">
        <v>5</v>
      </c>
      <c r="AD387">
        <v>1</v>
      </c>
      <c r="AE387">
        <v>5</v>
      </c>
      <c r="AF387">
        <v>4</v>
      </c>
      <c r="AG387">
        <v>2</v>
      </c>
      <c r="AH387">
        <v>6</v>
      </c>
      <c r="AI387">
        <v>7</v>
      </c>
      <c r="AJ387">
        <v>1</v>
      </c>
      <c r="AK387">
        <v>7</v>
      </c>
      <c r="AL387">
        <v>7</v>
      </c>
      <c r="AM387">
        <v>5</v>
      </c>
      <c r="AN387">
        <v>200</v>
      </c>
      <c r="AO387">
        <v>7</v>
      </c>
      <c r="AP387">
        <v>1</v>
      </c>
      <c r="AQ387">
        <v>6</v>
      </c>
      <c r="AR387">
        <v>7</v>
      </c>
      <c r="AS387">
        <v>7</v>
      </c>
      <c r="AT387">
        <v>7</v>
      </c>
      <c r="AU387">
        <v>7</v>
      </c>
      <c r="AV387">
        <v>7</v>
      </c>
      <c r="AW387">
        <v>7</v>
      </c>
      <c r="AX387">
        <v>1</v>
      </c>
      <c r="AY387" cm="1">
        <f t="array" ref="AY387">_xlfn.IFS(AZ387="Positive",1, AZ387="Negative",1, AZ387="Neutral",0)</f>
        <v>1</v>
      </c>
      <c r="AZ387" t="s">
        <v>196</v>
      </c>
      <c r="BA387">
        <v>8</v>
      </c>
      <c r="BB387">
        <v>0</v>
      </c>
      <c r="BC387" s="3">
        <v>5</v>
      </c>
      <c r="BD387" s="3">
        <v>0</v>
      </c>
      <c r="BE387" s="3">
        <v>1</v>
      </c>
      <c r="BF387" s="3">
        <v>1</v>
      </c>
      <c r="BG387" s="3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 t="s">
        <v>375</v>
      </c>
      <c r="BT387" t="s">
        <v>352</v>
      </c>
      <c r="BU387" t="s">
        <v>377</v>
      </c>
      <c r="BV387" t="s">
        <v>526</v>
      </c>
    </row>
    <row r="388" spans="1:74" hidden="1" x14ac:dyDescent="0.2">
      <c r="A388">
        <v>400</v>
      </c>
      <c r="B388">
        <v>55</v>
      </c>
      <c r="C388" t="s">
        <v>132</v>
      </c>
      <c r="E388" t="s">
        <v>80</v>
      </c>
      <c r="F388">
        <v>5</v>
      </c>
      <c r="G388">
        <v>1997</v>
      </c>
      <c r="H388">
        <v>25</v>
      </c>
      <c r="I388" t="s">
        <v>64</v>
      </c>
      <c r="J388">
        <v>1</v>
      </c>
      <c r="K388" t="s">
        <v>658</v>
      </c>
      <c r="L388" t="s">
        <v>632</v>
      </c>
      <c r="M388">
        <v>10</v>
      </c>
      <c r="N388">
        <v>62</v>
      </c>
      <c r="O388" t="s">
        <v>408</v>
      </c>
      <c r="P388" t="s">
        <v>354</v>
      </c>
      <c r="Q388" t="s">
        <v>729</v>
      </c>
      <c r="R388" t="s">
        <v>732</v>
      </c>
      <c r="S388" t="s">
        <v>378</v>
      </c>
      <c r="T388" t="s">
        <v>319</v>
      </c>
      <c r="U388" t="s">
        <v>412</v>
      </c>
      <c r="V388" t="s">
        <v>359</v>
      </c>
      <c r="W388" t="s">
        <v>197</v>
      </c>
      <c r="X388" t="s">
        <v>196</v>
      </c>
      <c r="Y388" t="s">
        <v>274</v>
      </c>
      <c r="Z388">
        <v>7</v>
      </c>
      <c r="AA388">
        <v>2</v>
      </c>
      <c r="AB388">
        <v>6</v>
      </c>
      <c r="AC388">
        <v>6</v>
      </c>
      <c r="AD388">
        <v>2</v>
      </c>
      <c r="AE388">
        <v>6</v>
      </c>
      <c r="AF388">
        <v>3</v>
      </c>
      <c r="AG388">
        <v>5</v>
      </c>
      <c r="AH388">
        <v>6</v>
      </c>
      <c r="AI388">
        <v>5</v>
      </c>
      <c r="AJ388">
        <v>4</v>
      </c>
      <c r="AK388">
        <v>4</v>
      </c>
      <c r="AL388">
        <v>4</v>
      </c>
      <c r="AM388">
        <v>5</v>
      </c>
      <c r="AN388">
        <v>54</v>
      </c>
      <c r="AO388">
        <v>4</v>
      </c>
      <c r="AP388">
        <v>4</v>
      </c>
      <c r="AQ388">
        <v>6</v>
      </c>
      <c r="AR388">
        <v>6</v>
      </c>
      <c r="AS388">
        <v>5</v>
      </c>
      <c r="AT388">
        <v>6</v>
      </c>
      <c r="AU388">
        <v>5</v>
      </c>
      <c r="AV388">
        <v>6</v>
      </c>
      <c r="AW388">
        <v>4</v>
      </c>
      <c r="AX388">
        <v>2</v>
      </c>
      <c r="AY388" cm="1">
        <f t="array" ref="AY388">_xlfn.IFS(AZ388="Positive",1, AZ388="Negative",1, AZ388="Neutral",0)</f>
        <v>1</v>
      </c>
      <c r="AZ388" t="s">
        <v>196</v>
      </c>
      <c r="BA388">
        <v>6</v>
      </c>
      <c r="BB388">
        <v>1</v>
      </c>
      <c r="BC388" s="3">
        <v>6</v>
      </c>
      <c r="BD388" s="3">
        <v>0</v>
      </c>
      <c r="BE388" s="3">
        <v>0</v>
      </c>
      <c r="BF388" s="3">
        <v>0</v>
      </c>
      <c r="BG388" s="3">
        <v>0</v>
      </c>
      <c r="BH388">
        <v>0</v>
      </c>
      <c r="BI388">
        <v>0</v>
      </c>
      <c r="BJ388">
        <v>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 t="s">
        <v>382</v>
      </c>
      <c r="BT388">
        <v>3</v>
      </c>
      <c r="BU388" t="s">
        <v>385</v>
      </c>
      <c r="BV388" t="s">
        <v>309</v>
      </c>
    </row>
    <row r="389" spans="1:74" hidden="1" x14ac:dyDescent="0.2">
      <c r="A389">
        <v>401</v>
      </c>
      <c r="B389">
        <v>56</v>
      </c>
      <c r="C389" t="s">
        <v>133</v>
      </c>
      <c r="E389" t="s">
        <v>71</v>
      </c>
      <c r="F389">
        <v>16</v>
      </c>
      <c r="G389">
        <v>1999</v>
      </c>
      <c r="H389">
        <v>23</v>
      </c>
      <c r="I389" t="s">
        <v>69</v>
      </c>
      <c r="J389">
        <v>2</v>
      </c>
      <c r="K389" t="s">
        <v>661</v>
      </c>
      <c r="L389" t="s">
        <v>682</v>
      </c>
      <c r="M389">
        <v>10</v>
      </c>
      <c r="N389">
        <v>63</v>
      </c>
      <c r="O389" t="s">
        <v>529</v>
      </c>
      <c r="P389" t="s">
        <v>438</v>
      </c>
      <c r="Q389" t="s">
        <v>734</v>
      </c>
      <c r="R389" t="s">
        <v>761</v>
      </c>
      <c r="S389" t="s">
        <v>378</v>
      </c>
      <c r="T389" t="s">
        <v>477</v>
      </c>
      <c r="U389" t="s">
        <v>531</v>
      </c>
      <c r="V389" t="s">
        <v>441</v>
      </c>
      <c r="W389" t="s">
        <v>197</v>
      </c>
      <c r="X389" t="s">
        <v>196</v>
      </c>
      <c r="Y389" t="s">
        <v>274</v>
      </c>
      <c r="Z389">
        <v>7</v>
      </c>
      <c r="AA389">
        <v>4</v>
      </c>
      <c r="AB389">
        <v>6</v>
      </c>
      <c r="AC389">
        <v>1</v>
      </c>
      <c r="AD389">
        <v>1</v>
      </c>
      <c r="AE389">
        <v>1</v>
      </c>
      <c r="AF389">
        <v>2</v>
      </c>
      <c r="AG389">
        <v>4</v>
      </c>
      <c r="AH389">
        <v>4</v>
      </c>
      <c r="AI389">
        <v>7</v>
      </c>
      <c r="AJ389">
        <v>1</v>
      </c>
      <c r="AK389">
        <v>5</v>
      </c>
      <c r="AL389">
        <v>5</v>
      </c>
      <c r="AM389">
        <v>2</v>
      </c>
      <c r="AN389">
        <v>132</v>
      </c>
      <c r="AO389">
        <v>6</v>
      </c>
      <c r="AP389">
        <v>2</v>
      </c>
      <c r="AQ389">
        <v>3</v>
      </c>
      <c r="AR389">
        <v>5</v>
      </c>
      <c r="AS389">
        <v>4</v>
      </c>
      <c r="AT389">
        <v>6</v>
      </c>
      <c r="AU389">
        <v>6</v>
      </c>
      <c r="AV389">
        <v>6</v>
      </c>
      <c r="AW389">
        <v>6</v>
      </c>
      <c r="AX389">
        <v>1</v>
      </c>
      <c r="AY389" cm="1">
        <f t="array" ref="AY389">_xlfn.IFS(AZ389="Positive",1, AZ389="Negative",1, AZ389="Neutral",0)</f>
        <v>1</v>
      </c>
      <c r="AZ389" t="s">
        <v>196</v>
      </c>
      <c r="BA389">
        <v>12</v>
      </c>
      <c r="BB389">
        <v>3</v>
      </c>
      <c r="BC389" s="3">
        <v>8</v>
      </c>
      <c r="BD389" s="3">
        <v>0</v>
      </c>
      <c r="BE389" s="3">
        <v>1</v>
      </c>
      <c r="BF389" s="3">
        <v>2</v>
      </c>
      <c r="BG389" s="3">
        <v>1</v>
      </c>
      <c r="BH389">
        <v>1</v>
      </c>
      <c r="BI389">
        <v>0</v>
      </c>
      <c r="BJ389">
        <v>0</v>
      </c>
      <c r="BK389">
        <v>1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</v>
      </c>
      <c r="BS389" t="s">
        <v>285</v>
      </c>
      <c r="BT389" t="s">
        <v>414</v>
      </c>
      <c r="BU389" t="s">
        <v>289</v>
      </c>
      <c r="BV389" t="s">
        <v>530</v>
      </c>
    </row>
    <row r="390" spans="1:74" hidden="1" x14ac:dyDescent="0.2">
      <c r="A390">
        <v>402</v>
      </c>
      <c r="B390">
        <v>57</v>
      </c>
      <c r="C390" t="s">
        <v>134</v>
      </c>
      <c r="E390" t="s">
        <v>71</v>
      </c>
      <c r="F390">
        <v>2</v>
      </c>
      <c r="G390">
        <v>2000</v>
      </c>
      <c r="H390">
        <v>22</v>
      </c>
      <c r="I390" t="s">
        <v>64</v>
      </c>
      <c r="J390">
        <v>1</v>
      </c>
      <c r="K390" t="s">
        <v>683</v>
      </c>
      <c r="L390" t="s">
        <v>648</v>
      </c>
      <c r="M390">
        <v>7</v>
      </c>
      <c r="N390">
        <v>68</v>
      </c>
      <c r="O390" t="s">
        <v>532</v>
      </c>
      <c r="P390" t="s">
        <v>325</v>
      </c>
      <c r="Q390" t="s">
        <v>762</v>
      </c>
      <c r="R390" t="s">
        <v>718</v>
      </c>
      <c r="S390" t="s">
        <v>430</v>
      </c>
      <c r="T390" t="s">
        <v>487</v>
      </c>
      <c r="U390" t="s">
        <v>533</v>
      </c>
      <c r="V390" t="s">
        <v>331</v>
      </c>
      <c r="W390" t="s">
        <v>197</v>
      </c>
      <c r="X390" t="s">
        <v>196</v>
      </c>
      <c r="Y390" t="s">
        <v>274</v>
      </c>
      <c r="Z390">
        <v>7</v>
      </c>
      <c r="AA390">
        <v>6</v>
      </c>
      <c r="AB390">
        <v>7</v>
      </c>
      <c r="AC390">
        <v>6</v>
      </c>
      <c r="AD390">
        <v>1</v>
      </c>
      <c r="AE390">
        <v>1</v>
      </c>
      <c r="AF390">
        <v>1</v>
      </c>
      <c r="AG390">
        <v>4</v>
      </c>
      <c r="AH390">
        <v>2</v>
      </c>
      <c r="AI390">
        <v>7</v>
      </c>
      <c r="AJ390">
        <v>1</v>
      </c>
      <c r="AK390">
        <v>6</v>
      </c>
      <c r="AL390">
        <v>7</v>
      </c>
      <c r="AM390">
        <v>2</v>
      </c>
      <c r="AN390">
        <v>46</v>
      </c>
      <c r="AO390">
        <v>1</v>
      </c>
      <c r="AP390">
        <v>1</v>
      </c>
      <c r="AQ390">
        <v>1</v>
      </c>
      <c r="AR390">
        <v>7</v>
      </c>
      <c r="AS390">
        <v>7</v>
      </c>
      <c r="AT390">
        <v>7</v>
      </c>
      <c r="AU390">
        <v>7</v>
      </c>
      <c r="AV390">
        <v>5</v>
      </c>
      <c r="AW390">
        <v>7</v>
      </c>
      <c r="AX390">
        <v>1</v>
      </c>
      <c r="AY390" cm="1">
        <f t="array" ref="AY390">_xlfn.IFS(AZ390="Positive",1, AZ390="Negative",1, AZ390="Neutral",0)</f>
        <v>1</v>
      </c>
      <c r="AZ390" t="s">
        <v>196</v>
      </c>
      <c r="BA390">
        <v>14</v>
      </c>
      <c r="BB390">
        <v>0</v>
      </c>
      <c r="BC390" s="3">
        <v>12</v>
      </c>
      <c r="BD390" s="3">
        <v>0</v>
      </c>
      <c r="BE390" s="3">
        <v>1</v>
      </c>
      <c r="BF390" s="3">
        <v>1</v>
      </c>
      <c r="BG390" s="3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 t="s">
        <v>323</v>
      </c>
      <c r="BT390" t="s">
        <v>323</v>
      </c>
      <c r="BU390" t="s">
        <v>479</v>
      </c>
      <c r="BV390" t="s">
        <v>327</v>
      </c>
    </row>
    <row r="391" spans="1:74" hidden="1" x14ac:dyDescent="0.2">
      <c r="A391">
        <v>403</v>
      </c>
      <c r="B391">
        <v>58</v>
      </c>
      <c r="C391" t="s">
        <v>135</v>
      </c>
      <c r="E391" t="s">
        <v>97</v>
      </c>
      <c r="F391">
        <v>27</v>
      </c>
      <c r="G391">
        <v>2001</v>
      </c>
      <c r="H391">
        <v>21</v>
      </c>
      <c r="I391" t="s">
        <v>64</v>
      </c>
      <c r="J391">
        <v>1</v>
      </c>
      <c r="K391" t="s">
        <v>679</v>
      </c>
      <c r="L391" t="s">
        <v>668</v>
      </c>
      <c r="M391">
        <v>7</v>
      </c>
      <c r="N391">
        <v>56</v>
      </c>
      <c r="O391" t="s">
        <v>408</v>
      </c>
      <c r="P391" t="s">
        <v>277</v>
      </c>
      <c r="Q391" t="s">
        <v>763</v>
      </c>
      <c r="R391" t="s">
        <v>742</v>
      </c>
      <c r="S391" t="s">
        <v>430</v>
      </c>
      <c r="T391" t="s">
        <v>423</v>
      </c>
      <c r="U391" t="s">
        <v>412</v>
      </c>
      <c r="V391" t="s">
        <v>535</v>
      </c>
      <c r="W391" t="s">
        <v>197</v>
      </c>
      <c r="X391" t="s">
        <v>196</v>
      </c>
      <c r="Y391" t="s">
        <v>274</v>
      </c>
      <c r="Z391">
        <v>7</v>
      </c>
      <c r="AA391">
        <v>2</v>
      </c>
      <c r="AB391">
        <v>6</v>
      </c>
      <c r="AC391">
        <v>2</v>
      </c>
      <c r="AD391">
        <v>1</v>
      </c>
      <c r="AE391">
        <v>1</v>
      </c>
      <c r="AF391">
        <v>2</v>
      </c>
      <c r="AG391">
        <v>2</v>
      </c>
      <c r="AH391">
        <v>2</v>
      </c>
      <c r="AI391">
        <v>7</v>
      </c>
      <c r="AJ391">
        <v>1</v>
      </c>
      <c r="AK391">
        <v>3</v>
      </c>
      <c r="AL391">
        <v>3</v>
      </c>
      <c r="AM391">
        <v>5</v>
      </c>
      <c r="AN391">
        <v>240</v>
      </c>
      <c r="AO391">
        <v>5</v>
      </c>
      <c r="AP391">
        <v>2</v>
      </c>
      <c r="AQ391">
        <v>6</v>
      </c>
      <c r="AR391">
        <v>7</v>
      </c>
      <c r="AS391">
        <v>5</v>
      </c>
      <c r="AT391">
        <v>5</v>
      </c>
      <c r="AU391">
        <v>6</v>
      </c>
      <c r="AV391">
        <v>7</v>
      </c>
      <c r="AW391">
        <v>6</v>
      </c>
      <c r="AX391">
        <v>1</v>
      </c>
      <c r="AY391" cm="1">
        <f t="array" ref="AY391">_xlfn.IFS(AZ391="Positive",1, AZ391="Negative",1, AZ391="Neutral",0)</f>
        <v>1</v>
      </c>
      <c r="AZ391" t="s">
        <v>196</v>
      </c>
      <c r="BA391">
        <v>11</v>
      </c>
      <c r="BB391">
        <v>5</v>
      </c>
      <c r="BC391" s="3">
        <v>7</v>
      </c>
      <c r="BD391" s="3">
        <v>1</v>
      </c>
      <c r="BE391" s="3">
        <v>1</v>
      </c>
      <c r="BF391" s="3">
        <v>1</v>
      </c>
      <c r="BG391" s="3">
        <v>1</v>
      </c>
      <c r="BH391">
        <v>0</v>
      </c>
      <c r="BI391">
        <v>0</v>
      </c>
      <c r="BJ391">
        <v>2</v>
      </c>
      <c r="BK391">
        <v>1</v>
      </c>
      <c r="BL391">
        <v>2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 t="s">
        <v>475</v>
      </c>
      <c r="BT391" t="s">
        <v>323</v>
      </c>
      <c r="BU391" t="s">
        <v>534</v>
      </c>
      <c r="BV391" t="s">
        <v>327</v>
      </c>
    </row>
    <row r="392" spans="1:74" hidden="1" x14ac:dyDescent="0.2">
      <c r="B392">
        <v>59</v>
      </c>
      <c r="C392" t="s">
        <v>136</v>
      </c>
      <c r="E392" t="s">
        <v>76</v>
      </c>
      <c r="F392">
        <v>1</v>
      </c>
      <c r="G392">
        <v>2000</v>
      </c>
      <c r="H392">
        <v>22</v>
      </c>
      <c r="I392" t="s">
        <v>64</v>
      </c>
      <c r="J392">
        <v>1</v>
      </c>
      <c r="K392" t="s">
        <v>639</v>
      </c>
      <c r="L392" t="s">
        <v>666</v>
      </c>
      <c r="M392">
        <v>7</v>
      </c>
      <c r="N392">
        <v>50</v>
      </c>
      <c r="O392" t="s">
        <v>315</v>
      </c>
      <c r="P392" t="s">
        <v>460</v>
      </c>
      <c r="Q392" t="s">
        <v>708</v>
      </c>
      <c r="R392" t="s">
        <v>740</v>
      </c>
      <c r="S392" t="s">
        <v>430</v>
      </c>
      <c r="T392" t="s">
        <v>538</v>
      </c>
      <c r="U392" t="s">
        <v>474</v>
      </c>
      <c r="V392" t="s">
        <v>462</v>
      </c>
      <c r="W392" t="s">
        <v>197</v>
      </c>
      <c r="X392" t="s">
        <v>196</v>
      </c>
      <c r="Y392" t="s">
        <v>274</v>
      </c>
      <c r="Z392">
        <v>5</v>
      </c>
      <c r="AA392">
        <v>5</v>
      </c>
      <c r="AB392">
        <v>6</v>
      </c>
      <c r="AC392">
        <v>7</v>
      </c>
      <c r="AD392">
        <v>1</v>
      </c>
      <c r="AE392">
        <v>5</v>
      </c>
      <c r="AF392">
        <v>2</v>
      </c>
      <c r="AG392">
        <v>6</v>
      </c>
      <c r="AH392">
        <v>7</v>
      </c>
      <c r="AI392">
        <v>1</v>
      </c>
      <c r="AJ392">
        <v>6</v>
      </c>
      <c r="AK392">
        <v>4</v>
      </c>
      <c r="AL392">
        <v>2</v>
      </c>
      <c r="AM392">
        <v>6</v>
      </c>
      <c r="AN392">
        <v>20</v>
      </c>
      <c r="AO392">
        <v>4</v>
      </c>
      <c r="AP392">
        <v>7</v>
      </c>
      <c r="AQ392">
        <v>5</v>
      </c>
      <c r="AR392">
        <v>5</v>
      </c>
      <c r="AS392">
        <v>5</v>
      </c>
      <c r="AT392">
        <v>7</v>
      </c>
      <c r="AU392">
        <v>4</v>
      </c>
      <c r="AV392">
        <v>4</v>
      </c>
      <c r="AW392">
        <v>5</v>
      </c>
      <c r="AX392">
        <v>3</v>
      </c>
      <c r="AY392" cm="1">
        <f t="array" ref="AY392">_xlfn.IFS(AZ392="Positive",1, AZ392="Negative",1, AZ392="Neutral",0)</f>
        <v>1</v>
      </c>
      <c r="AZ392" t="s">
        <v>196</v>
      </c>
      <c r="BA392">
        <f>SUM(BC392:BG392)</f>
        <v>12</v>
      </c>
      <c r="BB392">
        <f>SUM(BH392:BR392)</f>
        <v>1</v>
      </c>
      <c r="BC392" s="3">
        <v>8</v>
      </c>
      <c r="BD392" s="3">
        <v>0</v>
      </c>
      <c r="BE392" s="3">
        <v>2</v>
      </c>
      <c r="BF392" s="3">
        <v>2</v>
      </c>
      <c r="BG392" s="3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</v>
      </c>
      <c r="BR392">
        <v>0</v>
      </c>
      <c r="BS392" t="s">
        <v>536</v>
      </c>
      <c r="BT392" t="s">
        <v>475</v>
      </c>
      <c r="BU392" t="s">
        <v>537</v>
      </c>
      <c r="BV392" t="s">
        <v>476</v>
      </c>
    </row>
    <row r="393" spans="1:74" hidden="1" x14ac:dyDescent="0.2">
      <c r="A393">
        <v>405</v>
      </c>
      <c r="B393">
        <v>60</v>
      </c>
      <c r="C393" t="s">
        <v>137</v>
      </c>
      <c r="E393" t="s">
        <v>93</v>
      </c>
      <c r="F393">
        <v>28</v>
      </c>
      <c r="G393">
        <v>2000</v>
      </c>
      <c r="H393">
        <v>22</v>
      </c>
      <c r="I393" t="s">
        <v>64</v>
      </c>
      <c r="J393">
        <v>1</v>
      </c>
      <c r="K393" t="s">
        <v>517</v>
      </c>
      <c r="L393" t="s">
        <v>684</v>
      </c>
      <c r="M393">
        <v>12</v>
      </c>
      <c r="N393">
        <v>64</v>
      </c>
      <c r="O393" t="s">
        <v>513</v>
      </c>
      <c r="P393" t="s">
        <v>539</v>
      </c>
      <c r="Q393" t="s">
        <v>744</v>
      </c>
      <c r="R393" t="s">
        <v>764</v>
      </c>
      <c r="S393" t="s">
        <v>499</v>
      </c>
      <c r="T393" t="s">
        <v>540</v>
      </c>
      <c r="U393" t="s">
        <v>515</v>
      </c>
      <c r="V393" t="s">
        <v>541</v>
      </c>
      <c r="W393" t="s">
        <v>197</v>
      </c>
      <c r="X393" t="s">
        <v>196</v>
      </c>
      <c r="Y393" t="s">
        <v>274</v>
      </c>
      <c r="Z393">
        <v>7</v>
      </c>
      <c r="AA393">
        <v>1</v>
      </c>
      <c r="AB393">
        <v>3</v>
      </c>
      <c r="AC393">
        <v>1</v>
      </c>
      <c r="AD393">
        <v>1</v>
      </c>
      <c r="AE393">
        <v>1</v>
      </c>
      <c r="AF393">
        <v>2</v>
      </c>
      <c r="AG393">
        <v>3</v>
      </c>
      <c r="AH393">
        <v>2</v>
      </c>
      <c r="AI393">
        <v>4</v>
      </c>
      <c r="AJ393">
        <v>1</v>
      </c>
      <c r="AK393">
        <v>1</v>
      </c>
      <c r="AL393">
        <v>1</v>
      </c>
      <c r="AM393">
        <v>1</v>
      </c>
      <c r="AN393">
        <v>168</v>
      </c>
      <c r="AO393">
        <v>6</v>
      </c>
      <c r="AP393">
        <v>3</v>
      </c>
      <c r="AQ393">
        <v>1</v>
      </c>
      <c r="AR393">
        <v>2</v>
      </c>
      <c r="AS393">
        <v>3</v>
      </c>
      <c r="AT393">
        <v>3</v>
      </c>
      <c r="AU393">
        <v>4</v>
      </c>
      <c r="AV393">
        <v>3</v>
      </c>
      <c r="AW393">
        <v>2</v>
      </c>
      <c r="AX393">
        <v>2</v>
      </c>
      <c r="AY393" cm="1">
        <f t="array" ref="AY393">_xlfn.IFS(AZ393="Positive",1, AZ393="Negative",1, AZ393="Neutral",0)</f>
        <v>1</v>
      </c>
      <c r="AZ393" t="s">
        <v>196</v>
      </c>
      <c r="BA393">
        <v>8</v>
      </c>
      <c r="BB393">
        <v>0</v>
      </c>
      <c r="BC393" s="3">
        <v>5</v>
      </c>
      <c r="BD393" s="3">
        <v>0</v>
      </c>
      <c r="BE393" s="3">
        <v>2</v>
      </c>
      <c r="BF393" s="3">
        <v>0</v>
      </c>
      <c r="BG393" s="3">
        <v>1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 t="s">
        <v>463</v>
      </c>
      <c r="BT393" t="s">
        <v>286</v>
      </c>
      <c r="BU393" t="s">
        <v>465</v>
      </c>
      <c r="BV393" t="s">
        <v>290</v>
      </c>
    </row>
    <row r="394" spans="1:74" hidden="1" x14ac:dyDescent="0.2">
      <c r="A394">
        <v>406</v>
      </c>
      <c r="B394">
        <v>61</v>
      </c>
      <c r="C394" t="s">
        <v>138</v>
      </c>
      <c r="E394" t="s">
        <v>88</v>
      </c>
      <c r="F394">
        <v>20</v>
      </c>
      <c r="G394">
        <v>1998</v>
      </c>
      <c r="H394">
        <v>24</v>
      </c>
      <c r="I394" t="s">
        <v>69</v>
      </c>
      <c r="J394">
        <v>2</v>
      </c>
      <c r="K394" t="s">
        <v>651</v>
      </c>
      <c r="L394" t="s">
        <v>653</v>
      </c>
      <c r="M394">
        <v>8</v>
      </c>
      <c r="N394">
        <v>54</v>
      </c>
      <c r="O394" t="s">
        <v>360</v>
      </c>
      <c r="P394" t="s">
        <v>542</v>
      </c>
      <c r="Q394" t="s">
        <v>721</v>
      </c>
      <c r="R394" t="s">
        <v>724</v>
      </c>
      <c r="S394" t="s">
        <v>291</v>
      </c>
      <c r="T394" t="s">
        <v>455</v>
      </c>
      <c r="U394" t="s">
        <v>365</v>
      </c>
      <c r="V394" t="s">
        <v>543</v>
      </c>
      <c r="W394" t="s">
        <v>197</v>
      </c>
      <c r="X394" t="s">
        <v>196</v>
      </c>
      <c r="Y394" t="s">
        <v>274</v>
      </c>
      <c r="Z394">
        <v>7</v>
      </c>
      <c r="AA394">
        <v>6</v>
      </c>
      <c r="AB394">
        <v>7</v>
      </c>
      <c r="AC394">
        <v>1</v>
      </c>
      <c r="AD394">
        <v>4</v>
      </c>
      <c r="AE394">
        <v>2</v>
      </c>
      <c r="AF394">
        <v>1</v>
      </c>
      <c r="AG394">
        <v>2</v>
      </c>
      <c r="AH394">
        <v>5</v>
      </c>
      <c r="AI394">
        <v>7</v>
      </c>
      <c r="AJ394">
        <v>1</v>
      </c>
      <c r="AK394">
        <v>4</v>
      </c>
      <c r="AL394">
        <v>4</v>
      </c>
      <c r="AM394">
        <v>1</v>
      </c>
      <c r="AN394">
        <v>180</v>
      </c>
      <c r="AO394">
        <v>7</v>
      </c>
      <c r="AP394">
        <v>2</v>
      </c>
      <c r="AQ394">
        <v>4</v>
      </c>
      <c r="AR394">
        <v>5</v>
      </c>
      <c r="AS394">
        <v>5</v>
      </c>
      <c r="AT394">
        <v>5</v>
      </c>
      <c r="AU394">
        <v>6</v>
      </c>
      <c r="AV394">
        <v>6</v>
      </c>
      <c r="AW394">
        <v>5</v>
      </c>
      <c r="AX394">
        <v>1</v>
      </c>
      <c r="AY394" cm="1">
        <f t="array" ref="AY394">_xlfn.IFS(AZ394="Positive",1, AZ394="Negative",1, AZ394="Neutral",0)</f>
        <v>1</v>
      </c>
      <c r="AZ394" t="s">
        <v>196</v>
      </c>
      <c r="BA394">
        <v>11</v>
      </c>
      <c r="BB394">
        <v>4</v>
      </c>
      <c r="BC394" s="3">
        <v>6</v>
      </c>
      <c r="BD394" s="3">
        <v>0</v>
      </c>
      <c r="BE394" s="3">
        <v>1</v>
      </c>
      <c r="BF394" s="3">
        <v>2</v>
      </c>
      <c r="BG394" s="3">
        <v>2</v>
      </c>
      <c r="BH394">
        <v>0</v>
      </c>
      <c r="BI394">
        <v>0</v>
      </c>
      <c r="BJ394">
        <v>1</v>
      </c>
      <c r="BK394">
        <v>0</v>
      </c>
      <c r="BL394">
        <v>2</v>
      </c>
      <c r="BM394">
        <v>0</v>
      </c>
      <c r="BN394">
        <v>0</v>
      </c>
      <c r="BO394">
        <v>0</v>
      </c>
      <c r="BP394">
        <v>0</v>
      </c>
      <c r="BQ394">
        <v>1</v>
      </c>
      <c r="BR394">
        <v>0</v>
      </c>
      <c r="BS394" t="s">
        <v>510</v>
      </c>
      <c r="BT394" t="s">
        <v>480</v>
      </c>
      <c r="BU394" t="s">
        <v>511</v>
      </c>
      <c r="BV394" t="s">
        <v>482</v>
      </c>
    </row>
    <row r="395" spans="1:74" x14ac:dyDescent="0.2">
      <c r="A395">
        <v>407</v>
      </c>
      <c r="B395">
        <v>62</v>
      </c>
      <c r="C395" t="s">
        <v>139</v>
      </c>
      <c r="E395" t="s">
        <v>80</v>
      </c>
      <c r="F395">
        <v>19</v>
      </c>
      <c r="G395">
        <v>1999</v>
      </c>
      <c r="H395">
        <v>23</v>
      </c>
      <c r="I395" t="s">
        <v>64</v>
      </c>
      <c r="J395">
        <v>1</v>
      </c>
      <c r="K395" t="s">
        <v>652</v>
      </c>
      <c r="L395" t="s">
        <v>677</v>
      </c>
      <c r="M395">
        <v>15</v>
      </c>
      <c r="N395">
        <v>56</v>
      </c>
      <c r="O395" t="s">
        <v>369</v>
      </c>
      <c r="P395" t="s">
        <v>456</v>
      </c>
      <c r="Q395" t="s">
        <v>753</v>
      </c>
      <c r="R395" t="s">
        <v>756</v>
      </c>
      <c r="S395" t="s">
        <v>363</v>
      </c>
      <c r="T395" t="s">
        <v>423</v>
      </c>
      <c r="U395" t="s">
        <v>544</v>
      </c>
      <c r="V395" t="s">
        <v>458</v>
      </c>
      <c r="W395" t="s">
        <v>197</v>
      </c>
      <c r="X395" t="s">
        <v>196</v>
      </c>
      <c r="Y395" t="s">
        <v>274</v>
      </c>
      <c r="Z395">
        <v>7</v>
      </c>
      <c r="AA395">
        <v>5</v>
      </c>
      <c r="AB395">
        <v>7</v>
      </c>
      <c r="AC395">
        <v>7</v>
      </c>
      <c r="AD395">
        <v>1</v>
      </c>
      <c r="AE395">
        <v>2</v>
      </c>
      <c r="AF395">
        <v>1</v>
      </c>
      <c r="AG395">
        <v>4</v>
      </c>
      <c r="AH395">
        <v>4</v>
      </c>
      <c r="AI395">
        <v>7</v>
      </c>
      <c r="AJ395">
        <v>4</v>
      </c>
      <c r="AK395">
        <v>5</v>
      </c>
      <c r="AL395">
        <v>5</v>
      </c>
      <c r="AM395">
        <v>6</v>
      </c>
      <c r="AN395">
        <v>191</v>
      </c>
      <c r="AO395">
        <v>1</v>
      </c>
      <c r="AP395">
        <v>3</v>
      </c>
      <c r="AQ395">
        <v>7</v>
      </c>
      <c r="AR395">
        <v>5</v>
      </c>
      <c r="AS395">
        <v>5</v>
      </c>
      <c r="AT395">
        <v>4</v>
      </c>
      <c r="AU395">
        <v>5</v>
      </c>
      <c r="AV395">
        <v>4</v>
      </c>
      <c r="AW395">
        <v>5</v>
      </c>
      <c r="AX395">
        <v>2</v>
      </c>
      <c r="AY395" cm="1">
        <f t="array" ref="AY395">_xlfn.IFS(AZ395="Positive",1, AZ395="Negative",1, AZ395="Neutral",0)</f>
        <v>1</v>
      </c>
      <c r="AZ395" t="s">
        <v>196</v>
      </c>
      <c r="BA395">
        <v>0</v>
      </c>
      <c r="BB395">
        <v>3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>
        <v>0</v>
      </c>
      <c r="BI395">
        <v>0</v>
      </c>
      <c r="BJ395">
        <v>0</v>
      </c>
      <c r="BK395">
        <v>0</v>
      </c>
      <c r="BL395">
        <v>2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1</v>
      </c>
      <c r="BS395" t="s">
        <v>322</v>
      </c>
      <c r="BT395" t="s">
        <v>313</v>
      </c>
      <c r="BU395" t="s">
        <v>326</v>
      </c>
      <c r="BV395" t="s">
        <v>317</v>
      </c>
    </row>
    <row r="396" spans="1:74" x14ac:dyDescent="0.2">
      <c r="A396">
        <v>408</v>
      </c>
      <c r="B396">
        <v>63</v>
      </c>
      <c r="C396" t="s">
        <v>140</v>
      </c>
      <c r="E396" t="s">
        <v>97</v>
      </c>
      <c r="F396">
        <v>21</v>
      </c>
      <c r="G396">
        <v>1997</v>
      </c>
      <c r="H396">
        <v>25</v>
      </c>
      <c r="I396" t="s">
        <v>64</v>
      </c>
      <c r="J396">
        <v>1</v>
      </c>
      <c r="K396" t="s">
        <v>658</v>
      </c>
      <c r="L396" t="s">
        <v>634</v>
      </c>
      <c r="M396">
        <v>15</v>
      </c>
      <c r="N396">
        <v>60</v>
      </c>
      <c r="O396" t="s">
        <v>463</v>
      </c>
      <c r="P396" t="s">
        <v>545</v>
      </c>
      <c r="Q396" t="s">
        <v>729</v>
      </c>
      <c r="R396" t="s">
        <v>747</v>
      </c>
      <c r="S396" t="s">
        <v>363</v>
      </c>
      <c r="T396" t="s">
        <v>444</v>
      </c>
      <c r="U396" t="s">
        <v>546</v>
      </c>
      <c r="V396" t="s">
        <v>547</v>
      </c>
      <c r="W396" t="s">
        <v>197</v>
      </c>
      <c r="X396" t="s">
        <v>196</v>
      </c>
      <c r="Y396" t="s">
        <v>274</v>
      </c>
      <c r="Z396">
        <v>7</v>
      </c>
      <c r="AA396">
        <v>1</v>
      </c>
      <c r="AB396">
        <v>5</v>
      </c>
      <c r="AC396">
        <v>1</v>
      </c>
      <c r="AD396">
        <v>1</v>
      </c>
      <c r="AE396">
        <v>1</v>
      </c>
      <c r="AF396">
        <v>3</v>
      </c>
      <c r="AG396">
        <v>1</v>
      </c>
      <c r="AH396">
        <v>3</v>
      </c>
      <c r="AI396">
        <v>4</v>
      </c>
      <c r="AJ396">
        <v>4</v>
      </c>
      <c r="AK396">
        <v>4</v>
      </c>
      <c r="AL396">
        <v>2</v>
      </c>
      <c r="AM396">
        <v>3</v>
      </c>
      <c r="AN396">
        <v>230</v>
      </c>
      <c r="AO396">
        <v>6</v>
      </c>
      <c r="AP396">
        <v>4</v>
      </c>
      <c r="AQ396">
        <v>4</v>
      </c>
      <c r="AR396">
        <v>2</v>
      </c>
      <c r="AS396">
        <v>2</v>
      </c>
      <c r="AT396">
        <v>4</v>
      </c>
      <c r="AU396">
        <v>4</v>
      </c>
      <c r="AV396">
        <v>5</v>
      </c>
      <c r="AW396">
        <v>2</v>
      </c>
      <c r="AX396">
        <v>2</v>
      </c>
      <c r="AY396" cm="1">
        <f t="array" ref="AY396">_xlfn.IFS(AZ396="Positive",1, AZ396="Negative",1, AZ396="Neutral",0)</f>
        <v>1</v>
      </c>
      <c r="AZ396" t="s">
        <v>196</v>
      </c>
      <c r="BA396">
        <v>0</v>
      </c>
      <c r="BB396">
        <v>7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>
        <v>0</v>
      </c>
      <c r="BI396">
        <v>0</v>
      </c>
      <c r="BJ396">
        <v>2</v>
      </c>
      <c r="BK396">
        <v>1</v>
      </c>
      <c r="BL396">
        <v>4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 t="s">
        <v>322</v>
      </c>
      <c r="BT396" t="s">
        <v>399</v>
      </c>
      <c r="BU396" t="s">
        <v>326</v>
      </c>
      <c r="BV396" t="s">
        <v>447</v>
      </c>
    </row>
    <row r="397" spans="1:74" hidden="1" x14ac:dyDescent="0.2">
      <c r="A397">
        <v>409</v>
      </c>
      <c r="B397">
        <v>64</v>
      </c>
      <c r="C397" t="s">
        <v>141</v>
      </c>
      <c r="E397" t="s">
        <v>82</v>
      </c>
      <c r="F397">
        <v>5</v>
      </c>
      <c r="G397">
        <v>2000</v>
      </c>
      <c r="H397">
        <v>22</v>
      </c>
      <c r="I397" t="s">
        <v>64</v>
      </c>
      <c r="J397">
        <v>1</v>
      </c>
      <c r="K397" t="s">
        <v>678</v>
      </c>
      <c r="L397" t="s">
        <v>648</v>
      </c>
      <c r="M397">
        <v>14</v>
      </c>
      <c r="N397">
        <v>74</v>
      </c>
      <c r="O397" t="s">
        <v>542</v>
      </c>
      <c r="P397" t="s">
        <v>542</v>
      </c>
      <c r="Q397" t="s">
        <v>757</v>
      </c>
      <c r="R397" t="s">
        <v>718</v>
      </c>
      <c r="S397" t="s">
        <v>550</v>
      </c>
      <c r="T397" t="s">
        <v>551</v>
      </c>
      <c r="U397" t="s">
        <v>552</v>
      </c>
      <c r="V397" t="s">
        <v>543</v>
      </c>
      <c r="W397" t="s">
        <v>197</v>
      </c>
      <c r="X397" t="s">
        <v>196</v>
      </c>
      <c r="Y397" t="s">
        <v>274</v>
      </c>
      <c r="Z397">
        <v>7</v>
      </c>
      <c r="AA397">
        <v>7</v>
      </c>
      <c r="AB397">
        <v>7</v>
      </c>
      <c r="AC397">
        <v>7</v>
      </c>
      <c r="AD397">
        <v>5</v>
      </c>
      <c r="AE397">
        <v>3</v>
      </c>
      <c r="AF397">
        <v>4</v>
      </c>
      <c r="AG397">
        <v>2</v>
      </c>
      <c r="AH397">
        <v>6</v>
      </c>
      <c r="AI397">
        <v>6</v>
      </c>
      <c r="AJ397">
        <v>2</v>
      </c>
      <c r="AK397">
        <v>6</v>
      </c>
      <c r="AL397">
        <v>5</v>
      </c>
      <c r="AM397">
        <v>6</v>
      </c>
      <c r="AN397">
        <v>46</v>
      </c>
      <c r="AO397">
        <v>1</v>
      </c>
      <c r="AP397">
        <v>2</v>
      </c>
      <c r="AQ397">
        <v>2</v>
      </c>
      <c r="AR397">
        <v>6</v>
      </c>
      <c r="AS397">
        <v>6</v>
      </c>
      <c r="AT397">
        <v>7</v>
      </c>
      <c r="AU397">
        <v>7</v>
      </c>
      <c r="AV397">
        <v>7</v>
      </c>
      <c r="AW397">
        <v>7</v>
      </c>
      <c r="AX397">
        <v>1</v>
      </c>
      <c r="AY397" cm="1">
        <f t="array" ref="AY397">_xlfn.IFS(AZ397="Positive",1, AZ397="Negative",1, AZ397="Neutral",0)</f>
        <v>1</v>
      </c>
      <c r="AZ397" t="s">
        <v>196</v>
      </c>
      <c r="BA397">
        <v>14</v>
      </c>
      <c r="BB397">
        <v>4</v>
      </c>
      <c r="BC397" s="3">
        <v>9</v>
      </c>
      <c r="BD397" s="3">
        <v>0</v>
      </c>
      <c r="BE397" s="3">
        <v>2</v>
      </c>
      <c r="BF397" s="3">
        <v>3</v>
      </c>
      <c r="BG397" s="3">
        <v>0</v>
      </c>
      <c r="BH397">
        <v>0</v>
      </c>
      <c r="BI397">
        <v>0</v>
      </c>
      <c r="BJ397">
        <v>0</v>
      </c>
      <c r="BK397">
        <v>0</v>
      </c>
      <c r="BL397">
        <v>3</v>
      </c>
      <c r="BM397">
        <v>0</v>
      </c>
      <c r="BN397">
        <v>0</v>
      </c>
      <c r="BO397">
        <v>0</v>
      </c>
      <c r="BP397">
        <v>0</v>
      </c>
      <c r="BQ397">
        <v>1</v>
      </c>
      <c r="BR397">
        <v>0</v>
      </c>
      <c r="BS397" t="s">
        <v>425</v>
      </c>
      <c r="BT397" t="s">
        <v>548</v>
      </c>
      <c r="BU397" t="s">
        <v>428</v>
      </c>
      <c r="BV397" t="s">
        <v>549</v>
      </c>
    </row>
    <row r="398" spans="1:74" hidden="1" x14ac:dyDescent="0.2">
      <c r="A398">
        <v>410</v>
      </c>
      <c r="B398">
        <v>65</v>
      </c>
      <c r="C398" t="s">
        <v>142</v>
      </c>
      <c r="E398" t="s">
        <v>93</v>
      </c>
      <c r="F398">
        <v>3</v>
      </c>
      <c r="G398">
        <v>1998</v>
      </c>
      <c r="H398">
        <v>24</v>
      </c>
      <c r="I398" t="s">
        <v>64</v>
      </c>
      <c r="J398">
        <v>1</v>
      </c>
      <c r="K398" t="s">
        <v>657</v>
      </c>
      <c r="L398" t="s">
        <v>660</v>
      </c>
      <c r="M398">
        <v>9</v>
      </c>
      <c r="N398">
        <v>79</v>
      </c>
      <c r="O398">
        <v>6</v>
      </c>
      <c r="P398" t="s">
        <v>554</v>
      </c>
      <c r="Q398" t="s">
        <v>727</v>
      </c>
      <c r="R398" t="s">
        <v>733</v>
      </c>
      <c r="S398" t="s">
        <v>349</v>
      </c>
      <c r="T398" t="s">
        <v>557</v>
      </c>
      <c r="U398" t="s">
        <v>436</v>
      </c>
      <c r="V398" t="s">
        <v>558</v>
      </c>
      <c r="W398" t="s">
        <v>197</v>
      </c>
      <c r="X398" t="s">
        <v>196</v>
      </c>
      <c r="Y398" t="s">
        <v>274</v>
      </c>
      <c r="Z398">
        <v>7</v>
      </c>
      <c r="AA398">
        <v>2</v>
      </c>
      <c r="AB398">
        <v>7</v>
      </c>
      <c r="AC398">
        <v>1</v>
      </c>
      <c r="AD398">
        <v>1</v>
      </c>
      <c r="AE398">
        <v>1</v>
      </c>
      <c r="AF398">
        <v>1</v>
      </c>
      <c r="AG398">
        <v>5</v>
      </c>
      <c r="AH398">
        <v>1</v>
      </c>
      <c r="AI398">
        <v>3</v>
      </c>
      <c r="AJ398">
        <v>5</v>
      </c>
      <c r="AK398">
        <v>2</v>
      </c>
      <c r="AL398">
        <v>1</v>
      </c>
      <c r="AM398">
        <v>1</v>
      </c>
      <c r="AN398">
        <v>80</v>
      </c>
      <c r="AO398">
        <v>1</v>
      </c>
      <c r="AP398">
        <v>4</v>
      </c>
      <c r="AQ398">
        <v>5</v>
      </c>
      <c r="AR398">
        <v>7</v>
      </c>
      <c r="AS398">
        <v>1</v>
      </c>
      <c r="AT398">
        <v>7</v>
      </c>
      <c r="AU398">
        <v>1</v>
      </c>
      <c r="AV398">
        <v>7</v>
      </c>
      <c r="AW398">
        <v>7</v>
      </c>
      <c r="AX398">
        <v>2</v>
      </c>
      <c r="AY398" cm="1">
        <f t="array" ref="AY398">_xlfn.IFS(AZ398="Positive",1, AZ398="Negative",1, AZ398="Neutral",0)</f>
        <v>1</v>
      </c>
      <c r="AZ398" t="s">
        <v>196</v>
      </c>
      <c r="BA398">
        <v>22</v>
      </c>
      <c r="BB398">
        <v>4</v>
      </c>
      <c r="BC398" s="3">
        <v>14</v>
      </c>
      <c r="BD398" s="3">
        <v>1</v>
      </c>
      <c r="BE398" s="3">
        <v>2</v>
      </c>
      <c r="BF398" s="3">
        <v>0</v>
      </c>
      <c r="BG398" s="3">
        <v>5</v>
      </c>
      <c r="BH398">
        <v>0</v>
      </c>
      <c r="BI398">
        <v>0</v>
      </c>
      <c r="BJ398">
        <v>2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1</v>
      </c>
      <c r="BS398" t="s">
        <v>553</v>
      </c>
      <c r="BT398" t="s">
        <v>536</v>
      </c>
      <c r="BU398" t="s">
        <v>555</v>
      </c>
      <c r="BV398" t="s">
        <v>556</v>
      </c>
    </row>
    <row r="399" spans="1:74" hidden="1" x14ac:dyDescent="0.2">
      <c r="A399">
        <v>411</v>
      </c>
      <c r="B399">
        <v>66</v>
      </c>
      <c r="C399" t="s">
        <v>143</v>
      </c>
      <c r="E399" t="s">
        <v>80</v>
      </c>
      <c r="F399">
        <v>13</v>
      </c>
      <c r="G399">
        <v>2002</v>
      </c>
      <c r="H399">
        <v>20</v>
      </c>
      <c r="I399" t="s">
        <v>69</v>
      </c>
      <c r="J399">
        <v>2</v>
      </c>
      <c r="K399" t="s">
        <v>644</v>
      </c>
      <c r="L399" t="s">
        <v>685</v>
      </c>
      <c r="M399">
        <v>14</v>
      </c>
      <c r="N399">
        <v>71</v>
      </c>
      <c r="O399" t="s">
        <v>389</v>
      </c>
      <c r="P399" t="s">
        <v>460</v>
      </c>
      <c r="Q399" t="s">
        <v>714</v>
      </c>
      <c r="R399" t="s">
        <v>765</v>
      </c>
      <c r="S399" t="s">
        <v>550</v>
      </c>
      <c r="T399" t="s">
        <v>329</v>
      </c>
      <c r="U399" t="s">
        <v>391</v>
      </c>
      <c r="V399" t="s">
        <v>462</v>
      </c>
      <c r="W399" t="s">
        <v>197</v>
      </c>
      <c r="X399" t="s">
        <v>196</v>
      </c>
      <c r="Y399" t="s">
        <v>274</v>
      </c>
      <c r="Z399">
        <v>7</v>
      </c>
      <c r="AA399">
        <v>3</v>
      </c>
      <c r="AB399">
        <v>6</v>
      </c>
      <c r="AC399">
        <v>4</v>
      </c>
      <c r="AD399">
        <v>5</v>
      </c>
      <c r="AE399">
        <v>3</v>
      </c>
      <c r="AF399">
        <v>6</v>
      </c>
      <c r="AG399">
        <v>3</v>
      </c>
      <c r="AH399">
        <v>5</v>
      </c>
      <c r="AI399">
        <v>4</v>
      </c>
      <c r="AJ399">
        <v>2</v>
      </c>
      <c r="AK399">
        <v>2</v>
      </c>
      <c r="AL399">
        <v>3</v>
      </c>
      <c r="AM399">
        <v>1</v>
      </c>
      <c r="AN399">
        <v>240</v>
      </c>
      <c r="AO399">
        <v>3</v>
      </c>
      <c r="AP399">
        <v>5</v>
      </c>
      <c r="AQ399">
        <v>6</v>
      </c>
      <c r="AR399">
        <v>5</v>
      </c>
      <c r="AS399">
        <v>7</v>
      </c>
      <c r="AT399">
        <v>5</v>
      </c>
      <c r="AU399">
        <v>3</v>
      </c>
      <c r="AV399">
        <v>2</v>
      </c>
      <c r="AW399">
        <v>3</v>
      </c>
      <c r="AX399">
        <v>2</v>
      </c>
      <c r="AY399" cm="1">
        <f t="array" ref="AY399">_xlfn.IFS(AZ399="Positive",1, AZ399="Negative",1, AZ399="Neutral",0)</f>
        <v>1</v>
      </c>
      <c r="AZ399" t="s">
        <v>196</v>
      </c>
      <c r="BA399">
        <v>10</v>
      </c>
      <c r="BB399">
        <v>0</v>
      </c>
      <c r="BC399" s="3">
        <v>5</v>
      </c>
      <c r="BD399" s="3">
        <v>2</v>
      </c>
      <c r="BE399" s="3">
        <v>1</v>
      </c>
      <c r="BF399" s="3">
        <v>2</v>
      </c>
      <c r="BG399" s="3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463</v>
      </c>
      <c r="BT399" t="s">
        <v>352</v>
      </c>
      <c r="BU399" t="s">
        <v>465</v>
      </c>
      <c r="BV399" t="s">
        <v>526</v>
      </c>
    </row>
    <row r="400" spans="1:74" hidden="1" x14ac:dyDescent="0.2">
      <c r="A400">
        <v>412</v>
      </c>
      <c r="B400">
        <v>67</v>
      </c>
      <c r="C400" t="s">
        <v>144</v>
      </c>
      <c r="E400" t="s">
        <v>82</v>
      </c>
      <c r="F400">
        <v>19</v>
      </c>
      <c r="G400">
        <v>2001</v>
      </c>
      <c r="H400">
        <v>21</v>
      </c>
      <c r="I400" t="s">
        <v>64</v>
      </c>
      <c r="J400">
        <v>1</v>
      </c>
      <c r="K400" t="s">
        <v>661</v>
      </c>
      <c r="L400" t="s">
        <v>647</v>
      </c>
      <c r="M400">
        <v>5</v>
      </c>
      <c r="N400">
        <v>58</v>
      </c>
      <c r="O400" t="s">
        <v>287</v>
      </c>
      <c r="P400" t="s">
        <v>315</v>
      </c>
      <c r="Q400" t="s">
        <v>734</v>
      </c>
      <c r="R400" t="s">
        <v>717</v>
      </c>
      <c r="S400" t="s">
        <v>318</v>
      </c>
      <c r="T400" t="s">
        <v>364</v>
      </c>
      <c r="U400" t="s">
        <v>293</v>
      </c>
      <c r="V400" t="s">
        <v>321</v>
      </c>
      <c r="W400" t="s">
        <v>197</v>
      </c>
      <c r="X400" t="s">
        <v>196</v>
      </c>
      <c r="Y400" t="s">
        <v>274</v>
      </c>
      <c r="Z400">
        <v>7</v>
      </c>
      <c r="AA400">
        <v>1</v>
      </c>
      <c r="AB400">
        <v>5</v>
      </c>
      <c r="AC400">
        <v>5</v>
      </c>
      <c r="AD400">
        <v>1</v>
      </c>
      <c r="AE400">
        <v>1</v>
      </c>
      <c r="AF400">
        <v>3</v>
      </c>
      <c r="AG400">
        <v>1</v>
      </c>
      <c r="AH400">
        <v>1</v>
      </c>
      <c r="AI400">
        <v>7</v>
      </c>
      <c r="AJ400">
        <v>2</v>
      </c>
      <c r="AK400">
        <v>2</v>
      </c>
      <c r="AL400">
        <v>3</v>
      </c>
      <c r="AM400">
        <v>5</v>
      </c>
      <c r="AN400">
        <v>144</v>
      </c>
      <c r="AO400">
        <v>2</v>
      </c>
      <c r="AP400">
        <v>3</v>
      </c>
      <c r="AQ400">
        <v>3</v>
      </c>
      <c r="AR400">
        <v>1</v>
      </c>
      <c r="AS400">
        <v>4</v>
      </c>
      <c r="AT400">
        <v>2</v>
      </c>
      <c r="AU400">
        <v>4</v>
      </c>
      <c r="AV400">
        <v>2</v>
      </c>
      <c r="AW400">
        <v>4</v>
      </c>
      <c r="AX400">
        <v>2</v>
      </c>
      <c r="AY400" cm="1">
        <f t="array" ref="AY400">_xlfn.IFS(AZ400="Positive",1, AZ400="Negative",1, AZ400="Neutral",0)</f>
        <v>1</v>
      </c>
      <c r="AZ400" t="s">
        <v>196</v>
      </c>
      <c r="BA400">
        <v>10</v>
      </c>
      <c r="BB400">
        <v>1</v>
      </c>
      <c r="BC400" s="3">
        <v>5</v>
      </c>
      <c r="BD400" s="3">
        <v>1</v>
      </c>
      <c r="BE400" s="3">
        <v>4</v>
      </c>
      <c r="BF400" s="3">
        <v>0</v>
      </c>
      <c r="BG400" s="3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4</v>
      </c>
      <c r="BT400" t="s">
        <v>275</v>
      </c>
      <c r="BU400" t="s">
        <v>370</v>
      </c>
      <c r="BV400" t="s">
        <v>334</v>
      </c>
    </row>
    <row r="401" spans="1:74" hidden="1" x14ac:dyDescent="0.2">
      <c r="A401">
        <v>413</v>
      </c>
      <c r="B401">
        <v>68</v>
      </c>
      <c r="C401" t="s">
        <v>145</v>
      </c>
      <c r="E401" t="s">
        <v>68</v>
      </c>
      <c r="F401">
        <v>26</v>
      </c>
      <c r="G401">
        <v>1998</v>
      </c>
      <c r="H401">
        <v>24</v>
      </c>
      <c r="I401" t="s">
        <v>64</v>
      </c>
      <c r="J401">
        <v>1</v>
      </c>
      <c r="K401" t="s">
        <v>676</v>
      </c>
      <c r="L401" t="s">
        <v>686</v>
      </c>
      <c r="M401">
        <v>7</v>
      </c>
      <c r="N401">
        <v>67</v>
      </c>
      <c r="O401" t="s">
        <v>438</v>
      </c>
      <c r="P401" t="s">
        <v>353</v>
      </c>
      <c r="Q401" t="s">
        <v>755</v>
      </c>
      <c r="R401" t="s">
        <v>766</v>
      </c>
      <c r="S401" t="s">
        <v>430</v>
      </c>
      <c r="T401" t="s">
        <v>431</v>
      </c>
      <c r="U401" t="s">
        <v>561</v>
      </c>
      <c r="V401" t="s">
        <v>437</v>
      </c>
      <c r="W401" t="s">
        <v>197</v>
      </c>
      <c r="X401" t="s">
        <v>196</v>
      </c>
      <c r="Y401" t="s">
        <v>274</v>
      </c>
      <c r="Z401">
        <v>7</v>
      </c>
      <c r="AA401">
        <v>5</v>
      </c>
      <c r="AB401">
        <v>6</v>
      </c>
      <c r="AC401">
        <v>6</v>
      </c>
      <c r="AD401">
        <v>1</v>
      </c>
      <c r="AE401">
        <v>5</v>
      </c>
      <c r="AF401">
        <v>2</v>
      </c>
      <c r="AG401">
        <v>1</v>
      </c>
      <c r="AH401">
        <v>5</v>
      </c>
      <c r="AI401">
        <v>6</v>
      </c>
      <c r="AJ401">
        <v>2</v>
      </c>
      <c r="AK401">
        <v>4</v>
      </c>
      <c r="AL401">
        <v>4</v>
      </c>
      <c r="AM401">
        <v>6</v>
      </c>
      <c r="AN401">
        <v>134</v>
      </c>
      <c r="AO401">
        <v>4</v>
      </c>
      <c r="AP401">
        <v>4</v>
      </c>
      <c r="AQ401">
        <v>4</v>
      </c>
      <c r="AR401">
        <v>3</v>
      </c>
      <c r="AS401">
        <v>7</v>
      </c>
      <c r="AT401">
        <v>5</v>
      </c>
      <c r="AU401">
        <v>6</v>
      </c>
      <c r="AV401">
        <v>7</v>
      </c>
      <c r="AW401">
        <v>7</v>
      </c>
      <c r="AX401">
        <v>2</v>
      </c>
      <c r="AY401" cm="1">
        <f t="array" ref="AY401">_xlfn.IFS(AZ401="Positive",1, AZ401="Negative",1, AZ401="Neutral",0)</f>
        <v>1</v>
      </c>
      <c r="AZ401" t="s">
        <v>196</v>
      </c>
      <c r="BA401">
        <v>8</v>
      </c>
      <c r="BB401">
        <v>0</v>
      </c>
      <c r="BC401" s="3">
        <v>5</v>
      </c>
      <c r="BD401" s="3">
        <v>1</v>
      </c>
      <c r="BE401" s="3">
        <v>1</v>
      </c>
      <c r="BF401" s="3">
        <v>1</v>
      </c>
      <c r="BG401" s="3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 t="s">
        <v>305</v>
      </c>
      <c r="BT401" t="s">
        <v>559</v>
      </c>
      <c r="BU401" t="s">
        <v>308</v>
      </c>
      <c r="BV401" t="s">
        <v>560</v>
      </c>
    </row>
    <row r="402" spans="1:74" hidden="1" x14ac:dyDescent="0.2">
      <c r="A402">
        <v>414</v>
      </c>
      <c r="B402">
        <v>69</v>
      </c>
      <c r="C402" t="s">
        <v>146</v>
      </c>
      <c r="E402" t="s">
        <v>97</v>
      </c>
      <c r="F402">
        <v>16</v>
      </c>
      <c r="G402">
        <v>2000</v>
      </c>
      <c r="H402">
        <v>22</v>
      </c>
      <c r="I402" t="s">
        <v>69</v>
      </c>
      <c r="J402">
        <v>2</v>
      </c>
      <c r="K402" t="s">
        <v>687</v>
      </c>
      <c r="L402" t="s">
        <v>688</v>
      </c>
      <c r="M402">
        <v>13</v>
      </c>
      <c r="N402">
        <v>66</v>
      </c>
      <c r="O402">
        <v>5</v>
      </c>
      <c r="P402" t="s">
        <v>562</v>
      </c>
      <c r="Q402" t="s">
        <v>767</v>
      </c>
      <c r="R402" t="s">
        <v>768</v>
      </c>
      <c r="S402" t="s">
        <v>328</v>
      </c>
      <c r="T402" t="s">
        <v>282</v>
      </c>
      <c r="U402" t="s">
        <v>563</v>
      </c>
      <c r="V402" t="s">
        <v>564</v>
      </c>
      <c r="W402" t="s">
        <v>197</v>
      </c>
      <c r="X402" t="s">
        <v>196</v>
      </c>
      <c r="Y402" t="s">
        <v>274</v>
      </c>
      <c r="Z402">
        <v>7</v>
      </c>
      <c r="AA402">
        <v>5</v>
      </c>
      <c r="AB402">
        <v>5</v>
      </c>
      <c r="AC402">
        <v>5</v>
      </c>
      <c r="AD402">
        <v>1</v>
      </c>
      <c r="AE402">
        <v>1</v>
      </c>
      <c r="AF402">
        <v>1</v>
      </c>
      <c r="AG402">
        <v>7</v>
      </c>
      <c r="AH402">
        <v>5</v>
      </c>
      <c r="AI402">
        <v>5</v>
      </c>
      <c r="AJ402">
        <v>3</v>
      </c>
      <c r="AK402">
        <v>4</v>
      </c>
      <c r="AL402">
        <v>1</v>
      </c>
      <c r="AM402">
        <v>1</v>
      </c>
      <c r="AN402">
        <v>186</v>
      </c>
      <c r="AO402">
        <v>2</v>
      </c>
      <c r="AP402">
        <v>3</v>
      </c>
      <c r="AQ402">
        <v>4</v>
      </c>
      <c r="AR402">
        <v>2</v>
      </c>
      <c r="AS402">
        <v>3</v>
      </c>
      <c r="AT402">
        <v>3</v>
      </c>
      <c r="AU402">
        <v>3</v>
      </c>
      <c r="AV402">
        <v>2</v>
      </c>
      <c r="AW402">
        <v>4</v>
      </c>
      <c r="AX402">
        <v>2</v>
      </c>
      <c r="AY402" cm="1">
        <f t="array" ref="AY402">_xlfn.IFS(AZ402="Positive",1, AZ402="Negative",1, AZ402="Neutral",0)</f>
        <v>1</v>
      </c>
      <c r="AZ402" t="s">
        <v>196</v>
      </c>
      <c r="BA402">
        <v>8</v>
      </c>
      <c r="BB402">
        <v>5</v>
      </c>
      <c r="BC402" s="3">
        <v>4</v>
      </c>
      <c r="BD402" s="3">
        <v>1</v>
      </c>
      <c r="BE402" s="3">
        <v>1</v>
      </c>
      <c r="BF402" s="3">
        <v>0</v>
      </c>
      <c r="BG402" s="3">
        <v>2</v>
      </c>
      <c r="BH402">
        <v>0</v>
      </c>
      <c r="BI402">
        <v>0</v>
      </c>
      <c r="BJ402">
        <v>5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 t="s">
        <v>313</v>
      </c>
      <c r="BT402" t="s">
        <v>295</v>
      </c>
      <c r="BU402" t="s">
        <v>316</v>
      </c>
      <c r="BV402" t="s">
        <v>473</v>
      </c>
    </row>
    <row r="403" spans="1:74" x14ac:dyDescent="0.2">
      <c r="A403">
        <v>415</v>
      </c>
      <c r="B403">
        <v>70</v>
      </c>
      <c r="C403" t="s">
        <v>147</v>
      </c>
      <c r="E403" t="s">
        <v>85</v>
      </c>
      <c r="F403">
        <v>28</v>
      </c>
      <c r="G403">
        <v>1997</v>
      </c>
      <c r="H403">
        <v>25</v>
      </c>
      <c r="I403" t="s">
        <v>64</v>
      </c>
      <c r="J403">
        <v>1</v>
      </c>
      <c r="K403" t="s">
        <v>661</v>
      </c>
      <c r="L403" t="s">
        <v>632</v>
      </c>
      <c r="M403">
        <v>5</v>
      </c>
      <c r="N403">
        <v>64</v>
      </c>
      <c r="O403" t="s">
        <v>442</v>
      </c>
      <c r="P403" t="s">
        <v>539</v>
      </c>
      <c r="Q403" t="s">
        <v>734</v>
      </c>
      <c r="R403" t="s">
        <v>732</v>
      </c>
      <c r="S403" t="s">
        <v>318</v>
      </c>
      <c r="T403" t="s">
        <v>540</v>
      </c>
      <c r="U403" t="s">
        <v>445</v>
      </c>
      <c r="V403" t="s">
        <v>541</v>
      </c>
      <c r="W403" t="s">
        <v>197</v>
      </c>
      <c r="X403" t="s">
        <v>196</v>
      </c>
      <c r="Y403" t="s">
        <v>274</v>
      </c>
      <c r="Z403">
        <v>7</v>
      </c>
      <c r="AA403">
        <v>5</v>
      </c>
      <c r="AB403">
        <v>5</v>
      </c>
      <c r="AC403">
        <v>5</v>
      </c>
      <c r="AD403">
        <v>4</v>
      </c>
      <c r="AE403">
        <v>5</v>
      </c>
      <c r="AF403">
        <v>5</v>
      </c>
      <c r="AG403">
        <v>5</v>
      </c>
      <c r="AH403">
        <v>5</v>
      </c>
      <c r="AI403">
        <v>6</v>
      </c>
      <c r="AJ403">
        <v>6</v>
      </c>
      <c r="AK403">
        <v>5</v>
      </c>
      <c r="AL403">
        <v>5</v>
      </c>
      <c r="AM403">
        <v>4</v>
      </c>
      <c r="AN403">
        <v>145</v>
      </c>
      <c r="AO403">
        <v>5</v>
      </c>
      <c r="AP403">
        <v>5</v>
      </c>
      <c r="AQ403">
        <v>4</v>
      </c>
      <c r="AR403">
        <v>5</v>
      </c>
      <c r="AS403">
        <v>5</v>
      </c>
      <c r="AT403">
        <v>5</v>
      </c>
      <c r="AU403">
        <v>5</v>
      </c>
      <c r="AV403">
        <v>5</v>
      </c>
      <c r="AW403">
        <v>5</v>
      </c>
      <c r="AX403">
        <v>2</v>
      </c>
      <c r="AY403" cm="1">
        <f t="array" ref="AY403">_xlfn.IFS(AZ403="Positive",1, AZ403="Negative",1, AZ403="Neutral",0)</f>
        <v>1</v>
      </c>
      <c r="AZ403" t="s">
        <v>196</v>
      </c>
      <c r="BA403">
        <v>0</v>
      </c>
      <c r="BB403">
        <v>3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>
        <v>0</v>
      </c>
      <c r="BI403">
        <v>0</v>
      </c>
      <c r="BJ403">
        <v>2</v>
      </c>
      <c r="BK403">
        <v>1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4</v>
      </c>
      <c r="BT403" t="s">
        <v>453</v>
      </c>
      <c r="BU403" t="s">
        <v>370</v>
      </c>
      <c r="BV403" t="s">
        <v>454</v>
      </c>
    </row>
    <row r="404" spans="1:74" hidden="1" x14ac:dyDescent="0.2">
      <c r="A404">
        <v>416</v>
      </c>
      <c r="B404">
        <v>71</v>
      </c>
      <c r="C404" t="s">
        <v>148</v>
      </c>
      <c r="E404" t="s">
        <v>85</v>
      </c>
      <c r="F404">
        <v>20</v>
      </c>
      <c r="G404">
        <v>2002</v>
      </c>
      <c r="H404">
        <v>20</v>
      </c>
      <c r="I404" t="s">
        <v>64</v>
      </c>
      <c r="J404">
        <v>1</v>
      </c>
      <c r="K404" t="s">
        <v>637</v>
      </c>
      <c r="L404" t="s">
        <v>677</v>
      </c>
      <c r="M404">
        <v>5</v>
      </c>
      <c r="N404">
        <v>67</v>
      </c>
      <c r="O404" t="s">
        <v>513</v>
      </c>
      <c r="P404" t="s">
        <v>325</v>
      </c>
      <c r="Q404" t="s">
        <v>706</v>
      </c>
      <c r="R404" t="s">
        <v>756</v>
      </c>
      <c r="S404" t="s">
        <v>318</v>
      </c>
      <c r="T404" t="s">
        <v>431</v>
      </c>
      <c r="U404" t="s">
        <v>515</v>
      </c>
      <c r="V404" t="s">
        <v>331</v>
      </c>
      <c r="W404" t="s">
        <v>197</v>
      </c>
      <c r="X404" t="s">
        <v>196</v>
      </c>
      <c r="Y404" t="s">
        <v>274</v>
      </c>
      <c r="Z404">
        <v>7</v>
      </c>
      <c r="AA404">
        <v>5</v>
      </c>
      <c r="AB404">
        <v>7</v>
      </c>
      <c r="AC404">
        <v>6</v>
      </c>
      <c r="AD404">
        <v>4</v>
      </c>
      <c r="AE404">
        <v>6</v>
      </c>
      <c r="AF404">
        <v>5</v>
      </c>
      <c r="AG404">
        <v>3</v>
      </c>
      <c r="AH404">
        <v>4</v>
      </c>
      <c r="AI404">
        <v>7</v>
      </c>
      <c r="AJ404">
        <v>1</v>
      </c>
      <c r="AK404">
        <v>6</v>
      </c>
      <c r="AL404">
        <v>5</v>
      </c>
      <c r="AM404">
        <v>6</v>
      </c>
      <c r="AN404">
        <v>73</v>
      </c>
      <c r="AO404">
        <v>5</v>
      </c>
      <c r="AP404">
        <v>2</v>
      </c>
      <c r="AQ404">
        <v>5</v>
      </c>
      <c r="AR404">
        <v>4</v>
      </c>
      <c r="AS404">
        <v>7</v>
      </c>
      <c r="AT404">
        <v>5</v>
      </c>
      <c r="AU404">
        <v>6</v>
      </c>
      <c r="AV404">
        <v>4</v>
      </c>
      <c r="AW404">
        <v>4</v>
      </c>
      <c r="AX404">
        <v>1</v>
      </c>
      <c r="AY404" cm="1">
        <f t="array" ref="AY404">_xlfn.IFS(AZ404="Positive",1, AZ404="Negative",1, AZ404="Neutral",0)</f>
        <v>1</v>
      </c>
      <c r="AZ404" t="s">
        <v>196</v>
      </c>
      <c r="BA404">
        <v>5</v>
      </c>
      <c r="BB404">
        <v>1</v>
      </c>
      <c r="BC404" s="3">
        <v>3</v>
      </c>
      <c r="BD404" s="3">
        <v>0</v>
      </c>
      <c r="BE404" s="3">
        <v>1</v>
      </c>
      <c r="BF404" s="3">
        <v>0</v>
      </c>
      <c r="BG404" s="3">
        <v>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0</v>
      </c>
      <c r="BS404" t="s">
        <v>322</v>
      </c>
      <c r="BT404" t="s">
        <v>453</v>
      </c>
      <c r="BU404" t="s">
        <v>326</v>
      </c>
      <c r="BV404" t="s">
        <v>454</v>
      </c>
    </row>
    <row r="405" spans="1:74" hidden="1" x14ac:dyDescent="0.2">
      <c r="A405">
        <v>417</v>
      </c>
      <c r="B405">
        <v>72</v>
      </c>
      <c r="C405" t="s">
        <v>149</v>
      </c>
      <c r="E405" t="s">
        <v>71</v>
      </c>
      <c r="F405">
        <v>26</v>
      </c>
      <c r="G405">
        <v>1999</v>
      </c>
      <c r="H405">
        <v>23</v>
      </c>
      <c r="I405" t="s">
        <v>64</v>
      </c>
      <c r="J405">
        <v>1</v>
      </c>
      <c r="K405" t="s">
        <v>416</v>
      </c>
      <c r="L405" t="s">
        <v>660</v>
      </c>
      <c r="M405">
        <v>6</v>
      </c>
      <c r="N405">
        <v>63</v>
      </c>
      <c r="O405" t="s">
        <v>565</v>
      </c>
      <c r="P405">
        <v>6</v>
      </c>
      <c r="Q405" t="s">
        <v>723</v>
      </c>
      <c r="R405" t="s">
        <v>733</v>
      </c>
      <c r="S405" t="s">
        <v>403</v>
      </c>
      <c r="T405" t="s">
        <v>477</v>
      </c>
      <c r="U405" t="s">
        <v>566</v>
      </c>
      <c r="V405" t="s">
        <v>471</v>
      </c>
      <c r="W405" t="s">
        <v>197</v>
      </c>
      <c r="X405" t="s">
        <v>196</v>
      </c>
      <c r="Y405" t="s">
        <v>274</v>
      </c>
      <c r="Z405">
        <v>7</v>
      </c>
      <c r="AA405">
        <v>5</v>
      </c>
      <c r="AB405">
        <v>6</v>
      </c>
      <c r="AC405">
        <v>4</v>
      </c>
      <c r="AD405">
        <v>2</v>
      </c>
      <c r="AE405">
        <v>3</v>
      </c>
      <c r="AF405">
        <v>2</v>
      </c>
      <c r="AG405">
        <v>1</v>
      </c>
      <c r="AH405">
        <v>6</v>
      </c>
      <c r="AI405">
        <v>6</v>
      </c>
      <c r="AJ405">
        <v>1</v>
      </c>
      <c r="AK405">
        <v>6</v>
      </c>
      <c r="AL405">
        <v>5</v>
      </c>
      <c r="AM405">
        <v>4</v>
      </c>
      <c r="AN405">
        <v>210</v>
      </c>
      <c r="AO405">
        <v>5</v>
      </c>
      <c r="AP405">
        <v>1</v>
      </c>
      <c r="AQ405">
        <v>5</v>
      </c>
      <c r="AR405">
        <v>1</v>
      </c>
      <c r="AS405">
        <v>5</v>
      </c>
      <c r="AT405">
        <v>3</v>
      </c>
      <c r="AU405">
        <v>6</v>
      </c>
      <c r="AV405">
        <v>6</v>
      </c>
      <c r="AW405">
        <v>6</v>
      </c>
      <c r="AX405">
        <v>1</v>
      </c>
      <c r="AY405" cm="1">
        <f t="array" ref="AY405">_xlfn.IFS(AZ405="Positive",1, AZ405="Negative",1, AZ405="Neutral",0)</f>
        <v>1</v>
      </c>
      <c r="AZ405" t="s">
        <v>196</v>
      </c>
      <c r="BA405">
        <v>10</v>
      </c>
      <c r="BB405">
        <v>1</v>
      </c>
      <c r="BC405" s="3">
        <v>8</v>
      </c>
      <c r="BD405" s="3">
        <v>0</v>
      </c>
      <c r="BE405" s="3">
        <v>2</v>
      </c>
      <c r="BF405" s="3">
        <v>0</v>
      </c>
      <c r="BG405" s="3">
        <v>0</v>
      </c>
      <c r="BH405">
        <v>0</v>
      </c>
      <c r="BI405">
        <v>0</v>
      </c>
      <c r="BJ405">
        <v>1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 t="s">
        <v>296</v>
      </c>
      <c r="BT405" t="s">
        <v>367</v>
      </c>
      <c r="BU405" t="s">
        <v>362</v>
      </c>
      <c r="BV405" t="s">
        <v>371</v>
      </c>
    </row>
    <row r="406" spans="1:74" hidden="1" x14ac:dyDescent="0.2">
      <c r="A406">
        <v>418</v>
      </c>
      <c r="B406">
        <v>73</v>
      </c>
      <c r="C406" t="s">
        <v>150</v>
      </c>
      <c r="E406" t="s">
        <v>71</v>
      </c>
      <c r="F406">
        <v>30</v>
      </c>
      <c r="G406">
        <v>2000</v>
      </c>
      <c r="H406">
        <v>22</v>
      </c>
      <c r="I406" t="s">
        <v>69</v>
      </c>
      <c r="J406">
        <v>2</v>
      </c>
      <c r="K406" t="s">
        <v>416</v>
      </c>
      <c r="L406" t="s">
        <v>679</v>
      </c>
      <c r="M406">
        <v>7</v>
      </c>
      <c r="N406">
        <v>47</v>
      </c>
      <c r="O406" t="s">
        <v>568</v>
      </c>
      <c r="P406">
        <v>6</v>
      </c>
      <c r="Q406" t="s">
        <v>723</v>
      </c>
      <c r="R406" t="s">
        <v>758</v>
      </c>
      <c r="S406" t="s">
        <v>430</v>
      </c>
      <c r="T406" t="s">
        <v>401</v>
      </c>
      <c r="U406" t="s">
        <v>570</v>
      </c>
      <c r="V406" t="s">
        <v>471</v>
      </c>
      <c r="W406" t="s">
        <v>197</v>
      </c>
      <c r="X406" t="s">
        <v>196</v>
      </c>
      <c r="Y406" t="s">
        <v>274</v>
      </c>
      <c r="Z406">
        <v>7</v>
      </c>
      <c r="AA406">
        <v>5</v>
      </c>
      <c r="AB406">
        <v>5</v>
      </c>
      <c r="AC406">
        <v>1</v>
      </c>
      <c r="AD406">
        <v>6</v>
      </c>
      <c r="AE406">
        <v>5</v>
      </c>
      <c r="AF406">
        <v>2</v>
      </c>
      <c r="AG406">
        <v>7</v>
      </c>
      <c r="AH406">
        <v>1</v>
      </c>
      <c r="AI406">
        <v>1</v>
      </c>
      <c r="AJ406">
        <v>5</v>
      </c>
      <c r="AK406">
        <v>3</v>
      </c>
      <c r="AL406">
        <v>1</v>
      </c>
      <c r="AM406">
        <v>2</v>
      </c>
      <c r="AN406">
        <v>166</v>
      </c>
      <c r="AO406">
        <v>1</v>
      </c>
      <c r="AP406">
        <v>4</v>
      </c>
      <c r="AQ406">
        <v>4</v>
      </c>
      <c r="AR406">
        <v>2</v>
      </c>
      <c r="AS406">
        <v>2</v>
      </c>
      <c r="AT406">
        <v>1</v>
      </c>
      <c r="AU406">
        <v>6</v>
      </c>
      <c r="AV406">
        <v>2</v>
      </c>
      <c r="AW406">
        <v>5</v>
      </c>
      <c r="AX406">
        <v>2</v>
      </c>
      <c r="AY406" cm="1">
        <f t="array" ref="AY406">_xlfn.IFS(AZ406="Positive",1, AZ406="Negative",1, AZ406="Neutral",0)</f>
        <v>1</v>
      </c>
      <c r="AZ406" t="s">
        <v>196</v>
      </c>
      <c r="BA406">
        <v>12</v>
      </c>
      <c r="BB406">
        <v>2</v>
      </c>
      <c r="BC406" s="3">
        <v>6</v>
      </c>
      <c r="BD406" s="3">
        <v>0</v>
      </c>
      <c r="BE406" s="3">
        <v>3</v>
      </c>
      <c r="BF406" s="3">
        <v>1</v>
      </c>
      <c r="BG406" s="3">
        <v>2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2</v>
      </c>
      <c r="BS406" t="s">
        <v>567</v>
      </c>
      <c r="BT406" t="s">
        <v>484</v>
      </c>
      <c r="BU406" t="s">
        <v>569</v>
      </c>
      <c r="BV406" t="s">
        <v>486</v>
      </c>
    </row>
    <row r="407" spans="1:74" hidden="1" x14ac:dyDescent="0.2">
      <c r="A407">
        <v>419</v>
      </c>
      <c r="B407">
        <v>74</v>
      </c>
      <c r="C407" t="s">
        <v>151</v>
      </c>
      <c r="E407" t="s">
        <v>73</v>
      </c>
      <c r="F407">
        <v>27</v>
      </c>
      <c r="G407">
        <v>2000</v>
      </c>
      <c r="H407">
        <v>22</v>
      </c>
      <c r="I407" t="s">
        <v>69</v>
      </c>
      <c r="J407">
        <v>2</v>
      </c>
      <c r="K407" t="s">
        <v>644</v>
      </c>
      <c r="L407" t="s">
        <v>647</v>
      </c>
      <c r="M407">
        <v>4</v>
      </c>
      <c r="N407">
        <v>61</v>
      </c>
      <c r="O407" t="s">
        <v>384</v>
      </c>
      <c r="P407" t="s">
        <v>361</v>
      </c>
      <c r="Q407" t="s">
        <v>714</v>
      </c>
      <c r="R407" t="s">
        <v>717</v>
      </c>
      <c r="S407" t="s">
        <v>396</v>
      </c>
      <c r="T407" t="s">
        <v>292</v>
      </c>
      <c r="U407" t="s">
        <v>387</v>
      </c>
      <c r="V407" t="s">
        <v>366</v>
      </c>
      <c r="W407" t="s">
        <v>197</v>
      </c>
      <c r="X407" t="s">
        <v>196</v>
      </c>
      <c r="Y407" t="s">
        <v>274</v>
      </c>
      <c r="Z407">
        <v>7</v>
      </c>
      <c r="AA407">
        <v>2</v>
      </c>
      <c r="AB407">
        <v>6</v>
      </c>
      <c r="AC407">
        <v>7</v>
      </c>
      <c r="AD407">
        <v>1</v>
      </c>
      <c r="AE407">
        <v>7</v>
      </c>
      <c r="AF407">
        <v>4</v>
      </c>
      <c r="AG407">
        <v>3</v>
      </c>
      <c r="AH407">
        <v>5</v>
      </c>
      <c r="AI407">
        <v>6</v>
      </c>
      <c r="AJ407">
        <v>1</v>
      </c>
      <c r="AK407">
        <v>6</v>
      </c>
      <c r="AL407">
        <v>2</v>
      </c>
      <c r="AM407">
        <v>1</v>
      </c>
      <c r="AN407">
        <v>96</v>
      </c>
      <c r="AO407">
        <v>1</v>
      </c>
      <c r="AP407">
        <v>1</v>
      </c>
      <c r="AQ407">
        <v>7</v>
      </c>
      <c r="AR407">
        <v>7</v>
      </c>
      <c r="AS407">
        <v>5</v>
      </c>
      <c r="AT407">
        <v>6</v>
      </c>
      <c r="AU407">
        <v>7</v>
      </c>
      <c r="AV407">
        <v>4</v>
      </c>
      <c r="AW407">
        <v>7</v>
      </c>
      <c r="AX407">
        <v>1</v>
      </c>
      <c r="AY407" cm="1">
        <f t="array" ref="AY407">_xlfn.IFS(AZ407="Positive",1, AZ407="Negative",1, AZ407="Neutral",0)</f>
        <v>1</v>
      </c>
      <c r="AZ407" t="s">
        <v>196</v>
      </c>
      <c r="BA407">
        <v>11</v>
      </c>
      <c r="BB407">
        <v>6</v>
      </c>
      <c r="BC407" s="3">
        <v>8</v>
      </c>
      <c r="BD407" s="3">
        <v>0</v>
      </c>
      <c r="BE407" s="3">
        <v>0</v>
      </c>
      <c r="BF407" s="3">
        <v>1</v>
      </c>
      <c r="BG407" s="3">
        <v>2</v>
      </c>
      <c r="BH407">
        <v>0</v>
      </c>
      <c r="BI407">
        <v>0</v>
      </c>
      <c r="BJ407">
        <v>2</v>
      </c>
      <c r="BK407">
        <v>4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 t="s">
        <v>414</v>
      </c>
      <c r="BT407" t="s">
        <v>475</v>
      </c>
      <c r="BU407" t="s">
        <v>417</v>
      </c>
      <c r="BV407" t="s">
        <v>476</v>
      </c>
    </row>
    <row r="408" spans="1:74" hidden="1" x14ac:dyDescent="0.2">
      <c r="A408">
        <v>420</v>
      </c>
      <c r="B408">
        <v>75</v>
      </c>
      <c r="C408" t="s">
        <v>152</v>
      </c>
      <c r="E408" t="s">
        <v>88</v>
      </c>
      <c r="F408">
        <v>27</v>
      </c>
      <c r="G408">
        <v>2000</v>
      </c>
      <c r="H408">
        <v>22</v>
      </c>
      <c r="I408" t="s">
        <v>69</v>
      </c>
      <c r="J408">
        <v>2</v>
      </c>
      <c r="K408" t="s">
        <v>652</v>
      </c>
      <c r="L408" t="s">
        <v>689</v>
      </c>
      <c r="M408">
        <v>11</v>
      </c>
      <c r="N408">
        <v>43</v>
      </c>
      <c r="O408" t="s">
        <v>571</v>
      </c>
      <c r="P408" t="s">
        <v>572</v>
      </c>
      <c r="Q408" t="s">
        <v>753</v>
      </c>
      <c r="R408" t="s">
        <v>769</v>
      </c>
      <c r="S408" t="s">
        <v>514</v>
      </c>
      <c r="T408" t="s">
        <v>336</v>
      </c>
      <c r="U408" t="s">
        <v>573</v>
      </c>
      <c r="V408" t="s">
        <v>574</v>
      </c>
      <c r="W408" t="s">
        <v>197</v>
      </c>
      <c r="X408" t="s">
        <v>196</v>
      </c>
      <c r="Y408" t="s">
        <v>274</v>
      </c>
      <c r="Z408">
        <v>7</v>
      </c>
      <c r="AA408">
        <v>5</v>
      </c>
      <c r="AB408">
        <v>5</v>
      </c>
      <c r="AC408">
        <v>1</v>
      </c>
      <c r="AD408">
        <v>1</v>
      </c>
      <c r="AE408">
        <v>1</v>
      </c>
      <c r="AF408">
        <v>1</v>
      </c>
      <c r="AG408">
        <v>2</v>
      </c>
      <c r="AH408">
        <v>6</v>
      </c>
      <c r="AI408">
        <v>7</v>
      </c>
      <c r="AJ408">
        <v>1</v>
      </c>
      <c r="AK408">
        <v>4</v>
      </c>
      <c r="AL408">
        <v>1</v>
      </c>
      <c r="AM408">
        <v>1</v>
      </c>
      <c r="AN408">
        <v>84</v>
      </c>
      <c r="AO408">
        <v>1</v>
      </c>
      <c r="AP408">
        <v>1</v>
      </c>
      <c r="AQ408">
        <v>2</v>
      </c>
      <c r="AR408">
        <v>1</v>
      </c>
      <c r="AS408">
        <v>4</v>
      </c>
      <c r="AT408">
        <v>2</v>
      </c>
      <c r="AU408">
        <v>1</v>
      </c>
      <c r="AV408">
        <v>1</v>
      </c>
      <c r="AW408">
        <v>1</v>
      </c>
      <c r="AX408">
        <v>1</v>
      </c>
      <c r="AY408" cm="1">
        <f t="array" ref="AY408">_xlfn.IFS(AZ408="Positive",1, AZ408="Negative",1, AZ408="Neutral",0)</f>
        <v>1</v>
      </c>
      <c r="AZ408" t="s">
        <v>196</v>
      </c>
      <c r="BA408">
        <v>17</v>
      </c>
      <c r="BB408">
        <v>3</v>
      </c>
      <c r="BC408" s="3">
        <v>8</v>
      </c>
      <c r="BD408" s="3">
        <v>0</v>
      </c>
      <c r="BE408" s="3">
        <v>2</v>
      </c>
      <c r="BF408" s="3">
        <v>6</v>
      </c>
      <c r="BG408" s="3">
        <v>1</v>
      </c>
      <c r="BH408">
        <v>0</v>
      </c>
      <c r="BI408">
        <v>0</v>
      </c>
      <c r="BJ408">
        <v>3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 t="s">
        <v>399</v>
      </c>
      <c r="BT408">
        <v>3</v>
      </c>
      <c r="BU408" t="s">
        <v>400</v>
      </c>
      <c r="BV408" t="s">
        <v>309</v>
      </c>
    </row>
    <row r="409" spans="1:74" hidden="1" x14ac:dyDescent="0.2">
      <c r="A409">
        <v>421</v>
      </c>
      <c r="B409">
        <v>76</v>
      </c>
      <c r="C409" t="s">
        <v>153</v>
      </c>
      <c r="E409" t="s">
        <v>82</v>
      </c>
      <c r="F409">
        <v>15</v>
      </c>
      <c r="G409">
        <v>1999</v>
      </c>
      <c r="H409">
        <v>23</v>
      </c>
      <c r="I409" t="s">
        <v>64</v>
      </c>
      <c r="J409">
        <v>1</v>
      </c>
      <c r="K409" t="s">
        <v>658</v>
      </c>
      <c r="L409" t="s">
        <v>669</v>
      </c>
      <c r="M409">
        <v>11</v>
      </c>
      <c r="N409">
        <v>57</v>
      </c>
      <c r="O409" t="s">
        <v>346</v>
      </c>
      <c r="P409" t="s">
        <v>369</v>
      </c>
      <c r="Q409" t="s">
        <v>729</v>
      </c>
      <c r="R409" t="s">
        <v>745</v>
      </c>
      <c r="S409" t="s">
        <v>514</v>
      </c>
      <c r="T409" t="s">
        <v>575</v>
      </c>
      <c r="U409" t="s">
        <v>350</v>
      </c>
      <c r="V409" t="s">
        <v>374</v>
      </c>
      <c r="W409" t="s">
        <v>197</v>
      </c>
      <c r="X409" t="s">
        <v>196</v>
      </c>
      <c r="Y409" t="s">
        <v>274</v>
      </c>
      <c r="Z409">
        <v>7</v>
      </c>
      <c r="AA409">
        <v>6</v>
      </c>
      <c r="AB409">
        <v>6</v>
      </c>
      <c r="AC409">
        <v>5</v>
      </c>
      <c r="AD409">
        <v>1</v>
      </c>
      <c r="AE409">
        <v>5</v>
      </c>
      <c r="AF409">
        <v>2</v>
      </c>
      <c r="AG409">
        <v>6</v>
      </c>
      <c r="AH409">
        <v>6</v>
      </c>
      <c r="AI409">
        <v>6</v>
      </c>
      <c r="AJ409">
        <v>3</v>
      </c>
      <c r="AK409">
        <v>5</v>
      </c>
      <c r="AL409">
        <v>5</v>
      </c>
      <c r="AM409">
        <v>2</v>
      </c>
      <c r="AN409">
        <v>240</v>
      </c>
      <c r="AO409">
        <v>6</v>
      </c>
      <c r="AP409">
        <v>3</v>
      </c>
      <c r="AQ409">
        <v>4</v>
      </c>
      <c r="AR409">
        <v>5</v>
      </c>
      <c r="AS409">
        <v>6</v>
      </c>
      <c r="AT409">
        <v>5</v>
      </c>
      <c r="AU409">
        <v>6</v>
      </c>
      <c r="AV409">
        <v>5</v>
      </c>
      <c r="AW409">
        <v>6</v>
      </c>
      <c r="AX409">
        <v>2</v>
      </c>
      <c r="AY409" cm="1">
        <f t="array" ref="AY409">_xlfn.IFS(AZ409="Positive",1, AZ409="Negative",1, AZ409="Neutral",0)</f>
        <v>1</v>
      </c>
      <c r="AZ409" t="s">
        <v>196</v>
      </c>
      <c r="BA409">
        <v>8</v>
      </c>
      <c r="BB409">
        <v>0</v>
      </c>
      <c r="BC409" s="3">
        <v>7</v>
      </c>
      <c r="BD409" s="3">
        <v>0</v>
      </c>
      <c r="BE409" s="3">
        <v>1</v>
      </c>
      <c r="BF409" s="3">
        <v>0</v>
      </c>
      <c r="BG409" s="3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 t="s">
        <v>467</v>
      </c>
      <c r="BT409" t="s">
        <v>484</v>
      </c>
      <c r="BU409" t="s">
        <v>469</v>
      </c>
      <c r="BV409" t="s">
        <v>486</v>
      </c>
    </row>
    <row r="410" spans="1:74" hidden="1" x14ac:dyDescent="0.2">
      <c r="A410">
        <v>422</v>
      </c>
      <c r="B410">
        <v>77</v>
      </c>
      <c r="C410" t="s">
        <v>154</v>
      </c>
      <c r="E410" t="s">
        <v>73</v>
      </c>
      <c r="F410">
        <v>8</v>
      </c>
      <c r="G410">
        <v>2000</v>
      </c>
      <c r="H410">
        <v>22</v>
      </c>
      <c r="I410" t="s">
        <v>64</v>
      </c>
      <c r="J410">
        <v>1</v>
      </c>
      <c r="K410" t="s">
        <v>690</v>
      </c>
      <c r="L410" t="s">
        <v>650</v>
      </c>
      <c r="M410">
        <v>11</v>
      </c>
      <c r="N410">
        <v>56</v>
      </c>
      <c r="O410" t="s">
        <v>278</v>
      </c>
      <c r="P410" t="s">
        <v>307</v>
      </c>
      <c r="Q410" t="s">
        <v>770</v>
      </c>
      <c r="R410" t="s">
        <v>720</v>
      </c>
      <c r="S410" t="s">
        <v>514</v>
      </c>
      <c r="T410" t="s">
        <v>423</v>
      </c>
      <c r="U410" t="s">
        <v>380</v>
      </c>
      <c r="V410" t="s">
        <v>312</v>
      </c>
      <c r="W410" t="s">
        <v>197</v>
      </c>
      <c r="X410" t="s">
        <v>196</v>
      </c>
      <c r="Y410" t="s">
        <v>274</v>
      </c>
      <c r="Z410">
        <v>7</v>
      </c>
      <c r="AA410">
        <v>4</v>
      </c>
      <c r="AB410">
        <v>5</v>
      </c>
      <c r="AC410">
        <v>5</v>
      </c>
      <c r="AD410">
        <v>3</v>
      </c>
      <c r="AE410">
        <v>4</v>
      </c>
      <c r="AF410">
        <v>3</v>
      </c>
      <c r="AG410">
        <v>7</v>
      </c>
      <c r="AH410">
        <v>5</v>
      </c>
      <c r="AI410">
        <v>7</v>
      </c>
      <c r="AJ410">
        <v>1</v>
      </c>
      <c r="AK410">
        <v>4</v>
      </c>
      <c r="AL410">
        <v>4</v>
      </c>
      <c r="AM410">
        <v>1</v>
      </c>
      <c r="AN410">
        <v>9</v>
      </c>
      <c r="AO410">
        <v>2</v>
      </c>
      <c r="AP410">
        <v>1</v>
      </c>
      <c r="AQ410">
        <v>1</v>
      </c>
      <c r="AR410">
        <v>5</v>
      </c>
      <c r="AS410">
        <v>5</v>
      </c>
      <c r="AT410">
        <v>5</v>
      </c>
      <c r="AU410">
        <v>5</v>
      </c>
      <c r="AV410">
        <v>5</v>
      </c>
      <c r="AW410">
        <v>5</v>
      </c>
      <c r="AX410">
        <v>1</v>
      </c>
      <c r="AY410" cm="1">
        <f t="array" ref="AY410">_xlfn.IFS(AZ410="Positive",1, AZ410="Negative",1, AZ410="Neutral",0)</f>
        <v>1</v>
      </c>
      <c r="AZ410" t="s">
        <v>196</v>
      </c>
      <c r="BA410">
        <v>23</v>
      </c>
      <c r="BB410">
        <v>1</v>
      </c>
      <c r="BC410" s="3">
        <v>15</v>
      </c>
      <c r="BD410" s="3">
        <v>1</v>
      </c>
      <c r="BE410" s="3">
        <v>2</v>
      </c>
      <c r="BF410" s="3">
        <v>2</v>
      </c>
      <c r="BG410" s="3">
        <v>3</v>
      </c>
      <c r="BH410">
        <v>0</v>
      </c>
      <c r="BI410">
        <v>0</v>
      </c>
      <c r="BJ410">
        <v>1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 t="s">
        <v>313</v>
      </c>
      <c r="BT410" t="s">
        <v>576</v>
      </c>
      <c r="BU410" t="s">
        <v>316</v>
      </c>
      <c r="BV410" t="s">
        <v>577</v>
      </c>
    </row>
    <row r="411" spans="1:74" hidden="1" x14ac:dyDescent="0.2">
      <c r="A411">
        <v>423</v>
      </c>
      <c r="B411">
        <v>78</v>
      </c>
      <c r="C411" t="s">
        <v>155</v>
      </c>
      <c r="E411" t="s">
        <v>93</v>
      </c>
      <c r="F411">
        <v>7</v>
      </c>
      <c r="G411">
        <v>1999</v>
      </c>
      <c r="H411">
        <v>23</v>
      </c>
      <c r="I411" t="s">
        <v>64</v>
      </c>
      <c r="J411">
        <v>1</v>
      </c>
      <c r="K411" t="s">
        <v>664</v>
      </c>
      <c r="L411" t="s">
        <v>691</v>
      </c>
      <c r="M411">
        <v>4</v>
      </c>
      <c r="N411">
        <v>76</v>
      </c>
      <c r="O411" t="s">
        <v>562</v>
      </c>
      <c r="P411" t="s">
        <v>278</v>
      </c>
      <c r="Q411" t="s">
        <v>738</v>
      </c>
      <c r="R411" t="s">
        <v>771</v>
      </c>
      <c r="S411" t="s">
        <v>396</v>
      </c>
      <c r="T411" t="s">
        <v>580</v>
      </c>
      <c r="U411" t="s">
        <v>581</v>
      </c>
      <c r="V411" t="s">
        <v>284</v>
      </c>
      <c r="W411" t="s">
        <v>197</v>
      </c>
      <c r="X411" t="s">
        <v>196</v>
      </c>
      <c r="Y411" t="s">
        <v>274</v>
      </c>
      <c r="Z411">
        <v>7</v>
      </c>
      <c r="AA411">
        <v>6</v>
      </c>
      <c r="AB411">
        <v>6</v>
      </c>
      <c r="AC411">
        <v>6</v>
      </c>
      <c r="AD411">
        <v>1</v>
      </c>
      <c r="AE411">
        <v>4</v>
      </c>
      <c r="AF411">
        <v>2</v>
      </c>
      <c r="AG411">
        <v>2</v>
      </c>
      <c r="AH411">
        <v>4</v>
      </c>
      <c r="AI411">
        <v>5</v>
      </c>
      <c r="AJ411">
        <v>2</v>
      </c>
      <c r="AK411">
        <v>3</v>
      </c>
      <c r="AL411">
        <v>3</v>
      </c>
      <c r="AM411">
        <v>4</v>
      </c>
      <c r="AN411">
        <v>240</v>
      </c>
      <c r="AO411">
        <v>3</v>
      </c>
      <c r="AP411">
        <v>4</v>
      </c>
      <c r="AQ411">
        <v>7</v>
      </c>
      <c r="AR411">
        <v>4</v>
      </c>
      <c r="AS411">
        <v>5</v>
      </c>
      <c r="AT411">
        <v>5</v>
      </c>
      <c r="AU411">
        <v>4</v>
      </c>
      <c r="AV411">
        <v>6</v>
      </c>
      <c r="AW411">
        <v>7</v>
      </c>
      <c r="AX411">
        <v>2</v>
      </c>
      <c r="AY411" cm="1">
        <f t="array" ref="AY411">_xlfn.IFS(AZ411="Positive",1, AZ411="Negative",1, AZ411="Neutral",0)</f>
        <v>1</v>
      </c>
      <c r="AZ411" t="s">
        <v>196</v>
      </c>
      <c r="BA411">
        <v>6</v>
      </c>
      <c r="BB411">
        <v>0</v>
      </c>
      <c r="BC411" s="3">
        <v>5</v>
      </c>
      <c r="BD411" s="3">
        <v>0</v>
      </c>
      <c r="BE411" s="3">
        <v>1</v>
      </c>
      <c r="BF411" s="3">
        <v>0</v>
      </c>
      <c r="BG411" s="3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 t="s">
        <v>305</v>
      </c>
      <c r="BT411" t="s">
        <v>578</v>
      </c>
      <c r="BU411" t="s">
        <v>308</v>
      </c>
      <c r="BV411" t="s">
        <v>579</v>
      </c>
    </row>
    <row r="412" spans="1:74" hidden="1" x14ac:dyDescent="0.2">
      <c r="A412">
        <v>424</v>
      </c>
      <c r="B412">
        <v>79</v>
      </c>
      <c r="C412" t="s">
        <v>156</v>
      </c>
      <c r="E412" t="s">
        <v>93</v>
      </c>
      <c r="F412">
        <v>7</v>
      </c>
      <c r="G412">
        <v>1999</v>
      </c>
      <c r="H412">
        <v>23</v>
      </c>
      <c r="I412" t="s">
        <v>69</v>
      </c>
      <c r="J412">
        <v>2</v>
      </c>
      <c r="K412" t="s">
        <v>637</v>
      </c>
      <c r="L412" t="s">
        <v>679</v>
      </c>
      <c r="M412">
        <v>10</v>
      </c>
      <c r="N412">
        <v>62</v>
      </c>
      <c r="O412" t="s">
        <v>460</v>
      </c>
      <c r="P412" t="s">
        <v>288</v>
      </c>
      <c r="Q412" t="s">
        <v>706</v>
      </c>
      <c r="R412" t="s">
        <v>758</v>
      </c>
      <c r="S412" t="s">
        <v>378</v>
      </c>
      <c r="T412" t="s">
        <v>319</v>
      </c>
      <c r="U412" t="s">
        <v>582</v>
      </c>
      <c r="V412" t="s">
        <v>294</v>
      </c>
      <c r="W412" t="s">
        <v>197</v>
      </c>
      <c r="X412" t="s">
        <v>196</v>
      </c>
      <c r="Y412" t="s">
        <v>274</v>
      </c>
      <c r="Z412">
        <v>7</v>
      </c>
      <c r="AA412">
        <v>3</v>
      </c>
      <c r="AB412">
        <v>4</v>
      </c>
      <c r="AC412">
        <v>4</v>
      </c>
      <c r="AD412">
        <v>5</v>
      </c>
      <c r="AE412">
        <v>5</v>
      </c>
      <c r="AF412">
        <v>3</v>
      </c>
      <c r="AG412">
        <v>6</v>
      </c>
      <c r="AH412">
        <v>4</v>
      </c>
      <c r="AI412">
        <v>6</v>
      </c>
      <c r="AJ412">
        <v>2</v>
      </c>
      <c r="AK412">
        <v>4</v>
      </c>
      <c r="AL412">
        <v>3</v>
      </c>
      <c r="AM412">
        <v>1</v>
      </c>
      <c r="AN412">
        <v>163</v>
      </c>
      <c r="AO412">
        <v>5</v>
      </c>
      <c r="AP412">
        <v>5</v>
      </c>
      <c r="AQ412">
        <v>4</v>
      </c>
      <c r="AR412">
        <v>1</v>
      </c>
      <c r="AS412">
        <v>2</v>
      </c>
      <c r="AT412">
        <v>3</v>
      </c>
      <c r="AU412">
        <v>1</v>
      </c>
      <c r="AV412">
        <v>1</v>
      </c>
      <c r="AW412">
        <v>3</v>
      </c>
      <c r="AX412">
        <v>2</v>
      </c>
      <c r="AY412" cm="1">
        <f t="array" ref="AY412">_xlfn.IFS(AZ412="Positive",1, AZ412="Negative",1, AZ412="Neutral",0)</f>
        <v>1</v>
      </c>
      <c r="AZ412" t="s">
        <v>196</v>
      </c>
      <c r="BA412">
        <v>11</v>
      </c>
      <c r="BB412">
        <v>0</v>
      </c>
      <c r="BC412" s="3">
        <v>10</v>
      </c>
      <c r="BD412" s="3">
        <v>0</v>
      </c>
      <c r="BE412" s="3">
        <v>0</v>
      </c>
      <c r="BF412" s="3">
        <v>1</v>
      </c>
      <c r="BG412" s="3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 t="s">
        <v>567</v>
      </c>
      <c r="BT412">
        <v>2</v>
      </c>
      <c r="BU412" t="s">
        <v>569</v>
      </c>
      <c r="BV412" t="s">
        <v>340</v>
      </c>
    </row>
    <row r="413" spans="1:74" x14ac:dyDescent="0.2">
      <c r="A413">
        <v>425</v>
      </c>
      <c r="B413">
        <v>80</v>
      </c>
      <c r="C413" t="s">
        <v>157</v>
      </c>
      <c r="E413" t="s">
        <v>73</v>
      </c>
      <c r="F413">
        <v>10</v>
      </c>
      <c r="G413">
        <v>1999</v>
      </c>
      <c r="H413">
        <v>23</v>
      </c>
      <c r="I413" t="s">
        <v>64</v>
      </c>
      <c r="J413">
        <v>1</v>
      </c>
      <c r="K413" t="s">
        <v>651</v>
      </c>
      <c r="L413" t="s">
        <v>692</v>
      </c>
      <c r="M413">
        <v>11</v>
      </c>
      <c r="N413">
        <v>72</v>
      </c>
      <c r="O413" t="s">
        <v>408</v>
      </c>
      <c r="P413" t="s">
        <v>583</v>
      </c>
      <c r="Q413" t="s">
        <v>721</v>
      </c>
      <c r="R413" t="s">
        <v>772</v>
      </c>
      <c r="S413" t="s">
        <v>514</v>
      </c>
      <c r="T413" t="s">
        <v>379</v>
      </c>
      <c r="U413" t="s">
        <v>412</v>
      </c>
      <c r="V413" t="s">
        <v>584</v>
      </c>
      <c r="W413" t="s">
        <v>197</v>
      </c>
      <c r="X413" t="s">
        <v>196</v>
      </c>
      <c r="Y413" t="s">
        <v>274</v>
      </c>
      <c r="Z413">
        <v>7</v>
      </c>
      <c r="AA413">
        <v>7</v>
      </c>
      <c r="AB413">
        <v>7</v>
      </c>
      <c r="AC413">
        <v>7</v>
      </c>
      <c r="AD413">
        <v>1</v>
      </c>
      <c r="AE413">
        <v>2</v>
      </c>
      <c r="AF413">
        <v>2</v>
      </c>
      <c r="AG413">
        <v>4</v>
      </c>
      <c r="AH413">
        <v>7</v>
      </c>
      <c r="AI413">
        <v>7</v>
      </c>
      <c r="AJ413">
        <v>1</v>
      </c>
      <c r="AK413">
        <v>7</v>
      </c>
      <c r="AL413">
        <v>7</v>
      </c>
      <c r="AM413">
        <v>7</v>
      </c>
      <c r="AN413">
        <v>169</v>
      </c>
      <c r="AO413">
        <v>4</v>
      </c>
      <c r="AP413">
        <v>1</v>
      </c>
      <c r="AQ413">
        <v>6</v>
      </c>
      <c r="AR413">
        <v>4</v>
      </c>
      <c r="AS413">
        <v>4</v>
      </c>
      <c r="AT413">
        <v>4</v>
      </c>
      <c r="AU413">
        <v>4</v>
      </c>
      <c r="AV413">
        <v>4</v>
      </c>
      <c r="AW413">
        <v>4</v>
      </c>
      <c r="AX413">
        <v>1</v>
      </c>
      <c r="AY413" cm="1">
        <f t="array" ref="AY413">_xlfn.IFS(AZ413="Positive",1, AZ413="Negative",1, AZ413="Neutral",0)</f>
        <v>1</v>
      </c>
      <c r="AZ413" t="s">
        <v>196</v>
      </c>
      <c r="BA413">
        <v>0</v>
      </c>
      <c r="BB413">
        <v>3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>
        <v>0</v>
      </c>
      <c r="BI413">
        <v>0</v>
      </c>
      <c r="BJ413">
        <v>1</v>
      </c>
      <c r="BK413">
        <v>0</v>
      </c>
      <c r="BL413">
        <v>2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4</v>
      </c>
      <c r="BT413" t="s">
        <v>492</v>
      </c>
      <c r="BU413" t="s">
        <v>370</v>
      </c>
      <c r="BV413" t="s">
        <v>494</v>
      </c>
    </row>
    <row r="414" spans="1:74" hidden="1" x14ac:dyDescent="0.2">
      <c r="A414">
        <v>426</v>
      </c>
      <c r="B414">
        <v>81</v>
      </c>
      <c r="C414" t="s">
        <v>158</v>
      </c>
      <c r="E414" t="s">
        <v>97</v>
      </c>
      <c r="F414">
        <v>10</v>
      </c>
      <c r="G414">
        <v>2000</v>
      </c>
      <c r="H414">
        <v>22</v>
      </c>
      <c r="I414" t="s">
        <v>69</v>
      </c>
      <c r="J414">
        <v>2</v>
      </c>
      <c r="K414" t="s">
        <v>517</v>
      </c>
      <c r="L414" t="s">
        <v>693</v>
      </c>
      <c r="M414">
        <v>2</v>
      </c>
      <c r="N414">
        <v>49</v>
      </c>
      <c r="O414" t="s">
        <v>585</v>
      </c>
      <c r="P414" t="s">
        <v>277</v>
      </c>
      <c r="Q414" t="s">
        <v>744</v>
      </c>
      <c r="R414" t="s">
        <v>773</v>
      </c>
      <c r="S414" t="s">
        <v>281</v>
      </c>
      <c r="T414" t="s">
        <v>491</v>
      </c>
      <c r="U414" t="s">
        <v>587</v>
      </c>
      <c r="V414" t="s">
        <v>535</v>
      </c>
      <c r="W414" t="s">
        <v>197</v>
      </c>
      <c r="X414" t="s">
        <v>196</v>
      </c>
      <c r="Y414" t="s">
        <v>274</v>
      </c>
      <c r="Z414">
        <v>7</v>
      </c>
      <c r="AA414">
        <v>3</v>
      </c>
      <c r="AB414">
        <v>5</v>
      </c>
      <c r="AC414">
        <v>4</v>
      </c>
      <c r="AD414">
        <v>4</v>
      </c>
      <c r="AE414">
        <v>3</v>
      </c>
      <c r="AF414">
        <v>4</v>
      </c>
      <c r="AG414">
        <v>5</v>
      </c>
      <c r="AH414">
        <v>4</v>
      </c>
      <c r="AI414">
        <v>5</v>
      </c>
      <c r="AJ414">
        <v>4</v>
      </c>
      <c r="AK414">
        <v>3</v>
      </c>
      <c r="AL414">
        <v>2</v>
      </c>
      <c r="AM414">
        <v>2</v>
      </c>
      <c r="AN414">
        <v>175</v>
      </c>
      <c r="AO414">
        <v>3</v>
      </c>
      <c r="AP414">
        <v>3</v>
      </c>
      <c r="AQ414">
        <v>4</v>
      </c>
      <c r="AR414">
        <v>3</v>
      </c>
      <c r="AS414">
        <v>4</v>
      </c>
      <c r="AT414">
        <v>3</v>
      </c>
      <c r="AU414">
        <v>4</v>
      </c>
      <c r="AV414">
        <v>5</v>
      </c>
      <c r="AW414">
        <v>5</v>
      </c>
      <c r="AX414">
        <v>2</v>
      </c>
      <c r="AY414" cm="1">
        <f t="array" ref="AY414">_xlfn.IFS(AZ414="Positive",1, AZ414="Negative",1, AZ414="Neutral",0)</f>
        <v>1</v>
      </c>
      <c r="AZ414" t="s">
        <v>196</v>
      </c>
      <c r="BA414">
        <v>3</v>
      </c>
      <c r="BB414">
        <v>3</v>
      </c>
      <c r="BC414" s="3">
        <v>1</v>
      </c>
      <c r="BD414" s="3">
        <v>0</v>
      </c>
      <c r="BE414" s="3">
        <v>1</v>
      </c>
      <c r="BF414" s="3">
        <v>0</v>
      </c>
      <c r="BG414" s="3">
        <v>1</v>
      </c>
      <c r="BH414">
        <v>0</v>
      </c>
      <c r="BI414">
        <v>0</v>
      </c>
      <c r="BJ414">
        <v>2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1</v>
      </c>
      <c r="BR414">
        <v>0</v>
      </c>
      <c r="BS414" t="s">
        <v>492</v>
      </c>
      <c r="BT414" t="s">
        <v>345</v>
      </c>
      <c r="BU414" t="s">
        <v>586</v>
      </c>
      <c r="BV414" t="s">
        <v>348</v>
      </c>
    </row>
    <row r="415" spans="1:74" hidden="1" x14ac:dyDescent="0.2">
      <c r="A415">
        <v>427</v>
      </c>
      <c r="B415">
        <v>82</v>
      </c>
      <c r="C415" t="s">
        <v>159</v>
      </c>
      <c r="E415" t="s">
        <v>78</v>
      </c>
      <c r="F415">
        <v>11</v>
      </c>
      <c r="G415">
        <v>2000</v>
      </c>
      <c r="H415">
        <v>22</v>
      </c>
      <c r="I415" t="s">
        <v>69</v>
      </c>
      <c r="J415">
        <v>2</v>
      </c>
      <c r="K415" t="s">
        <v>694</v>
      </c>
      <c r="L415" t="s">
        <v>660</v>
      </c>
      <c r="M415">
        <v>16</v>
      </c>
      <c r="N415">
        <v>55</v>
      </c>
      <c r="O415" t="s">
        <v>572</v>
      </c>
      <c r="P415" t="s">
        <v>338</v>
      </c>
      <c r="Q415" t="s">
        <v>774</v>
      </c>
      <c r="R415" t="s">
        <v>733</v>
      </c>
      <c r="S415" t="s">
        <v>588</v>
      </c>
      <c r="T415" t="s">
        <v>404</v>
      </c>
      <c r="U415" t="s">
        <v>589</v>
      </c>
      <c r="V415" t="s">
        <v>504</v>
      </c>
      <c r="W415" t="s">
        <v>197</v>
      </c>
      <c r="X415" t="s">
        <v>196</v>
      </c>
      <c r="Y415" t="s">
        <v>274</v>
      </c>
      <c r="Z415">
        <v>7</v>
      </c>
      <c r="AA415">
        <v>3</v>
      </c>
      <c r="AB415">
        <v>5</v>
      </c>
      <c r="AC415">
        <v>5</v>
      </c>
      <c r="AD415">
        <v>2</v>
      </c>
      <c r="AE415">
        <v>3</v>
      </c>
      <c r="AF415">
        <v>4</v>
      </c>
      <c r="AG415">
        <v>2</v>
      </c>
      <c r="AH415">
        <v>4</v>
      </c>
      <c r="AI415">
        <v>5</v>
      </c>
      <c r="AJ415">
        <v>3</v>
      </c>
      <c r="AK415">
        <v>5</v>
      </c>
      <c r="AL415">
        <v>4</v>
      </c>
      <c r="AM415">
        <v>5</v>
      </c>
      <c r="AN415">
        <v>72</v>
      </c>
      <c r="AO415">
        <v>2</v>
      </c>
      <c r="AP415">
        <v>3</v>
      </c>
      <c r="AQ415">
        <v>6</v>
      </c>
      <c r="AR415">
        <v>3</v>
      </c>
      <c r="AS415">
        <v>5</v>
      </c>
      <c r="AT415">
        <v>3</v>
      </c>
      <c r="AU415">
        <v>3</v>
      </c>
      <c r="AV415">
        <v>5</v>
      </c>
      <c r="AW415">
        <v>2</v>
      </c>
      <c r="AX415">
        <v>2</v>
      </c>
      <c r="AY415" cm="1">
        <f t="array" ref="AY415">_xlfn.IFS(AZ415="Positive",1, AZ415="Negative",1, AZ415="Neutral",0)</f>
        <v>1</v>
      </c>
      <c r="AZ415" t="s">
        <v>196</v>
      </c>
      <c r="BA415">
        <v>5</v>
      </c>
      <c r="BB415">
        <v>0</v>
      </c>
      <c r="BC415" s="3">
        <v>4</v>
      </c>
      <c r="BD415" s="3">
        <v>0</v>
      </c>
      <c r="BE415" s="3">
        <v>1</v>
      </c>
      <c r="BF415" s="3">
        <v>0</v>
      </c>
      <c r="BG415" s="3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 t="s">
        <v>295</v>
      </c>
      <c r="BT415" t="s">
        <v>367</v>
      </c>
      <c r="BU415" t="s">
        <v>299</v>
      </c>
      <c r="BV415" t="s">
        <v>371</v>
      </c>
    </row>
    <row r="416" spans="1:74" hidden="1" x14ac:dyDescent="0.2">
      <c r="A416">
        <v>428</v>
      </c>
      <c r="B416">
        <v>83</v>
      </c>
      <c r="C416" t="s">
        <v>160</v>
      </c>
      <c r="E416" t="s">
        <v>68</v>
      </c>
      <c r="F416">
        <v>23</v>
      </c>
      <c r="G416">
        <v>1998</v>
      </c>
      <c r="H416">
        <v>24</v>
      </c>
      <c r="I416" t="s">
        <v>69</v>
      </c>
      <c r="J416">
        <v>2</v>
      </c>
      <c r="K416" t="s">
        <v>694</v>
      </c>
      <c r="L416" t="s">
        <v>662</v>
      </c>
      <c r="M416">
        <v>10</v>
      </c>
      <c r="N416">
        <v>68</v>
      </c>
      <c r="O416" t="s">
        <v>565</v>
      </c>
      <c r="P416" t="s">
        <v>314</v>
      </c>
      <c r="Q416" t="s">
        <v>774</v>
      </c>
      <c r="R416" t="s">
        <v>735</v>
      </c>
      <c r="S416" t="s">
        <v>378</v>
      </c>
      <c r="T416" t="s">
        <v>487</v>
      </c>
      <c r="U416" t="s">
        <v>566</v>
      </c>
      <c r="V416" t="s">
        <v>351</v>
      </c>
      <c r="W416" t="s">
        <v>197</v>
      </c>
      <c r="X416" t="s">
        <v>196</v>
      </c>
      <c r="Y416" t="s">
        <v>274</v>
      </c>
      <c r="Z416">
        <v>7</v>
      </c>
      <c r="AA416">
        <v>6</v>
      </c>
      <c r="AB416">
        <v>5</v>
      </c>
      <c r="AC416">
        <v>6</v>
      </c>
      <c r="AD416">
        <v>6</v>
      </c>
      <c r="AE416">
        <v>5</v>
      </c>
      <c r="AF416">
        <v>1</v>
      </c>
      <c r="AG416">
        <v>1</v>
      </c>
      <c r="AH416">
        <v>4</v>
      </c>
      <c r="AI416">
        <v>6</v>
      </c>
      <c r="AJ416">
        <v>1</v>
      </c>
      <c r="AK416">
        <v>7</v>
      </c>
      <c r="AL416">
        <v>6</v>
      </c>
      <c r="AM416">
        <v>4</v>
      </c>
      <c r="AN416">
        <v>158</v>
      </c>
      <c r="AO416">
        <v>1</v>
      </c>
      <c r="AP416">
        <v>1</v>
      </c>
      <c r="AQ416">
        <v>6</v>
      </c>
      <c r="AR416">
        <v>3</v>
      </c>
      <c r="AS416">
        <v>4</v>
      </c>
      <c r="AT416">
        <v>3</v>
      </c>
      <c r="AU416">
        <v>7</v>
      </c>
      <c r="AV416">
        <v>7</v>
      </c>
      <c r="AW416">
        <v>7</v>
      </c>
      <c r="AX416">
        <v>1</v>
      </c>
      <c r="AY416" cm="1">
        <f t="array" ref="AY416">_xlfn.IFS(AZ416="Positive",1, AZ416="Negative",1, AZ416="Neutral",0)</f>
        <v>1</v>
      </c>
      <c r="AZ416" t="s">
        <v>196</v>
      </c>
      <c r="BA416">
        <v>4</v>
      </c>
      <c r="BB416">
        <v>2</v>
      </c>
      <c r="BC416" s="3">
        <v>1</v>
      </c>
      <c r="BD416" s="3">
        <v>0</v>
      </c>
      <c r="BE416" s="3">
        <v>2</v>
      </c>
      <c r="BF416" s="3">
        <v>0</v>
      </c>
      <c r="BG416" s="3">
        <v>1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1</v>
      </c>
      <c r="BS416" t="s">
        <v>295</v>
      </c>
      <c r="BT416">
        <v>4</v>
      </c>
      <c r="BU416" t="s">
        <v>299</v>
      </c>
      <c r="BV416" t="s">
        <v>590</v>
      </c>
    </row>
    <row r="417" spans="1:74" hidden="1" x14ac:dyDescent="0.2">
      <c r="A417">
        <v>429</v>
      </c>
      <c r="B417">
        <v>84</v>
      </c>
      <c r="C417" t="s">
        <v>161</v>
      </c>
      <c r="E417" t="s">
        <v>71</v>
      </c>
      <c r="F417">
        <v>7</v>
      </c>
      <c r="G417">
        <v>2001</v>
      </c>
      <c r="H417">
        <v>21</v>
      </c>
      <c r="I417" t="s">
        <v>69</v>
      </c>
      <c r="J417">
        <v>2</v>
      </c>
      <c r="K417" t="s">
        <v>667</v>
      </c>
      <c r="L417" t="s">
        <v>689</v>
      </c>
      <c r="M417">
        <v>12</v>
      </c>
      <c r="N417">
        <v>46</v>
      </c>
      <c r="O417" t="s">
        <v>481</v>
      </c>
      <c r="P417" t="s">
        <v>369</v>
      </c>
      <c r="Q417" t="s">
        <v>741</v>
      </c>
      <c r="R417" t="s">
        <v>769</v>
      </c>
      <c r="S417" t="s">
        <v>499</v>
      </c>
      <c r="T417" t="s">
        <v>457</v>
      </c>
      <c r="U417" t="s">
        <v>593</v>
      </c>
      <c r="V417" t="s">
        <v>374</v>
      </c>
      <c r="W417" t="s">
        <v>197</v>
      </c>
      <c r="X417" t="s">
        <v>196</v>
      </c>
      <c r="Y417" t="s">
        <v>274</v>
      </c>
      <c r="Z417">
        <v>7</v>
      </c>
      <c r="AA417">
        <v>5</v>
      </c>
      <c r="AB417">
        <v>7</v>
      </c>
      <c r="AC417">
        <v>4</v>
      </c>
      <c r="AD417">
        <v>2</v>
      </c>
      <c r="AE417">
        <v>7</v>
      </c>
      <c r="AF417">
        <v>2</v>
      </c>
      <c r="AG417">
        <v>3</v>
      </c>
      <c r="AH417">
        <v>5</v>
      </c>
      <c r="AI417">
        <v>6</v>
      </c>
      <c r="AJ417">
        <v>2</v>
      </c>
      <c r="AK417">
        <v>5</v>
      </c>
      <c r="AL417">
        <v>3</v>
      </c>
      <c r="AM417">
        <v>6</v>
      </c>
      <c r="AN417">
        <v>54</v>
      </c>
      <c r="AO417">
        <v>5</v>
      </c>
      <c r="AP417">
        <v>2</v>
      </c>
      <c r="AQ417">
        <v>5</v>
      </c>
      <c r="AR417">
        <v>4</v>
      </c>
      <c r="AS417">
        <v>6</v>
      </c>
      <c r="AT417">
        <v>6</v>
      </c>
      <c r="AU417">
        <v>7</v>
      </c>
      <c r="AV417">
        <v>7</v>
      </c>
      <c r="AW417">
        <v>7</v>
      </c>
      <c r="AX417">
        <v>1</v>
      </c>
      <c r="AY417" cm="1">
        <f t="array" ref="AY417">_xlfn.IFS(AZ417="Positive",1, AZ417="Negative",1, AZ417="Neutral",0)</f>
        <v>1</v>
      </c>
      <c r="AZ417" t="s">
        <v>196</v>
      </c>
      <c r="BA417">
        <v>14</v>
      </c>
      <c r="BB417">
        <v>3</v>
      </c>
      <c r="BC417" s="3">
        <v>8</v>
      </c>
      <c r="BD417" s="3">
        <v>0</v>
      </c>
      <c r="BE417" s="3">
        <v>1</v>
      </c>
      <c r="BF417" s="3">
        <v>5</v>
      </c>
      <c r="BG417" s="3">
        <v>0</v>
      </c>
      <c r="BH417">
        <v>0</v>
      </c>
      <c r="BI417">
        <v>0</v>
      </c>
      <c r="BJ417">
        <v>1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2</v>
      </c>
      <c r="BR417">
        <v>0</v>
      </c>
      <c r="BS417" t="s">
        <v>464</v>
      </c>
      <c r="BT417" t="s">
        <v>516</v>
      </c>
      <c r="BU417" t="s">
        <v>591</v>
      </c>
      <c r="BV417" t="s">
        <v>592</v>
      </c>
    </row>
    <row r="418" spans="1:74" hidden="1" x14ac:dyDescent="0.2">
      <c r="A418">
        <v>430</v>
      </c>
      <c r="B418">
        <v>85</v>
      </c>
      <c r="C418" t="s">
        <v>162</v>
      </c>
      <c r="E418" t="s">
        <v>97</v>
      </c>
      <c r="F418">
        <v>9</v>
      </c>
      <c r="G418">
        <v>1999</v>
      </c>
      <c r="H418">
        <v>23</v>
      </c>
      <c r="I418" t="s">
        <v>64</v>
      </c>
      <c r="J418">
        <v>1</v>
      </c>
      <c r="K418" t="s">
        <v>661</v>
      </c>
      <c r="L418" t="s">
        <v>647</v>
      </c>
      <c r="M418">
        <v>7</v>
      </c>
      <c r="N418">
        <v>75</v>
      </c>
      <c r="O418" t="s">
        <v>542</v>
      </c>
      <c r="P418" t="s">
        <v>542</v>
      </c>
      <c r="Q418" t="s">
        <v>734</v>
      </c>
      <c r="R418" t="s">
        <v>717</v>
      </c>
      <c r="S418" t="s">
        <v>430</v>
      </c>
      <c r="T418" t="s">
        <v>507</v>
      </c>
      <c r="U418" t="s">
        <v>552</v>
      </c>
      <c r="V418" t="s">
        <v>543</v>
      </c>
      <c r="W418" t="s">
        <v>197</v>
      </c>
      <c r="X418" t="s">
        <v>196</v>
      </c>
      <c r="Y418" t="s">
        <v>274</v>
      </c>
      <c r="Z418">
        <v>7</v>
      </c>
      <c r="AA418">
        <v>2</v>
      </c>
      <c r="AB418">
        <v>5</v>
      </c>
      <c r="AC418">
        <v>6</v>
      </c>
      <c r="AD418">
        <v>5</v>
      </c>
      <c r="AE418">
        <v>2</v>
      </c>
      <c r="AF418">
        <v>2</v>
      </c>
      <c r="AG418">
        <v>5</v>
      </c>
      <c r="AH418">
        <v>2</v>
      </c>
      <c r="AI418">
        <v>4</v>
      </c>
      <c r="AJ418">
        <v>2</v>
      </c>
      <c r="AK418">
        <v>2</v>
      </c>
      <c r="AL418">
        <v>1</v>
      </c>
      <c r="AM418">
        <v>2</v>
      </c>
      <c r="AN418">
        <v>1</v>
      </c>
      <c r="AO418">
        <v>5</v>
      </c>
      <c r="AP418">
        <v>3</v>
      </c>
      <c r="AQ418">
        <v>2</v>
      </c>
      <c r="AR418">
        <v>3</v>
      </c>
      <c r="AS418">
        <v>6</v>
      </c>
      <c r="AT418">
        <v>5</v>
      </c>
      <c r="AU418">
        <v>4</v>
      </c>
      <c r="AV418">
        <v>2</v>
      </c>
      <c r="AW418">
        <v>4</v>
      </c>
      <c r="AX418">
        <v>2</v>
      </c>
      <c r="AY418" cm="1">
        <f t="array" ref="AY418">_xlfn.IFS(AZ418="Positive",1, AZ418="Negative",1, AZ418="Neutral",0)</f>
        <v>1</v>
      </c>
      <c r="AZ418" t="s">
        <v>196</v>
      </c>
      <c r="BA418">
        <v>12</v>
      </c>
      <c r="BB418">
        <v>0</v>
      </c>
      <c r="BC418" s="3">
        <v>5</v>
      </c>
      <c r="BD418" s="3">
        <v>0</v>
      </c>
      <c r="BE418" s="3">
        <v>4</v>
      </c>
      <c r="BF418" s="3">
        <v>2</v>
      </c>
      <c r="BG418" s="3">
        <v>1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 t="s">
        <v>567</v>
      </c>
      <c r="BT418" t="s">
        <v>475</v>
      </c>
      <c r="BU418" t="s">
        <v>569</v>
      </c>
      <c r="BV418" t="s">
        <v>476</v>
      </c>
    </row>
    <row r="419" spans="1:74" hidden="1" x14ac:dyDescent="0.2">
      <c r="A419">
        <v>431</v>
      </c>
      <c r="B419">
        <v>86</v>
      </c>
      <c r="C419" t="s">
        <v>163</v>
      </c>
      <c r="E419" t="s">
        <v>71</v>
      </c>
      <c r="F419">
        <v>10</v>
      </c>
      <c r="G419">
        <v>2000</v>
      </c>
      <c r="H419">
        <v>22</v>
      </c>
      <c r="I419" t="s">
        <v>164</v>
      </c>
      <c r="J419">
        <v>3</v>
      </c>
      <c r="K419" t="s">
        <v>694</v>
      </c>
      <c r="L419" t="s">
        <v>688</v>
      </c>
      <c r="M419">
        <v>5</v>
      </c>
      <c r="N419">
        <v>63</v>
      </c>
      <c r="O419" t="s">
        <v>353</v>
      </c>
      <c r="P419" t="s">
        <v>307</v>
      </c>
      <c r="Q419" t="s">
        <v>774</v>
      </c>
      <c r="R419" t="s">
        <v>768</v>
      </c>
      <c r="S419" t="s">
        <v>318</v>
      </c>
      <c r="T419" t="s">
        <v>477</v>
      </c>
      <c r="U419" t="s">
        <v>358</v>
      </c>
      <c r="V419" t="s">
        <v>312</v>
      </c>
      <c r="W419" t="s">
        <v>197</v>
      </c>
      <c r="X419" t="s">
        <v>196</v>
      </c>
      <c r="Y419" t="s">
        <v>274</v>
      </c>
      <c r="Z419">
        <v>7</v>
      </c>
      <c r="AA419">
        <v>7</v>
      </c>
      <c r="AB419">
        <v>7</v>
      </c>
      <c r="AC419">
        <v>7</v>
      </c>
      <c r="AD419">
        <v>7</v>
      </c>
      <c r="AE419">
        <v>7</v>
      </c>
      <c r="AF419">
        <v>7</v>
      </c>
      <c r="AG419">
        <v>1</v>
      </c>
      <c r="AH419">
        <v>7</v>
      </c>
      <c r="AI419">
        <v>5</v>
      </c>
      <c r="AJ419">
        <v>1</v>
      </c>
      <c r="AK419">
        <v>1</v>
      </c>
      <c r="AL419">
        <v>3</v>
      </c>
      <c r="AM419">
        <v>1</v>
      </c>
      <c r="AN419">
        <v>80</v>
      </c>
      <c r="AO419">
        <v>6</v>
      </c>
      <c r="AP419">
        <v>3</v>
      </c>
      <c r="AQ419">
        <v>1</v>
      </c>
      <c r="AR419">
        <v>7</v>
      </c>
      <c r="AS419">
        <v>7</v>
      </c>
      <c r="AT419">
        <v>7</v>
      </c>
      <c r="AU419">
        <v>7</v>
      </c>
      <c r="AV419">
        <v>7</v>
      </c>
      <c r="AW419">
        <v>7</v>
      </c>
      <c r="AX419">
        <v>2</v>
      </c>
      <c r="AY419" cm="1">
        <f t="array" ref="AY419">_xlfn.IFS(AZ419="Positive",1, AZ419="Negative",1, AZ419="Neutral",0)</f>
        <v>1</v>
      </c>
      <c r="AZ419" t="s">
        <v>196</v>
      </c>
      <c r="BA419">
        <v>5</v>
      </c>
      <c r="BB419">
        <v>1</v>
      </c>
      <c r="BC419" s="3">
        <v>2</v>
      </c>
      <c r="BD419" s="3">
        <v>0</v>
      </c>
      <c r="BE419" s="3">
        <v>2</v>
      </c>
      <c r="BF419" s="3">
        <v>0</v>
      </c>
      <c r="BG419" s="3">
        <v>1</v>
      </c>
      <c r="BH419">
        <v>0</v>
      </c>
      <c r="BI419">
        <v>0</v>
      </c>
      <c r="BJ419">
        <v>0</v>
      </c>
      <c r="BK419">
        <v>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 t="s">
        <v>295</v>
      </c>
      <c r="BT419" t="s">
        <v>480</v>
      </c>
      <c r="BU419" t="s">
        <v>299</v>
      </c>
      <c r="BV419" t="s">
        <v>482</v>
      </c>
    </row>
    <row r="420" spans="1:74" hidden="1" x14ac:dyDescent="0.2">
      <c r="A420">
        <v>432</v>
      </c>
      <c r="B420">
        <v>87</v>
      </c>
      <c r="C420" t="s">
        <v>165</v>
      </c>
      <c r="E420" t="s">
        <v>68</v>
      </c>
      <c r="F420">
        <v>8</v>
      </c>
      <c r="G420">
        <v>1999</v>
      </c>
      <c r="H420">
        <v>23</v>
      </c>
      <c r="I420" t="s">
        <v>64</v>
      </c>
      <c r="J420">
        <v>1</v>
      </c>
      <c r="K420" t="s">
        <v>678</v>
      </c>
      <c r="L420" t="s">
        <v>654</v>
      </c>
      <c r="M420">
        <v>14</v>
      </c>
      <c r="N420">
        <v>57</v>
      </c>
      <c r="O420">
        <v>7</v>
      </c>
      <c r="P420">
        <v>7</v>
      </c>
      <c r="Q420" t="s">
        <v>757</v>
      </c>
      <c r="R420" t="s">
        <v>728</v>
      </c>
      <c r="S420" t="s">
        <v>550</v>
      </c>
      <c r="T420" t="s">
        <v>575</v>
      </c>
      <c r="U420" t="s">
        <v>508</v>
      </c>
      <c r="V420" t="s">
        <v>594</v>
      </c>
      <c r="W420" t="s">
        <v>197</v>
      </c>
      <c r="X420" t="s">
        <v>196</v>
      </c>
      <c r="Y420" t="s">
        <v>274</v>
      </c>
      <c r="Z420">
        <v>7</v>
      </c>
      <c r="AA420">
        <v>6</v>
      </c>
      <c r="AB420">
        <v>7</v>
      </c>
      <c r="AC420">
        <v>7</v>
      </c>
      <c r="AD420">
        <v>5</v>
      </c>
      <c r="AE420">
        <v>2</v>
      </c>
      <c r="AF420">
        <v>1</v>
      </c>
      <c r="AG420">
        <v>1</v>
      </c>
      <c r="AH420">
        <v>6</v>
      </c>
      <c r="AI420">
        <v>7</v>
      </c>
      <c r="AJ420">
        <v>1</v>
      </c>
      <c r="AK420">
        <v>5</v>
      </c>
      <c r="AL420">
        <v>5</v>
      </c>
      <c r="AM420">
        <v>4</v>
      </c>
      <c r="AN420">
        <v>6</v>
      </c>
      <c r="AO420">
        <v>5</v>
      </c>
      <c r="AP420">
        <v>1</v>
      </c>
      <c r="AQ420">
        <v>7</v>
      </c>
      <c r="AR420">
        <v>7</v>
      </c>
      <c r="AS420">
        <v>7</v>
      </c>
      <c r="AT420">
        <v>7</v>
      </c>
      <c r="AU420">
        <v>7</v>
      </c>
      <c r="AV420">
        <v>7</v>
      </c>
      <c r="AW420">
        <v>7</v>
      </c>
      <c r="AX420">
        <v>1</v>
      </c>
      <c r="AY420" cm="1">
        <f t="array" ref="AY420">_xlfn.IFS(AZ420="Positive",1, AZ420="Negative",1, AZ420="Neutral",0)</f>
        <v>1</v>
      </c>
      <c r="AZ420" t="s">
        <v>196</v>
      </c>
      <c r="BA420">
        <v>11</v>
      </c>
      <c r="BB420">
        <v>1</v>
      </c>
      <c r="BC420" s="3">
        <v>7</v>
      </c>
      <c r="BD420" s="3">
        <v>0</v>
      </c>
      <c r="BE420" s="3">
        <v>3</v>
      </c>
      <c r="BF420" s="3">
        <v>1</v>
      </c>
      <c r="BG420" s="3">
        <v>0</v>
      </c>
      <c r="BH420">
        <v>0</v>
      </c>
      <c r="BI420">
        <v>0</v>
      </c>
      <c r="BJ420">
        <v>0</v>
      </c>
      <c r="BK420">
        <v>1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 t="s">
        <v>405</v>
      </c>
      <c r="BT420" t="s">
        <v>276</v>
      </c>
      <c r="BU420" t="s">
        <v>406</v>
      </c>
      <c r="BV420" t="s">
        <v>280</v>
      </c>
    </row>
    <row r="421" spans="1:74" hidden="1" x14ac:dyDescent="0.2">
      <c r="B421">
        <v>88</v>
      </c>
      <c r="C421" t="s">
        <v>166</v>
      </c>
      <c r="E421" t="s">
        <v>82</v>
      </c>
      <c r="F421">
        <v>1</v>
      </c>
      <c r="G421">
        <v>2000</v>
      </c>
      <c r="H421">
        <v>22</v>
      </c>
      <c r="I421" t="s">
        <v>64</v>
      </c>
      <c r="J421">
        <v>1</v>
      </c>
      <c r="K421" t="s">
        <v>644</v>
      </c>
      <c r="L421" t="s">
        <v>679</v>
      </c>
      <c r="M421">
        <v>11</v>
      </c>
      <c r="N421">
        <v>59</v>
      </c>
      <c r="O421" t="s">
        <v>394</v>
      </c>
      <c r="P421" t="s">
        <v>481</v>
      </c>
      <c r="Q421" t="s">
        <v>714</v>
      </c>
      <c r="R421" t="s">
        <v>758</v>
      </c>
      <c r="S421" t="s">
        <v>514</v>
      </c>
      <c r="T421" t="s">
        <v>341</v>
      </c>
      <c r="U421" t="s">
        <v>478</v>
      </c>
      <c r="V421" t="s">
        <v>483</v>
      </c>
      <c r="W421" t="s">
        <v>197</v>
      </c>
      <c r="X421" t="s">
        <v>196</v>
      </c>
      <c r="Y421" t="s">
        <v>274</v>
      </c>
      <c r="Z421">
        <v>7</v>
      </c>
      <c r="AA421">
        <v>7</v>
      </c>
      <c r="AB421">
        <v>7</v>
      </c>
      <c r="AC421">
        <v>6</v>
      </c>
      <c r="AD421">
        <v>5</v>
      </c>
      <c r="AE421">
        <v>7</v>
      </c>
      <c r="AF421">
        <v>2</v>
      </c>
      <c r="AG421">
        <v>3</v>
      </c>
      <c r="AH421">
        <v>6</v>
      </c>
      <c r="AI421">
        <v>5</v>
      </c>
      <c r="AJ421">
        <v>6</v>
      </c>
      <c r="AK421">
        <v>4</v>
      </c>
      <c r="AL421">
        <v>4</v>
      </c>
      <c r="AM421">
        <v>3</v>
      </c>
      <c r="AN421">
        <v>96</v>
      </c>
      <c r="AO421">
        <v>1</v>
      </c>
      <c r="AP421">
        <v>6</v>
      </c>
      <c r="AQ421">
        <v>6</v>
      </c>
      <c r="AR421">
        <v>5</v>
      </c>
      <c r="AS421">
        <v>5</v>
      </c>
      <c r="AT421">
        <v>6</v>
      </c>
      <c r="AU421">
        <v>5</v>
      </c>
      <c r="AV421">
        <v>6</v>
      </c>
      <c r="AW421">
        <v>5</v>
      </c>
      <c r="AX421">
        <v>3</v>
      </c>
      <c r="AY421">
        <v>1</v>
      </c>
      <c r="AZ421" t="s">
        <v>196</v>
      </c>
      <c r="BA421">
        <f>SUM(BC421:BG421)</f>
        <v>15</v>
      </c>
      <c r="BB421">
        <f>SUM(BH421:BR421)</f>
        <v>3</v>
      </c>
      <c r="BC421" s="3">
        <v>10</v>
      </c>
      <c r="BD421" s="3">
        <v>0</v>
      </c>
      <c r="BE421" s="3">
        <v>2</v>
      </c>
      <c r="BF421" s="3">
        <v>1</v>
      </c>
      <c r="BG421" s="3">
        <v>2</v>
      </c>
      <c r="BH421">
        <v>0</v>
      </c>
      <c r="BI421">
        <v>0</v>
      </c>
      <c r="BJ421">
        <v>2</v>
      </c>
      <c r="BK421">
        <v>0</v>
      </c>
      <c r="BL421">
        <v>1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 t="s">
        <v>296</v>
      </c>
      <c r="BT421" t="s">
        <v>595</v>
      </c>
      <c r="BU421" t="s">
        <v>362</v>
      </c>
      <c r="BV421" t="s">
        <v>596</v>
      </c>
    </row>
    <row r="422" spans="1:74" hidden="1" x14ac:dyDescent="0.2">
      <c r="A422">
        <v>434</v>
      </c>
      <c r="B422">
        <v>89</v>
      </c>
      <c r="C422" t="s">
        <v>167</v>
      </c>
      <c r="E422" t="s">
        <v>88</v>
      </c>
      <c r="F422">
        <v>1</v>
      </c>
      <c r="G422">
        <v>2000</v>
      </c>
      <c r="H422">
        <v>22</v>
      </c>
      <c r="I422" t="s">
        <v>64</v>
      </c>
      <c r="J422">
        <v>1</v>
      </c>
      <c r="K422" t="s">
        <v>655</v>
      </c>
      <c r="L422" t="s">
        <v>647</v>
      </c>
      <c r="M422">
        <v>4</v>
      </c>
      <c r="N422">
        <v>69</v>
      </c>
      <c r="O422" t="s">
        <v>325</v>
      </c>
      <c r="P422" t="s">
        <v>307</v>
      </c>
      <c r="Q422" t="s">
        <v>725</v>
      </c>
      <c r="R422" t="s">
        <v>717</v>
      </c>
      <c r="S422" t="s">
        <v>396</v>
      </c>
      <c r="T422" t="s">
        <v>357</v>
      </c>
      <c r="U422" t="s">
        <v>597</v>
      </c>
      <c r="V422" t="s">
        <v>312</v>
      </c>
      <c r="W422" t="s">
        <v>197</v>
      </c>
      <c r="X422" t="s">
        <v>196</v>
      </c>
      <c r="Y422" t="s">
        <v>274</v>
      </c>
      <c r="Z422">
        <v>7</v>
      </c>
      <c r="AA422">
        <v>7</v>
      </c>
      <c r="AB422">
        <v>6</v>
      </c>
      <c r="AC422">
        <v>6</v>
      </c>
      <c r="AD422">
        <v>4</v>
      </c>
      <c r="AE422">
        <v>4</v>
      </c>
      <c r="AF422">
        <v>4</v>
      </c>
      <c r="AG422">
        <v>2</v>
      </c>
      <c r="AH422">
        <v>5</v>
      </c>
      <c r="AI422">
        <v>7</v>
      </c>
      <c r="AJ422">
        <v>1</v>
      </c>
      <c r="AK422">
        <v>6</v>
      </c>
      <c r="AL422">
        <v>5</v>
      </c>
      <c r="AM422">
        <v>4</v>
      </c>
      <c r="AN422">
        <v>53</v>
      </c>
      <c r="AO422">
        <v>3</v>
      </c>
      <c r="AP422">
        <v>2</v>
      </c>
      <c r="AQ422">
        <v>6</v>
      </c>
      <c r="AR422">
        <v>5</v>
      </c>
      <c r="AS422">
        <v>5</v>
      </c>
      <c r="AT422">
        <v>6</v>
      </c>
      <c r="AU422">
        <v>3</v>
      </c>
      <c r="AV422">
        <v>5</v>
      </c>
      <c r="AW422">
        <v>4</v>
      </c>
      <c r="AX422">
        <v>1</v>
      </c>
      <c r="AY422" cm="1">
        <f t="array" ref="AY422">_xlfn.IFS(AZ422="Positive",1, AZ422="Negative",1, AZ422="Neutral",0)</f>
        <v>1</v>
      </c>
      <c r="AZ422" t="s">
        <v>196</v>
      </c>
      <c r="BA422">
        <v>5</v>
      </c>
      <c r="BB422">
        <v>0</v>
      </c>
      <c r="BC422" s="3">
        <v>3</v>
      </c>
      <c r="BD422" s="3">
        <v>0</v>
      </c>
      <c r="BE422" s="3">
        <v>1</v>
      </c>
      <c r="BF422" s="3">
        <v>0</v>
      </c>
      <c r="BG422" s="3">
        <v>1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 t="s">
        <v>567</v>
      </c>
      <c r="BT422" t="s">
        <v>475</v>
      </c>
      <c r="BU422" t="s">
        <v>569</v>
      </c>
      <c r="BV422" t="s">
        <v>476</v>
      </c>
    </row>
    <row r="423" spans="1:74" hidden="1" x14ac:dyDescent="0.2">
      <c r="A423">
        <v>435</v>
      </c>
      <c r="B423">
        <v>90</v>
      </c>
      <c r="C423" t="s">
        <v>168</v>
      </c>
      <c r="E423" t="s">
        <v>88</v>
      </c>
      <c r="F423">
        <v>18</v>
      </c>
      <c r="G423">
        <v>1999</v>
      </c>
      <c r="H423">
        <v>23</v>
      </c>
      <c r="I423" t="s">
        <v>64</v>
      </c>
      <c r="J423">
        <v>1</v>
      </c>
      <c r="K423" t="s">
        <v>637</v>
      </c>
      <c r="L423" t="s">
        <v>647</v>
      </c>
      <c r="M423">
        <v>16</v>
      </c>
      <c r="N423">
        <v>53</v>
      </c>
      <c r="O423" t="s">
        <v>598</v>
      </c>
      <c r="P423" t="s">
        <v>481</v>
      </c>
      <c r="Q423" t="s">
        <v>706</v>
      </c>
      <c r="R423" t="s">
        <v>717</v>
      </c>
      <c r="S423" t="s">
        <v>588</v>
      </c>
      <c r="T423" t="s">
        <v>522</v>
      </c>
      <c r="U423" t="s">
        <v>599</v>
      </c>
      <c r="V423" t="s">
        <v>483</v>
      </c>
      <c r="W423" t="s">
        <v>197</v>
      </c>
      <c r="X423" t="s">
        <v>196</v>
      </c>
      <c r="Y423" t="s">
        <v>274</v>
      </c>
      <c r="Z423">
        <v>7</v>
      </c>
      <c r="AA423">
        <v>2</v>
      </c>
      <c r="AB423">
        <v>7</v>
      </c>
      <c r="AC423">
        <v>5</v>
      </c>
      <c r="AD423">
        <v>1</v>
      </c>
      <c r="AE423">
        <v>2</v>
      </c>
      <c r="AF423">
        <v>1</v>
      </c>
      <c r="AG423">
        <v>1</v>
      </c>
      <c r="AH423">
        <v>6</v>
      </c>
      <c r="AI423">
        <v>7</v>
      </c>
      <c r="AJ423">
        <v>1</v>
      </c>
      <c r="AK423">
        <v>6</v>
      </c>
      <c r="AL423">
        <v>7</v>
      </c>
      <c r="AM423">
        <v>7</v>
      </c>
      <c r="AN423">
        <v>88</v>
      </c>
      <c r="AO423">
        <v>1</v>
      </c>
      <c r="AP423">
        <v>2</v>
      </c>
      <c r="AQ423">
        <v>5</v>
      </c>
      <c r="AR423">
        <v>2</v>
      </c>
      <c r="AS423">
        <v>5</v>
      </c>
      <c r="AT423">
        <v>5</v>
      </c>
      <c r="AU423">
        <v>5</v>
      </c>
      <c r="AV423">
        <v>2</v>
      </c>
      <c r="AW423">
        <v>5</v>
      </c>
      <c r="AX423">
        <v>1</v>
      </c>
      <c r="AY423" cm="1">
        <f t="array" ref="AY423">_xlfn.IFS(AZ423="Positive",1, AZ423="Negative",1, AZ423="Neutral",0)</f>
        <v>1</v>
      </c>
      <c r="AZ423" t="s">
        <v>196</v>
      </c>
      <c r="BA423">
        <v>4</v>
      </c>
      <c r="BB423">
        <v>1</v>
      </c>
      <c r="BC423" s="3">
        <v>1</v>
      </c>
      <c r="BD423" s="3">
        <v>0</v>
      </c>
      <c r="BE423" s="3">
        <v>2</v>
      </c>
      <c r="BF423" s="3">
        <v>0</v>
      </c>
      <c r="BG423" s="3">
        <v>1</v>
      </c>
      <c r="BH423">
        <v>0</v>
      </c>
      <c r="BI423">
        <v>0</v>
      </c>
      <c r="BJ423">
        <v>1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 t="s">
        <v>285</v>
      </c>
      <c r="BT423" t="s">
        <v>548</v>
      </c>
      <c r="BU423" t="s">
        <v>289</v>
      </c>
      <c r="BV423" t="s">
        <v>549</v>
      </c>
    </row>
    <row r="424" spans="1:74" hidden="1" x14ac:dyDescent="0.2">
      <c r="A424">
        <v>436</v>
      </c>
      <c r="B424">
        <v>91</v>
      </c>
      <c r="C424" t="s">
        <v>169</v>
      </c>
      <c r="E424" t="s">
        <v>88</v>
      </c>
      <c r="F424">
        <v>15</v>
      </c>
      <c r="G424">
        <v>1999</v>
      </c>
      <c r="H424">
        <v>23</v>
      </c>
      <c r="I424" t="s">
        <v>69</v>
      </c>
      <c r="J424">
        <v>2</v>
      </c>
      <c r="K424" t="s">
        <v>642</v>
      </c>
      <c r="L424" t="s">
        <v>634</v>
      </c>
      <c r="M424">
        <v>19</v>
      </c>
      <c r="N424">
        <v>66</v>
      </c>
      <c r="O424" t="s">
        <v>600</v>
      </c>
      <c r="P424">
        <v>5</v>
      </c>
      <c r="Q424" t="s">
        <v>712</v>
      </c>
      <c r="R424" t="s">
        <v>747</v>
      </c>
      <c r="S424" t="s">
        <v>356</v>
      </c>
      <c r="T424" t="s">
        <v>282</v>
      </c>
      <c r="U424" t="s">
        <v>601</v>
      </c>
      <c r="V424" t="s">
        <v>524</v>
      </c>
      <c r="W424" t="s">
        <v>197</v>
      </c>
      <c r="X424" t="s">
        <v>196</v>
      </c>
      <c r="Y424" t="s">
        <v>274</v>
      </c>
      <c r="Z424">
        <v>7</v>
      </c>
      <c r="AA424">
        <v>5</v>
      </c>
      <c r="AB424">
        <v>5</v>
      </c>
      <c r="AC424">
        <v>2</v>
      </c>
      <c r="AD424">
        <v>5</v>
      </c>
      <c r="AE424">
        <v>1</v>
      </c>
      <c r="AF424">
        <v>5</v>
      </c>
      <c r="AG424">
        <v>6</v>
      </c>
      <c r="AH424">
        <v>2</v>
      </c>
      <c r="AI424">
        <v>6</v>
      </c>
      <c r="AJ424">
        <v>1</v>
      </c>
      <c r="AK424">
        <v>3</v>
      </c>
      <c r="AL424">
        <v>5</v>
      </c>
      <c r="AM424">
        <v>4</v>
      </c>
      <c r="AN424">
        <v>96</v>
      </c>
      <c r="AO424">
        <v>1</v>
      </c>
      <c r="AP424">
        <v>4</v>
      </c>
      <c r="AQ424">
        <v>1</v>
      </c>
      <c r="AR424">
        <v>2</v>
      </c>
      <c r="AS424">
        <v>2</v>
      </c>
      <c r="AT424">
        <v>2</v>
      </c>
      <c r="AU424">
        <v>2</v>
      </c>
      <c r="AV424">
        <v>5</v>
      </c>
      <c r="AW424">
        <v>2</v>
      </c>
      <c r="AX424">
        <v>2</v>
      </c>
      <c r="AY424" cm="1">
        <f t="array" ref="AY424">_xlfn.IFS(AZ424="Positive",1, AZ424="Negative",1, AZ424="Neutral",0)</f>
        <v>1</v>
      </c>
      <c r="AZ424" t="s">
        <v>196</v>
      </c>
      <c r="BA424">
        <v>8</v>
      </c>
      <c r="BB424">
        <v>2</v>
      </c>
      <c r="BC424" s="3">
        <v>4</v>
      </c>
      <c r="BD424" s="3">
        <v>0</v>
      </c>
      <c r="BE424" s="3">
        <v>2</v>
      </c>
      <c r="BF424" s="3">
        <v>1</v>
      </c>
      <c r="BG424" s="3">
        <v>1</v>
      </c>
      <c r="BH424">
        <v>0</v>
      </c>
      <c r="BI424">
        <v>0</v>
      </c>
      <c r="BJ424">
        <v>1</v>
      </c>
      <c r="BK424">
        <v>0</v>
      </c>
      <c r="BL424">
        <v>0</v>
      </c>
      <c r="BM424">
        <v>1</v>
      </c>
      <c r="BN424">
        <v>0</v>
      </c>
      <c r="BO424">
        <v>0</v>
      </c>
      <c r="BP424">
        <v>0</v>
      </c>
      <c r="BQ424">
        <v>0</v>
      </c>
      <c r="BR424">
        <v>0</v>
      </c>
      <c r="BS424" t="s">
        <v>492</v>
      </c>
      <c r="BT424" t="s">
        <v>489</v>
      </c>
      <c r="BU424" t="s">
        <v>586</v>
      </c>
      <c r="BV424" t="s">
        <v>512</v>
      </c>
    </row>
    <row r="425" spans="1:74" hidden="1" x14ac:dyDescent="0.2">
      <c r="A425">
        <v>437</v>
      </c>
      <c r="B425">
        <v>92</v>
      </c>
      <c r="C425" t="s">
        <v>170</v>
      </c>
      <c r="E425" t="s">
        <v>68</v>
      </c>
      <c r="F425">
        <v>24</v>
      </c>
      <c r="G425">
        <v>1999</v>
      </c>
      <c r="H425">
        <v>23</v>
      </c>
      <c r="I425" t="s">
        <v>69</v>
      </c>
      <c r="J425">
        <v>2</v>
      </c>
      <c r="K425" t="s">
        <v>687</v>
      </c>
      <c r="L425" t="s">
        <v>669</v>
      </c>
      <c r="M425">
        <v>6</v>
      </c>
      <c r="N425">
        <v>50</v>
      </c>
      <c r="O425" t="s">
        <v>360</v>
      </c>
      <c r="P425" t="s">
        <v>442</v>
      </c>
      <c r="Q425" t="s">
        <v>767</v>
      </c>
      <c r="R425" t="s">
        <v>745</v>
      </c>
      <c r="S425" t="s">
        <v>403</v>
      </c>
      <c r="T425" t="s">
        <v>538</v>
      </c>
      <c r="U425" t="s">
        <v>365</v>
      </c>
      <c r="V425" t="s">
        <v>602</v>
      </c>
      <c r="W425" t="s">
        <v>197</v>
      </c>
      <c r="X425" t="s">
        <v>196</v>
      </c>
      <c r="Y425" t="s">
        <v>274</v>
      </c>
      <c r="Z425">
        <v>7</v>
      </c>
      <c r="AA425">
        <v>3</v>
      </c>
      <c r="AB425">
        <v>3</v>
      </c>
      <c r="AC425">
        <v>2</v>
      </c>
      <c r="AD425">
        <v>2</v>
      </c>
      <c r="AE425">
        <v>3</v>
      </c>
      <c r="AF425">
        <v>5</v>
      </c>
      <c r="AG425">
        <v>3</v>
      </c>
      <c r="AH425">
        <v>2</v>
      </c>
      <c r="AI425">
        <v>6</v>
      </c>
      <c r="AJ425">
        <v>1</v>
      </c>
      <c r="AK425">
        <v>2</v>
      </c>
      <c r="AL425">
        <v>3</v>
      </c>
      <c r="AM425">
        <v>2</v>
      </c>
      <c r="AN425">
        <v>5</v>
      </c>
      <c r="AO425">
        <v>2</v>
      </c>
      <c r="AP425">
        <v>2</v>
      </c>
      <c r="AQ425">
        <v>2</v>
      </c>
      <c r="AR425">
        <v>3</v>
      </c>
      <c r="AS425">
        <v>3</v>
      </c>
      <c r="AT425">
        <v>3</v>
      </c>
      <c r="AU425">
        <v>2</v>
      </c>
      <c r="AV425">
        <v>2</v>
      </c>
      <c r="AW425">
        <v>2</v>
      </c>
      <c r="AX425">
        <v>1</v>
      </c>
      <c r="AY425" cm="1">
        <f t="array" ref="AY425">_xlfn.IFS(AZ425="Positive",1, AZ425="Negative",1, AZ425="Neutral",0)</f>
        <v>1</v>
      </c>
      <c r="AZ425" t="s">
        <v>196</v>
      </c>
      <c r="BA425">
        <v>10</v>
      </c>
      <c r="BB425">
        <v>1</v>
      </c>
      <c r="BC425" s="3">
        <v>6</v>
      </c>
      <c r="BD425" s="3">
        <v>1</v>
      </c>
      <c r="BE425" s="3">
        <v>3</v>
      </c>
      <c r="BF425" s="3">
        <v>0</v>
      </c>
      <c r="BG425" s="3">
        <v>0</v>
      </c>
      <c r="BH425">
        <v>0</v>
      </c>
      <c r="BI425">
        <v>0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 t="s">
        <v>467</v>
      </c>
      <c r="BT425" t="s">
        <v>475</v>
      </c>
      <c r="BU425" t="s">
        <v>469</v>
      </c>
      <c r="BV425" t="s">
        <v>476</v>
      </c>
    </row>
    <row r="426" spans="1:74" x14ac:dyDescent="0.2">
      <c r="A426">
        <v>438</v>
      </c>
      <c r="B426">
        <v>93</v>
      </c>
      <c r="C426" t="s">
        <v>171</v>
      </c>
      <c r="E426" t="s">
        <v>82</v>
      </c>
      <c r="F426">
        <v>4</v>
      </c>
      <c r="G426">
        <v>1998</v>
      </c>
      <c r="H426">
        <v>24</v>
      </c>
      <c r="I426" t="s">
        <v>64</v>
      </c>
      <c r="J426">
        <v>1</v>
      </c>
      <c r="K426" t="s">
        <v>695</v>
      </c>
      <c r="L426" t="s">
        <v>675</v>
      </c>
      <c r="M426">
        <v>9</v>
      </c>
      <c r="N426">
        <v>62</v>
      </c>
      <c r="O426" t="s">
        <v>324</v>
      </c>
      <c r="P426" t="s">
        <v>389</v>
      </c>
      <c r="Q426" t="s">
        <v>781</v>
      </c>
      <c r="R426" t="s">
        <v>754</v>
      </c>
      <c r="S426" t="s">
        <v>349</v>
      </c>
      <c r="T426" t="s">
        <v>319</v>
      </c>
      <c r="U426" t="s">
        <v>330</v>
      </c>
      <c r="V426" t="s">
        <v>392</v>
      </c>
      <c r="W426" t="s">
        <v>197</v>
      </c>
      <c r="X426" t="s">
        <v>196</v>
      </c>
      <c r="Y426" t="s">
        <v>274</v>
      </c>
      <c r="Z426">
        <v>7</v>
      </c>
      <c r="AA426">
        <v>4</v>
      </c>
      <c r="AB426">
        <v>6</v>
      </c>
      <c r="AC426">
        <v>3</v>
      </c>
      <c r="AD426">
        <v>3</v>
      </c>
      <c r="AE426">
        <v>3</v>
      </c>
      <c r="AF426">
        <v>3</v>
      </c>
      <c r="AG426">
        <v>4</v>
      </c>
      <c r="AH426">
        <v>6</v>
      </c>
      <c r="AI426">
        <v>4</v>
      </c>
      <c r="AJ426">
        <v>4</v>
      </c>
      <c r="AK426">
        <v>3</v>
      </c>
      <c r="AL426">
        <v>3</v>
      </c>
      <c r="AM426">
        <v>1</v>
      </c>
      <c r="AN426">
        <v>1</v>
      </c>
      <c r="AO426">
        <v>2</v>
      </c>
      <c r="AP426">
        <v>4</v>
      </c>
      <c r="AQ426">
        <v>4</v>
      </c>
      <c r="AR426">
        <v>3</v>
      </c>
      <c r="AS426">
        <v>3</v>
      </c>
      <c r="AT426">
        <v>3</v>
      </c>
      <c r="AU426">
        <v>4</v>
      </c>
      <c r="AV426">
        <v>5</v>
      </c>
      <c r="AW426">
        <v>6</v>
      </c>
      <c r="AX426">
        <v>2</v>
      </c>
      <c r="AY426" cm="1">
        <f t="array" ref="AY426">_xlfn.IFS(AZ426="Positive",1, AZ426="Negative",1, AZ426="Neutral",0)</f>
        <v>1</v>
      </c>
      <c r="AZ426" t="s">
        <v>196</v>
      </c>
      <c r="BA426">
        <v>0</v>
      </c>
      <c r="BB426">
        <v>4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>
        <v>0</v>
      </c>
      <c r="BI426">
        <v>0</v>
      </c>
      <c r="BJ426">
        <v>2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2</v>
      </c>
      <c r="BS426" t="s">
        <v>276</v>
      </c>
      <c r="BT426" t="s">
        <v>492</v>
      </c>
      <c r="BU426" t="s">
        <v>631</v>
      </c>
      <c r="BV426" t="s">
        <v>494</v>
      </c>
    </row>
    <row r="427" spans="1:74" x14ac:dyDescent="0.2">
      <c r="A427">
        <v>439</v>
      </c>
      <c r="B427">
        <v>94</v>
      </c>
      <c r="C427" t="s">
        <v>172</v>
      </c>
      <c r="E427" t="s">
        <v>80</v>
      </c>
      <c r="F427">
        <v>15</v>
      </c>
      <c r="G427">
        <v>1999</v>
      </c>
      <c r="H427">
        <v>23</v>
      </c>
      <c r="I427" t="s">
        <v>64</v>
      </c>
      <c r="J427">
        <v>1</v>
      </c>
      <c r="K427" t="s">
        <v>655</v>
      </c>
      <c r="L427" t="s">
        <v>665</v>
      </c>
      <c r="M427">
        <v>10</v>
      </c>
      <c r="N427">
        <v>56</v>
      </c>
      <c r="O427" t="s">
        <v>306</v>
      </c>
      <c r="P427" t="s">
        <v>603</v>
      </c>
      <c r="Q427" t="s">
        <v>725</v>
      </c>
      <c r="R427" t="s">
        <v>739</v>
      </c>
      <c r="S427" t="s">
        <v>378</v>
      </c>
      <c r="T427" t="s">
        <v>423</v>
      </c>
      <c r="U427" t="s">
        <v>311</v>
      </c>
      <c r="V427" t="s">
        <v>604</v>
      </c>
      <c r="W427" t="s">
        <v>197</v>
      </c>
      <c r="X427" t="s">
        <v>196</v>
      </c>
      <c r="Y427" t="s">
        <v>274</v>
      </c>
      <c r="Z427">
        <v>7</v>
      </c>
      <c r="AA427">
        <v>7</v>
      </c>
      <c r="AB427">
        <v>7</v>
      </c>
      <c r="AC427">
        <v>7</v>
      </c>
      <c r="AD427">
        <v>1</v>
      </c>
      <c r="AE427">
        <v>1</v>
      </c>
      <c r="AF427">
        <v>1</v>
      </c>
      <c r="AG427">
        <v>1</v>
      </c>
      <c r="AH427">
        <v>7</v>
      </c>
      <c r="AI427">
        <v>7</v>
      </c>
      <c r="AJ427">
        <v>1</v>
      </c>
      <c r="AK427">
        <v>7</v>
      </c>
      <c r="AL427">
        <v>7</v>
      </c>
      <c r="AM427">
        <v>7</v>
      </c>
      <c r="AN427">
        <v>14</v>
      </c>
      <c r="AO427">
        <v>1</v>
      </c>
      <c r="AP427">
        <v>1</v>
      </c>
      <c r="AQ427">
        <v>7</v>
      </c>
      <c r="AR427">
        <v>7</v>
      </c>
      <c r="AS427">
        <v>7</v>
      </c>
      <c r="AT427">
        <v>7</v>
      </c>
      <c r="AU427">
        <v>7</v>
      </c>
      <c r="AV427">
        <v>7</v>
      </c>
      <c r="AW427">
        <v>1</v>
      </c>
      <c r="AX427">
        <v>1</v>
      </c>
      <c r="AY427" cm="1">
        <f t="array" ref="AY427">_xlfn.IFS(AZ427="Positive",1, AZ427="Negative",1, AZ427="Neutral",0)</f>
        <v>1</v>
      </c>
      <c r="AZ427" t="s">
        <v>196</v>
      </c>
      <c r="BA427">
        <v>0</v>
      </c>
      <c r="BB427">
        <v>1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4</v>
      </c>
      <c r="BT427" t="s">
        <v>322</v>
      </c>
      <c r="BU427" t="s">
        <v>370</v>
      </c>
      <c r="BV427" t="s">
        <v>422</v>
      </c>
    </row>
    <row r="428" spans="1:74" hidden="1" x14ac:dyDescent="0.2">
      <c r="A428">
        <v>440</v>
      </c>
      <c r="B428">
        <v>95</v>
      </c>
      <c r="C428" t="s">
        <v>173</v>
      </c>
      <c r="E428" t="s">
        <v>71</v>
      </c>
      <c r="F428">
        <v>29</v>
      </c>
      <c r="G428">
        <v>1999</v>
      </c>
      <c r="H428">
        <v>23</v>
      </c>
      <c r="I428" t="s">
        <v>64</v>
      </c>
      <c r="J428">
        <v>1</v>
      </c>
      <c r="K428" t="s">
        <v>696</v>
      </c>
      <c r="L428" t="s">
        <v>697</v>
      </c>
      <c r="M428">
        <v>8</v>
      </c>
      <c r="N428">
        <v>54</v>
      </c>
      <c r="O428" t="s">
        <v>485</v>
      </c>
      <c r="P428" t="s">
        <v>338</v>
      </c>
      <c r="Q428" t="s">
        <v>775</v>
      </c>
      <c r="R428" t="s">
        <v>776</v>
      </c>
      <c r="S428" t="s">
        <v>291</v>
      </c>
      <c r="T428" t="s">
        <v>455</v>
      </c>
      <c r="U428" t="s">
        <v>488</v>
      </c>
      <c r="V428" t="s">
        <v>504</v>
      </c>
      <c r="W428" t="s">
        <v>197</v>
      </c>
      <c r="X428" t="s">
        <v>196</v>
      </c>
      <c r="Y428" t="s">
        <v>274</v>
      </c>
      <c r="Z428">
        <v>7</v>
      </c>
      <c r="AA428">
        <v>6</v>
      </c>
      <c r="AB428">
        <v>6</v>
      </c>
      <c r="AC428">
        <v>4</v>
      </c>
      <c r="AD428">
        <v>2</v>
      </c>
      <c r="AE428">
        <v>5</v>
      </c>
      <c r="AF428">
        <v>2</v>
      </c>
      <c r="AG428">
        <v>2</v>
      </c>
      <c r="AH428">
        <v>6</v>
      </c>
      <c r="AI428">
        <v>6</v>
      </c>
      <c r="AJ428">
        <v>1</v>
      </c>
      <c r="AK428">
        <v>6</v>
      </c>
      <c r="AL428">
        <v>6</v>
      </c>
      <c r="AM428">
        <v>2</v>
      </c>
      <c r="AN428">
        <v>11</v>
      </c>
      <c r="AO428">
        <v>3</v>
      </c>
      <c r="AP428">
        <v>1</v>
      </c>
      <c r="AQ428">
        <v>4</v>
      </c>
      <c r="AR428">
        <v>4</v>
      </c>
      <c r="AS428">
        <v>3</v>
      </c>
      <c r="AT428">
        <v>5</v>
      </c>
      <c r="AU428">
        <v>5</v>
      </c>
      <c r="AV428">
        <v>5</v>
      </c>
      <c r="AW428">
        <v>6</v>
      </c>
      <c r="AX428">
        <v>1</v>
      </c>
      <c r="AY428" cm="1">
        <f t="array" ref="AY428">_xlfn.IFS(AZ428="Positive",1, AZ428="Negative",1, AZ428="Neutral",0)</f>
        <v>1</v>
      </c>
      <c r="AZ428" t="s">
        <v>196</v>
      </c>
      <c r="BA428">
        <v>6</v>
      </c>
      <c r="BB428">
        <v>0</v>
      </c>
      <c r="BC428" s="3">
        <v>4</v>
      </c>
      <c r="BD428" s="3">
        <v>0</v>
      </c>
      <c r="BE428" s="3">
        <v>1</v>
      </c>
      <c r="BF428" s="3">
        <v>1</v>
      </c>
      <c r="BG428" s="3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2</v>
      </c>
      <c r="BT428" t="s">
        <v>605</v>
      </c>
      <c r="BU428" t="s">
        <v>333</v>
      </c>
      <c r="BV428" t="s">
        <v>606</v>
      </c>
    </row>
    <row r="429" spans="1:74" hidden="1" x14ac:dyDescent="0.2">
      <c r="A429">
        <v>441</v>
      </c>
      <c r="B429">
        <v>96</v>
      </c>
      <c r="C429" t="s">
        <v>174</v>
      </c>
      <c r="E429" t="s">
        <v>71</v>
      </c>
      <c r="F429">
        <v>22</v>
      </c>
      <c r="G429">
        <v>1999</v>
      </c>
      <c r="H429">
        <v>23</v>
      </c>
      <c r="I429" t="s">
        <v>64</v>
      </c>
      <c r="J429">
        <v>1</v>
      </c>
      <c r="K429" t="s">
        <v>658</v>
      </c>
      <c r="L429" t="s">
        <v>698</v>
      </c>
      <c r="M429">
        <v>2</v>
      </c>
      <c r="N429">
        <v>61</v>
      </c>
      <c r="O429" t="s">
        <v>607</v>
      </c>
      <c r="P429" t="s">
        <v>608</v>
      </c>
      <c r="Q429" t="s">
        <v>729</v>
      </c>
      <c r="R429" t="s">
        <v>777</v>
      </c>
      <c r="S429" t="s">
        <v>281</v>
      </c>
      <c r="T429" t="s">
        <v>292</v>
      </c>
      <c r="U429" t="s">
        <v>609</v>
      </c>
      <c r="V429" t="s">
        <v>610</v>
      </c>
      <c r="W429" t="s">
        <v>197</v>
      </c>
      <c r="X429" t="s">
        <v>196</v>
      </c>
      <c r="Y429" t="s">
        <v>274</v>
      </c>
      <c r="Z429">
        <v>7</v>
      </c>
      <c r="AA429">
        <v>6</v>
      </c>
      <c r="AB429">
        <v>6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5</v>
      </c>
      <c r="AI429">
        <v>7</v>
      </c>
      <c r="AJ429">
        <v>1</v>
      </c>
      <c r="AK429">
        <v>5</v>
      </c>
      <c r="AL429">
        <v>2</v>
      </c>
      <c r="AM429">
        <v>4</v>
      </c>
      <c r="AN429">
        <v>145</v>
      </c>
      <c r="AO429">
        <v>1</v>
      </c>
      <c r="AP429">
        <v>2</v>
      </c>
      <c r="AQ429">
        <v>5</v>
      </c>
      <c r="AR429">
        <v>1</v>
      </c>
      <c r="AS429">
        <v>1</v>
      </c>
      <c r="AT429">
        <v>3</v>
      </c>
      <c r="AU429">
        <v>2</v>
      </c>
      <c r="AV429">
        <v>4</v>
      </c>
      <c r="AW429">
        <v>4</v>
      </c>
      <c r="AX429">
        <v>1</v>
      </c>
      <c r="AY429" cm="1">
        <f t="array" ref="AY429">_xlfn.IFS(AZ429="Positive",1, AZ429="Negative",1, AZ429="Neutral",0)</f>
        <v>1</v>
      </c>
      <c r="AZ429" t="s">
        <v>196</v>
      </c>
      <c r="BA429">
        <v>5</v>
      </c>
      <c r="BB429">
        <v>0</v>
      </c>
      <c r="BC429" s="3">
        <v>1</v>
      </c>
      <c r="BD429" s="3">
        <v>0</v>
      </c>
      <c r="BE429" s="3">
        <v>2</v>
      </c>
      <c r="BF429" s="3">
        <v>0</v>
      </c>
      <c r="BG429" s="3">
        <v>2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 t="s">
        <v>399</v>
      </c>
      <c r="BT429" t="s">
        <v>559</v>
      </c>
      <c r="BU429" t="s">
        <v>400</v>
      </c>
      <c r="BV429" t="s">
        <v>560</v>
      </c>
    </row>
    <row r="430" spans="1:74" hidden="1" x14ac:dyDescent="0.2">
      <c r="A430">
        <v>442</v>
      </c>
      <c r="B430">
        <v>97</v>
      </c>
      <c r="C430" t="s">
        <v>175</v>
      </c>
      <c r="E430" t="s">
        <v>93</v>
      </c>
      <c r="F430">
        <v>4</v>
      </c>
      <c r="G430">
        <v>1998</v>
      </c>
      <c r="H430">
        <v>24</v>
      </c>
      <c r="I430" t="s">
        <v>64</v>
      </c>
      <c r="J430">
        <v>1</v>
      </c>
      <c r="K430" t="s">
        <v>699</v>
      </c>
      <c r="L430" t="s">
        <v>680</v>
      </c>
      <c r="M430">
        <v>6</v>
      </c>
      <c r="N430">
        <v>67</v>
      </c>
      <c r="O430">
        <v>6</v>
      </c>
      <c r="P430" t="s">
        <v>611</v>
      </c>
      <c r="Q430" t="s">
        <v>778</v>
      </c>
      <c r="R430" t="s">
        <v>759</v>
      </c>
      <c r="S430" t="s">
        <v>403</v>
      </c>
      <c r="T430" t="s">
        <v>431</v>
      </c>
      <c r="U430" t="s">
        <v>436</v>
      </c>
      <c r="V430" t="s">
        <v>612</v>
      </c>
      <c r="W430" t="s">
        <v>197</v>
      </c>
      <c r="X430" t="s">
        <v>196</v>
      </c>
      <c r="Y430" t="s">
        <v>274</v>
      </c>
      <c r="Z430">
        <v>7</v>
      </c>
      <c r="AA430">
        <v>7</v>
      </c>
      <c r="AB430">
        <v>7</v>
      </c>
      <c r="AC430">
        <v>7</v>
      </c>
      <c r="AD430">
        <v>1</v>
      </c>
      <c r="AE430">
        <v>7</v>
      </c>
      <c r="AF430">
        <v>1</v>
      </c>
      <c r="AG430">
        <v>1</v>
      </c>
      <c r="AH430">
        <v>7</v>
      </c>
      <c r="AI430">
        <v>7</v>
      </c>
      <c r="AJ430">
        <v>1</v>
      </c>
      <c r="AK430">
        <v>5</v>
      </c>
      <c r="AL430">
        <v>6</v>
      </c>
      <c r="AM430">
        <v>2</v>
      </c>
      <c r="AN430">
        <v>5</v>
      </c>
      <c r="AO430">
        <v>1</v>
      </c>
      <c r="AP430">
        <v>1</v>
      </c>
      <c r="AQ430">
        <v>6</v>
      </c>
      <c r="AR430">
        <v>7</v>
      </c>
      <c r="AS430">
        <v>7</v>
      </c>
      <c r="AT430">
        <v>7</v>
      </c>
      <c r="AU430">
        <v>7</v>
      </c>
      <c r="AV430">
        <v>7</v>
      </c>
      <c r="AW430">
        <v>7</v>
      </c>
      <c r="AX430">
        <v>1</v>
      </c>
      <c r="AY430" cm="1">
        <f t="array" ref="AY430">_xlfn.IFS(AZ430="Positive",1, AZ430="Negative",1, AZ430="Neutral",0)</f>
        <v>1</v>
      </c>
      <c r="AZ430" t="s">
        <v>196</v>
      </c>
      <c r="BA430">
        <v>13</v>
      </c>
      <c r="BB430">
        <v>3</v>
      </c>
      <c r="BC430" s="3">
        <v>6</v>
      </c>
      <c r="BD430" s="3">
        <v>0</v>
      </c>
      <c r="BE430" s="3">
        <v>2</v>
      </c>
      <c r="BF430" s="3">
        <v>0</v>
      </c>
      <c r="BG430" s="3">
        <v>5</v>
      </c>
      <c r="BH430">
        <v>1</v>
      </c>
      <c r="BI430">
        <v>0</v>
      </c>
      <c r="BJ430">
        <v>1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0</v>
      </c>
      <c r="BS430" t="s">
        <v>296</v>
      </c>
      <c r="BT430">
        <v>1</v>
      </c>
      <c r="BU430" t="s">
        <v>362</v>
      </c>
      <c r="BV430" t="s">
        <v>521</v>
      </c>
    </row>
    <row r="431" spans="1:74" hidden="1" x14ac:dyDescent="0.2">
      <c r="A431">
        <v>443</v>
      </c>
      <c r="B431">
        <v>98</v>
      </c>
      <c r="C431" t="s">
        <v>176</v>
      </c>
      <c r="E431" t="s">
        <v>76</v>
      </c>
      <c r="F431">
        <v>23</v>
      </c>
      <c r="G431">
        <v>2001</v>
      </c>
      <c r="H431">
        <v>21</v>
      </c>
      <c r="I431" t="s">
        <v>64</v>
      </c>
      <c r="J431">
        <v>1</v>
      </c>
      <c r="K431" t="s">
        <v>456</v>
      </c>
      <c r="L431" t="s">
        <v>645</v>
      </c>
      <c r="M431">
        <v>12</v>
      </c>
      <c r="N431">
        <v>71</v>
      </c>
      <c r="O431" t="s">
        <v>405</v>
      </c>
      <c r="P431" t="s">
        <v>314</v>
      </c>
      <c r="Q431" t="s">
        <v>736</v>
      </c>
      <c r="R431" t="s">
        <v>715</v>
      </c>
      <c r="S431" t="s">
        <v>499</v>
      </c>
      <c r="T431" t="s">
        <v>329</v>
      </c>
      <c r="U431" t="s">
        <v>615</v>
      </c>
      <c r="V431" t="s">
        <v>351</v>
      </c>
      <c r="W431" t="s">
        <v>197</v>
      </c>
      <c r="X431" t="s">
        <v>196</v>
      </c>
      <c r="Y431" t="s">
        <v>274</v>
      </c>
      <c r="Z431">
        <v>7</v>
      </c>
      <c r="AA431">
        <v>2</v>
      </c>
      <c r="AB431">
        <v>5</v>
      </c>
      <c r="AC431">
        <v>5</v>
      </c>
      <c r="AD431">
        <v>1</v>
      </c>
      <c r="AE431">
        <v>1</v>
      </c>
      <c r="AF431">
        <v>1</v>
      </c>
      <c r="AG431">
        <v>6</v>
      </c>
      <c r="AH431">
        <v>2</v>
      </c>
      <c r="AI431">
        <v>5</v>
      </c>
      <c r="AJ431">
        <v>1</v>
      </c>
      <c r="AK431">
        <v>1</v>
      </c>
      <c r="AL431">
        <v>1</v>
      </c>
      <c r="AM431">
        <v>1</v>
      </c>
      <c r="AN431">
        <v>48</v>
      </c>
      <c r="AO431">
        <v>1</v>
      </c>
      <c r="AP431">
        <v>2</v>
      </c>
      <c r="AQ431">
        <v>1</v>
      </c>
      <c r="AR431">
        <v>1</v>
      </c>
      <c r="AS431">
        <v>1</v>
      </c>
      <c r="AT431">
        <v>1</v>
      </c>
      <c r="AU431">
        <v>7</v>
      </c>
      <c r="AV431">
        <v>7</v>
      </c>
      <c r="AW431">
        <v>7</v>
      </c>
      <c r="AX431">
        <v>1</v>
      </c>
      <c r="AY431" cm="1">
        <f t="array" ref="AY431">_xlfn.IFS(AZ431="Positive",1, AZ431="Negative",1, AZ431="Neutral",0)</f>
        <v>1</v>
      </c>
      <c r="AZ431" t="s">
        <v>196</v>
      </c>
      <c r="BA431">
        <v>14</v>
      </c>
      <c r="BB431">
        <v>0</v>
      </c>
      <c r="BC431" s="3">
        <v>8</v>
      </c>
      <c r="BD431" s="3">
        <v>2</v>
      </c>
      <c r="BE431" s="3">
        <v>2</v>
      </c>
      <c r="BF431" s="3">
        <v>1</v>
      </c>
      <c r="BG431" s="3">
        <v>1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 t="s">
        <v>613</v>
      </c>
      <c r="BT431" t="s">
        <v>576</v>
      </c>
      <c r="BU431" t="s">
        <v>614</v>
      </c>
      <c r="BV431" t="s">
        <v>577</v>
      </c>
    </row>
    <row r="432" spans="1:74" hidden="1" x14ac:dyDescent="0.2">
      <c r="A432">
        <v>444</v>
      </c>
      <c r="B432">
        <v>99</v>
      </c>
      <c r="C432" t="s">
        <v>177</v>
      </c>
      <c r="E432" t="s">
        <v>97</v>
      </c>
      <c r="F432">
        <v>14</v>
      </c>
      <c r="G432">
        <v>2001</v>
      </c>
      <c r="H432">
        <v>21</v>
      </c>
      <c r="I432" t="s">
        <v>64</v>
      </c>
      <c r="J432">
        <v>1</v>
      </c>
      <c r="K432" t="s">
        <v>655</v>
      </c>
      <c r="L432" t="s">
        <v>670</v>
      </c>
      <c r="M432">
        <v>8</v>
      </c>
      <c r="N432">
        <v>49</v>
      </c>
      <c r="O432" t="s">
        <v>600</v>
      </c>
      <c r="P432" t="s">
        <v>277</v>
      </c>
      <c r="Q432" t="s">
        <v>725</v>
      </c>
      <c r="R432" t="s">
        <v>746</v>
      </c>
      <c r="S432" t="s">
        <v>291</v>
      </c>
      <c r="T432" t="s">
        <v>491</v>
      </c>
      <c r="U432" t="s">
        <v>601</v>
      </c>
      <c r="V432" t="s">
        <v>535</v>
      </c>
      <c r="W432" t="s">
        <v>197</v>
      </c>
      <c r="X432" t="s">
        <v>196</v>
      </c>
      <c r="Y432" t="s">
        <v>274</v>
      </c>
      <c r="Z432">
        <v>7</v>
      </c>
      <c r="AA432">
        <v>4</v>
      </c>
      <c r="AB432">
        <v>6</v>
      </c>
      <c r="AC432">
        <v>3</v>
      </c>
      <c r="AD432">
        <v>1</v>
      </c>
      <c r="AE432">
        <v>4</v>
      </c>
      <c r="AF432">
        <v>1</v>
      </c>
      <c r="AG432">
        <v>5</v>
      </c>
      <c r="AH432">
        <v>3</v>
      </c>
      <c r="AI432">
        <v>4</v>
      </c>
      <c r="AJ432">
        <v>2</v>
      </c>
      <c r="AK432">
        <v>3</v>
      </c>
      <c r="AL432">
        <v>3</v>
      </c>
      <c r="AM432">
        <v>2</v>
      </c>
      <c r="AN432">
        <v>145</v>
      </c>
      <c r="AO432">
        <v>4</v>
      </c>
      <c r="AP432">
        <v>5</v>
      </c>
      <c r="AQ432">
        <v>4</v>
      </c>
      <c r="AR432">
        <v>2</v>
      </c>
      <c r="AS432">
        <v>6</v>
      </c>
      <c r="AT432">
        <v>1</v>
      </c>
      <c r="AU432">
        <v>6</v>
      </c>
      <c r="AV432">
        <v>6</v>
      </c>
      <c r="AW432">
        <v>5</v>
      </c>
      <c r="AX432">
        <v>2</v>
      </c>
      <c r="AY432" cm="1">
        <f t="array" ref="AY432">_xlfn.IFS(AZ432="Positive",1, AZ432="Negative",1, AZ432="Neutral",0)</f>
        <v>1</v>
      </c>
      <c r="AZ432" t="s">
        <v>196</v>
      </c>
      <c r="BA432">
        <v>5</v>
      </c>
      <c r="BB432">
        <v>0</v>
      </c>
      <c r="BC432" s="3">
        <v>3</v>
      </c>
      <c r="BD432" s="3">
        <v>1</v>
      </c>
      <c r="BE432" s="3">
        <v>1</v>
      </c>
      <c r="BF432" s="3">
        <v>0</v>
      </c>
      <c r="BG432" s="3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4</v>
      </c>
      <c r="BT432" t="s">
        <v>295</v>
      </c>
      <c r="BU432" t="s">
        <v>370</v>
      </c>
      <c r="BV432" t="s">
        <v>473</v>
      </c>
    </row>
    <row r="433" spans="1:74" hidden="1" x14ac:dyDescent="0.2">
      <c r="A433">
        <v>445</v>
      </c>
      <c r="B433">
        <v>100</v>
      </c>
      <c r="C433" t="s">
        <v>178</v>
      </c>
      <c r="E433" t="s">
        <v>88</v>
      </c>
      <c r="F433">
        <v>28</v>
      </c>
      <c r="G433">
        <v>1998</v>
      </c>
      <c r="H433">
        <v>24</v>
      </c>
      <c r="I433" t="s">
        <v>64</v>
      </c>
      <c r="J433">
        <v>1</v>
      </c>
      <c r="K433" t="s">
        <v>700</v>
      </c>
      <c r="L433" t="s">
        <v>645</v>
      </c>
      <c r="M433">
        <v>6</v>
      </c>
      <c r="N433">
        <v>47</v>
      </c>
      <c r="O433" t="s">
        <v>354</v>
      </c>
      <c r="P433" t="s">
        <v>361</v>
      </c>
      <c r="Q433" t="s">
        <v>779</v>
      </c>
      <c r="R433" t="s">
        <v>715</v>
      </c>
      <c r="S433" t="s">
        <v>403</v>
      </c>
      <c r="T433" t="s">
        <v>401</v>
      </c>
      <c r="U433" t="s">
        <v>616</v>
      </c>
      <c r="V433" t="s">
        <v>366</v>
      </c>
      <c r="W433" t="s">
        <v>197</v>
      </c>
      <c r="X433" t="s">
        <v>196</v>
      </c>
      <c r="Y433" t="s">
        <v>274</v>
      </c>
      <c r="Z433">
        <v>7</v>
      </c>
      <c r="AA433">
        <v>1</v>
      </c>
      <c r="AB433">
        <v>6</v>
      </c>
      <c r="AC433">
        <v>6</v>
      </c>
      <c r="AD433">
        <v>1</v>
      </c>
      <c r="AE433">
        <v>4</v>
      </c>
      <c r="AF433">
        <v>1</v>
      </c>
      <c r="AG433">
        <v>2</v>
      </c>
      <c r="AH433">
        <v>2</v>
      </c>
      <c r="AI433">
        <v>7</v>
      </c>
      <c r="AJ433">
        <v>1</v>
      </c>
      <c r="AK433">
        <v>5</v>
      </c>
      <c r="AL433">
        <v>3</v>
      </c>
      <c r="AM433">
        <v>5</v>
      </c>
      <c r="AN433">
        <v>71</v>
      </c>
      <c r="AO433">
        <v>6</v>
      </c>
      <c r="AP433">
        <v>2</v>
      </c>
      <c r="AQ433">
        <v>6</v>
      </c>
      <c r="AR433">
        <v>6</v>
      </c>
      <c r="AS433">
        <v>6</v>
      </c>
      <c r="AT433">
        <v>6</v>
      </c>
      <c r="AU433">
        <v>7</v>
      </c>
      <c r="AV433">
        <v>7</v>
      </c>
      <c r="AW433">
        <v>6</v>
      </c>
      <c r="AX433">
        <v>1</v>
      </c>
      <c r="AY433" cm="1">
        <f t="array" ref="AY433">_xlfn.IFS(AZ433="Positive",1, AZ433="Negative",1, AZ433="Neutral",0)</f>
        <v>1</v>
      </c>
      <c r="AZ433" t="s">
        <v>196</v>
      </c>
      <c r="BA433">
        <v>3</v>
      </c>
      <c r="BB433">
        <v>0</v>
      </c>
      <c r="BC433" s="3">
        <v>2</v>
      </c>
      <c r="BD433" s="3">
        <v>0</v>
      </c>
      <c r="BE433" s="3">
        <v>1</v>
      </c>
      <c r="BF433" s="3">
        <v>0</v>
      </c>
      <c r="BG433" s="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 t="s">
        <v>453</v>
      </c>
      <c r="BT433" t="s">
        <v>426</v>
      </c>
      <c r="BU433" t="s">
        <v>472</v>
      </c>
      <c r="BV433" t="s">
        <v>429</v>
      </c>
    </row>
    <row r="434" spans="1:74" hidden="1" x14ac:dyDescent="0.2">
      <c r="A434">
        <v>446</v>
      </c>
      <c r="B434">
        <v>101</v>
      </c>
      <c r="C434" t="s">
        <v>179</v>
      </c>
      <c r="E434" t="s">
        <v>71</v>
      </c>
      <c r="F434">
        <v>11</v>
      </c>
      <c r="G434">
        <v>1999</v>
      </c>
      <c r="H434">
        <v>23</v>
      </c>
      <c r="I434" t="s">
        <v>69</v>
      </c>
      <c r="J434">
        <v>2</v>
      </c>
      <c r="K434" t="s">
        <v>652</v>
      </c>
      <c r="L434" t="s">
        <v>670</v>
      </c>
      <c r="M434">
        <v>4</v>
      </c>
      <c r="N434">
        <v>63</v>
      </c>
      <c r="O434">
        <v>5</v>
      </c>
      <c r="P434" t="s">
        <v>481</v>
      </c>
      <c r="Q434" t="s">
        <v>753</v>
      </c>
      <c r="R434" t="s">
        <v>746</v>
      </c>
      <c r="S434" t="s">
        <v>396</v>
      </c>
      <c r="T434" t="s">
        <v>477</v>
      </c>
      <c r="U434" t="s">
        <v>563</v>
      </c>
      <c r="V434" t="s">
        <v>483</v>
      </c>
      <c r="W434" t="s">
        <v>197</v>
      </c>
      <c r="X434" t="s">
        <v>196</v>
      </c>
      <c r="Y434" t="s">
        <v>274</v>
      </c>
      <c r="Z434">
        <v>7</v>
      </c>
      <c r="AA434">
        <v>6</v>
      </c>
      <c r="AB434">
        <v>7</v>
      </c>
      <c r="AC434">
        <v>7</v>
      </c>
      <c r="AD434">
        <v>1</v>
      </c>
      <c r="AE434">
        <v>7</v>
      </c>
      <c r="AF434">
        <v>1</v>
      </c>
      <c r="AG434">
        <v>4</v>
      </c>
      <c r="AH434">
        <v>5</v>
      </c>
      <c r="AI434">
        <v>7</v>
      </c>
      <c r="AJ434">
        <v>7</v>
      </c>
      <c r="AK434">
        <v>2</v>
      </c>
      <c r="AL434">
        <v>2</v>
      </c>
      <c r="AM434">
        <v>2</v>
      </c>
      <c r="AN434">
        <v>96</v>
      </c>
      <c r="AO434">
        <v>6</v>
      </c>
      <c r="AP434">
        <v>2</v>
      </c>
      <c r="AQ434">
        <v>7</v>
      </c>
      <c r="AR434">
        <v>6</v>
      </c>
      <c r="AS434">
        <v>6</v>
      </c>
      <c r="AT434">
        <v>6</v>
      </c>
      <c r="AU434">
        <v>6</v>
      </c>
      <c r="AV434">
        <v>6</v>
      </c>
      <c r="AW434">
        <v>6</v>
      </c>
      <c r="AX434">
        <v>1</v>
      </c>
      <c r="AY434" cm="1">
        <f t="array" ref="AY434">_xlfn.IFS(AZ434="Positive",1, AZ434="Negative",1, AZ434="Neutral",0)</f>
        <v>1</v>
      </c>
      <c r="AZ434" t="s">
        <v>196</v>
      </c>
      <c r="BA434">
        <v>13</v>
      </c>
      <c r="BB434">
        <v>2</v>
      </c>
      <c r="BC434" s="3">
        <v>7</v>
      </c>
      <c r="BD434" s="3">
        <v>0</v>
      </c>
      <c r="BE434" s="3">
        <v>0</v>
      </c>
      <c r="BF434" s="3">
        <v>3</v>
      </c>
      <c r="BG434" s="3">
        <v>3</v>
      </c>
      <c r="BH434">
        <v>0</v>
      </c>
      <c r="BI434">
        <v>0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1</v>
      </c>
      <c r="BR434">
        <v>0</v>
      </c>
      <c r="BS434" t="s">
        <v>399</v>
      </c>
      <c r="BT434" t="s">
        <v>367</v>
      </c>
      <c r="BU434" t="s">
        <v>400</v>
      </c>
      <c r="BV434" t="s">
        <v>371</v>
      </c>
    </row>
    <row r="435" spans="1:74" hidden="1" x14ac:dyDescent="0.2">
      <c r="A435">
        <v>447</v>
      </c>
      <c r="B435">
        <v>102</v>
      </c>
      <c r="C435" t="s">
        <v>180</v>
      </c>
      <c r="E435" t="s">
        <v>71</v>
      </c>
      <c r="F435">
        <v>12</v>
      </c>
      <c r="G435">
        <v>1999</v>
      </c>
      <c r="H435">
        <v>23</v>
      </c>
      <c r="I435" t="s">
        <v>64</v>
      </c>
      <c r="J435">
        <v>1</v>
      </c>
      <c r="K435" t="s">
        <v>637</v>
      </c>
      <c r="L435" t="s">
        <v>669</v>
      </c>
      <c r="M435">
        <v>6</v>
      </c>
      <c r="N435">
        <v>54</v>
      </c>
      <c r="O435" t="s">
        <v>314</v>
      </c>
      <c r="P435">
        <v>5</v>
      </c>
      <c r="Q435" t="s">
        <v>706</v>
      </c>
      <c r="R435" t="s">
        <v>745</v>
      </c>
      <c r="S435" t="s">
        <v>403</v>
      </c>
      <c r="T435" t="s">
        <v>455</v>
      </c>
      <c r="U435" t="s">
        <v>320</v>
      </c>
      <c r="V435" t="s">
        <v>524</v>
      </c>
      <c r="W435" t="s">
        <v>197</v>
      </c>
      <c r="X435" t="s">
        <v>196</v>
      </c>
      <c r="Y435" t="s">
        <v>274</v>
      </c>
      <c r="Z435">
        <v>7</v>
      </c>
      <c r="AA435">
        <v>5</v>
      </c>
      <c r="AB435">
        <v>6</v>
      </c>
      <c r="AC435">
        <v>5</v>
      </c>
      <c r="AD435">
        <v>4</v>
      </c>
      <c r="AE435">
        <v>5</v>
      </c>
      <c r="AF435">
        <v>1</v>
      </c>
      <c r="AG435">
        <v>1</v>
      </c>
      <c r="AH435">
        <v>5</v>
      </c>
      <c r="AI435">
        <v>7</v>
      </c>
      <c r="AJ435">
        <v>2</v>
      </c>
      <c r="AK435">
        <v>5</v>
      </c>
      <c r="AL435">
        <v>4</v>
      </c>
      <c r="AM435">
        <v>2</v>
      </c>
      <c r="AN435">
        <v>192</v>
      </c>
      <c r="AO435">
        <v>1</v>
      </c>
      <c r="AP435">
        <v>2</v>
      </c>
      <c r="AQ435">
        <v>3</v>
      </c>
      <c r="AR435">
        <v>3</v>
      </c>
      <c r="AS435">
        <v>5</v>
      </c>
      <c r="AT435">
        <v>5</v>
      </c>
      <c r="AU435">
        <v>6</v>
      </c>
      <c r="AV435">
        <v>5</v>
      </c>
      <c r="AW435">
        <v>6</v>
      </c>
      <c r="AX435">
        <v>1</v>
      </c>
      <c r="AY435" cm="1">
        <f t="array" ref="AY435">_xlfn.IFS(AZ435="Positive",1, AZ435="Negative",1, AZ435="Neutral",0)</f>
        <v>1</v>
      </c>
      <c r="AZ435" t="s">
        <v>196</v>
      </c>
      <c r="BA435">
        <v>4</v>
      </c>
      <c r="BB435">
        <v>1</v>
      </c>
      <c r="BC435" s="3">
        <v>2</v>
      </c>
      <c r="BD435" s="3">
        <v>1</v>
      </c>
      <c r="BE435" s="3">
        <v>0</v>
      </c>
      <c r="BF435" s="3">
        <v>0</v>
      </c>
      <c r="BG435" s="3">
        <v>1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1</v>
      </c>
      <c r="BS435" t="s">
        <v>382</v>
      </c>
      <c r="BT435" t="s">
        <v>475</v>
      </c>
      <c r="BU435" t="s">
        <v>385</v>
      </c>
      <c r="BV435" t="s">
        <v>476</v>
      </c>
    </row>
    <row r="436" spans="1:74" x14ac:dyDescent="0.2">
      <c r="A436">
        <v>448</v>
      </c>
      <c r="B436">
        <v>103</v>
      </c>
      <c r="C436" t="s">
        <v>181</v>
      </c>
      <c r="E436" t="s">
        <v>73</v>
      </c>
      <c r="F436">
        <v>2</v>
      </c>
      <c r="G436">
        <v>1999</v>
      </c>
      <c r="H436">
        <v>23</v>
      </c>
      <c r="I436" t="s">
        <v>64</v>
      </c>
      <c r="J436">
        <v>1</v>
      </c>
      <c r="K436" t="s">
        <v>678</v>
      </c>
      <c r="L436" t="s">
        <v>638</v>
      </c>
      <c r="M436">
        <v>12</v>
      </c>
      <c r="N436">
        <v>61</v>
      </c>
      <c r="O436" t="s">
        <v>562</v>
      </c>
      <c r="P436" t="s">
        <v>405</v>
      </c>
      <c r="Q436" t="s">
        <v>757</v>
      </c>
      <c r="R436" t="s">
        <v>707</v>
      </c>
      <c r="S436" t="s">
        <v>499</v>
      </c>
      <c r="T436" t="s">
        <v>292</v>
      </c>
      <c r="U436" t="s">
        <v>581</v>
      </c>
      <c r="V436" t="s">
        <v>407</v>
      </c>
      <c r="W436" t="s">
        <v>197</v>
      </c>
      <c r="X436" t="s">
        <v>196</v>
      </c>
      <c r="Y436" t="s">
        <v>274</v>
      </c>
      <c r="Z436">
        <v>7</v>
      </c>
      <c r="AA436">
        <v>7</v>
      </c>
      <c r="AB436">
        <v>7</v>
      </c>
      <c r="AC436">
        <v>7</v>
      </c>
      <c r="AD436">
        <v>3</v>
      </c>
      <c r="AE436">
        <v>7</v>
      </c>
      <c r="AF436">
        <v>3</v>
      </c>
      <c r="AG436">
        <v>1</v>
      </c>
      <c r="AH436">
        <v>7</v>
      </c>
      <c r="AI436">
        <v>7</v>
      </c>
      <c r="AJ436">
        <v>1</v>
      </c>
      <c r="AK436">
        <v>7</v>
      </c>
      <c r="AL436">
        <v>7</v>
      </c>
      <c r="AM436">
        <v>7</v>
      </c>
      <c r="AN436">
        <v>48</v>
      </c>
      <c r="AO436">
        <v>1</v>
      </c>
      <c r="AP436">
        <v>1</v>
      </c>
      <c r="AQ436">
        <v>5</v>
      </c>
      <c r="AR436">
        <v>6</v>
      </c>
      <c r="AS436">
        <v>4</v>
      </c>
      <c r="AT436">
        <v>6</v>
      </c>
      <c r="AU436">
        <v>4</v>
      </c>
      <c r="AV436">
        <v>7</v>
      </c>
      <c r="AW436">
        <v>7</v>
      </c>
      <c r="AX436">
        <v>1</v>
      </c>
      <c r="AY436" cm="1">
        <f t="array" ref="AY436">_xlfn.IFS(AZ436="Positive",1, AZ436="Negative",1, AZ436="Neutral",0)</f>
        <v>1</v>
      </c>
      <c r="AZ436" t="s">
        <v>196</v>
      </c>
      <c r="BA436">
        <v>0</v>
      </c>
      <c r="BB436">
        <v>5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>
        <v>0</v>
      </c>
      <c r="BI436">
        <v>0</v>
      </c>
      <c r="BJ436">
        <v>3</v>
      </c>
      <c r="BK436">
        <v>1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1</v>
      </c>
      <c r="BR436">
        <v>0</v>
      </c>
      <c r="BS436" t="s">
        <v>375</v>
      </c>
      <c r="BT436" t="s">
        <v>578</v>
      </c>
      <c r="BU436" t="s">
        <v>377</v>
      </c>
      <c r="BV436" t="s">
        <v>579</v>
      </c>
    </row>
    <row r="437" spans="1:74" hidden="1" x14ac:dyDescent="0.2">
      <c r="A437">
        <v>449</v>
      </c>
      <c r="B437">
        <v>104</v>
      </c>
      <c r="C437" t="s">
        <v>182</v>
      </c>
      <c r="E437" t="s">
        <v>71</v>
      </c>
      <c r="F437">
        <v>13</v>
      </c>
      <c r="G437">
        <v>2003</v>
      </c>
      <c r="H437">
        <v>19</v>
      </c>
      <c r="I437" t="s">
        <v>164</v>
      </c>
      <c r="J437">
        <v>3</v>
      </c>
      <c r="K437" t="s">
        <v>683</v>
      </c>
      <c r="L437" t="s">
        <v>660</v>
      </c>
      <c r="M437">
        <v>11</v>
      </c>
      <c r="N437">
        <v>52</v>
      </c>
      <c r="O437" t="s">
        <v>384</v>
      </c>
      <c r="P437" t="s">
        <v>583</v>
      </c>
      <c r="Q437" t="s">
        <v>762</v>
      </c>
      <c r="R437" t="s">
        <v>733</v>
      </c>
      <c r="S437" t="s">
        <v>514</v>
      </c>
      <c r="T437" t="s">
        <v>495</v>
      </c>
      <c r="U437" t="s">
        <v>387</v>
      </c>
      <c r="V437" t="s">
        <v>584</v>
      </c>
      <c r="W437" t="s">
        <v>197</v>
      </c>
      <c r="X437" t="s">
        <v>196</v>
      </c>
      <c r="Y437" t="s">
        <v>274</v>
      </c>
      <c r="Z437">
        <v>7</v>
      </c>
      <c r="AA437">
        <v>2</v>
      </c>
      <c r="AB437">
        <v>6</v>
      </c>
      <c r="AC437">
        <v>6</v>
      </c>
      <c r="AD437">
        <v>1</v>
      </c>
      <c r="AE437">
        <v>5</v>
      </c>
      <c r="AF437">
        <v>2</v>
      </c>
      <c r="AG437">
        <v>2</v>
      </c>
      <c r="AH437">
        <v>5</v>
      </c>
      <c r="AI437">
        <v>6</v>
      </c>
      <c r="AJ437">
        <v>1</v>
      </c>
      <c r="AK437">
        <v>4</v>
      </c>
      <c r="AL437">
        <v>3</v>
      </c>
      <c r="AM437">
        <v>4</v>
      </c>
      <c r="AN437">
        <v>120</v>
      </c>
      <c r="AO437">
        <v>2</v>
      </c>
      <c r="AP437">
        <v>1</v>
      </c>
      <c r="AQ437">
        <v>5</v>
      </c>
      <c r="AR437">
        <v>2</v>
      </c>
      <c r="AS437">
        <v>4</v>
      </c>
      <c r="AT437">
        <v>5</v>
      </c>
      <c r="AU437">
        <v>6</v>
      </c>
      <c r="AV437">
        <v>7</v>
      </c>
      <c r="AW437">
        <v>6</v>
      </c>
      <c r="AX437">
        <v>1</v>
      </c>
      <c r="AY437" cm="1">
        <f t="array" ref="AY437">_xlfn.IFS(AZ437="Positive",1, AZ437="Negative",1, AZ437="Neutral",0)</f>
        <v>1</v>
      </c>
      <c r="AZ437" t="s">
        <v>196</v>
      </c>
      <c r="BA437">
        <v>8</v>
      </c>
      <c r="BB437">
        <v>0</v>
      </c>
      <c r="BC437" s="3">
        <v>3</v>
      </c>
      <c r="BD437" s="3">
        <v>0</v>
      </c>
      <c r="BE437" s="3">
        <v>0</v>
      </c>
      <c r="BF437" s="3">
        <v>1</v>
      </c>
      <c r="BG437" s="3">
        <v>4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2</v>
      </c>
      <c r="BT437" t="s">
        <v>516</v>
      </c>
      <c r="BU437" t="s">
        <v>333</v>
      </c>
      <c r="BV437" t="s">
        <v>592</v>
      </c>
    </row>
    <row r="438" spans="1:74" hidden="1" x14ac:dyDescent="0.2">
      <c r="A438">
        <v>450</v>
      </c>
      <c r="B438">
        <v>105</v>
      </c>
      <c r="C438" t="s">
        <v>183</v>
      </c>
      <c r="E438" t="s">
        <v>80</v>
      </c>
      <c r="F438">
        <v>15</v>
      </c>
      <c r="G438">
        <v>1999</v>
      </c>
      <c r="H438">
        <v>23</v>
      </c>
      <c r="I438" t="s">
        <v>64</v>
      </c>
      <c r="J438">
        <v>1</v>
      </c>
      <c r="K438" t="s">
        <v>651</v>
      </c>
      <c r="L438" t="s">
        <v>682</v>
      </c>
      <c r="M438">
        <v>11</v>
      </c>
      <c r="N438">
        <v>75</v>
      </c>
      <c r="O438" t="s">
        <v>568</v>
      </c>
      <c r="P438" t="s">
        <v>617</v>
      </c>
      <c r="Q438" t="s">
        <v>721</v>
      </c>
      <c r="R438" t="s">
        <v>761</v>
      </c>
      <c r="S438" t="s">
        <v>514</v>
      </c>
      <c r="T438" t="s">
        <v>507</v>
      </c>
      <c r="U438" t="s">
        <v>570</v>
      </c>
      <c r="V438" t="s">
        <v>618</v>
      </c>
      <c r="W438" t="s">
        <v>197</v>
      </c>
      <c r="X438" t="s">
        <v>196</v>
      </c>
      <c r="Y438" t="s">
        <v>274</v>
      </c>
      <c r="Z438">
        <v>7</v>
      </c>
      <c r="AA438">
        <v>5</v>
      </c>
      <c r="AB438">
        <v>6</v>
      </c>
      <c r="AC438">
        <v>7</v>
      </c>
      <c r="AD438">
        <v>7</v>
      </c>
      <c r="AE438">
        <v>3</v>
      </c>
      <c r="AF438">
        <v>5</v>
      </c>
      <c r="AG438">
        <v>5</v>
      </c>
      <c r="AH438">
        <v>6</v>
      </c>
      <c r="AI438">
        <v>7</v>
      </c>
      <c r="AJ438">
        <v>1</v>
      </c>
      <c r="AK438">
        <v>5</v>
      </c>
      <c r="AL438">
        <v>5</v>
      </c>
      <c r="AM438">
        <v>3</v>
      </c>
      <c r="AN438">
        <v>162</v>
      </c>
      <c r="AO438">
        <v>6</v>
      </c>
      <c r="AP438">
        <v>1</v>
      </c>
      <c r="AQ438">
        <v>5</v>
      </c>
      <c r="AR438">
        <v>3</v>
      </c>
      <c r="AS438">
        <v>7</v>
      </c>
      <c r="AT438">
        <v>7</v>
      </c>
      <c r="AU438">
        <v>7</v>
      </c>
      <c r="AV438">
        <v>7</v>
      </c>
      <c r="AW438">
        <v>4</v>
      </c>
      <c r="AX438">
        <v>1</v>
      </c>
      <c r="AY438" cm="1">
        <f t="array" ref="AY438">_xlfn.IFS(AZ438="Positive",1, AZ438="Negative",1, AZ438="Neutral",0)</f>
        <v>1</v>
      </c>
      <c r="AZ438" t="s">
        <v>196</v>
      </c>
      <c r="BA438">
        <v>11</v>
      </c>
      <c r="BB438">
        <v>7</v>
      </c>
      <c r="BC438" s="3">
        <v>8</v>
      </c>
      <c r="BD438" s="3">
        <v>1</v>
      </c>
      <c r="BE438" s="3">
        <v>1</v>
      </c>
      <c r="BF438" s="3">
        <v>1</v>
      </c>
      <c r="BG438" s="3">
        <v>0</v>
      </c>
      <c r="BH438">
        <v>0</v>
      </c>
      <c r="BI438">
        <v>0</v>
      </c>
      <c r="BJ438">
        <v>2</v>
      </c>
      <c r="BK438">
        <v>0</v>
      </c>
      <c r="BL438">
        <v>4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</v>
      </c>
      <c r="BS438" t="s">
        <v>510</v>
      </c>
      <c r="BT438" t="s">
        <v>414</v>
      </c>
      <c r="BU438" t="s">
        <v>511</v>
      </c>
      <c r="BV438" t="s">
        <v>530</v>
      </c>
    </row>
    <row r="439" spans="1:74" hidden="1" x14ac:dyDescent="0.2">
      <c r="A439">
        <v>451</v>
      </c>
      <c r="B439">
        <v>106</v>
      </c>
      <c r="C439" t="s">
        <v>184</v>
      </c>
      <c r="E439" t="s">
        <v>80</v>
      </c>
      <c r="F439">
        <v>7</v>
      </c>
      <c r="G439">
        <v>2000</v>
      </c>
      <c r="H439">
        <v>22</v>
      </c>
      <c r="I439" t="s">
        <v>69</v>
      </c>
      <c r="J439">
        <v>2</v>
      </c>
      <c r="K439" t="s">
        <v>694</v>
      </c>
      <c r="L439" t="s">
        <v>701</v>
      </c>
      <c r="M439">
        <v>12</v>
      </c>
      <c r="N439">
        <v>54</v>
      </c>
      <c r="O439" t="s">
        <v>463</v>
      </c>
      <c r="P439" t="s">
        <v>354</v>
      </c>
      <c r="Q439" t="s">
        <v>774</v>
      </c>
      <c r="R439" t="s">
        <v>780</v>
      </c>
      <c r="S439" t="s">
        <v>499</v>
      </c>
      <c r="T439" t="s">
        <v>455</v>
      </c>
      <c r="U439" t="s">
        <v>546</v>
      </c>
      <c r="V439" t="s">
        <v>359</v>
      </c>
      <c r="W439" t="s">
        <v>197</v>
      </c>
      <c r="X439" t="s">
        <v>196</v>
      </c>
      <c r="Y439" t="s">
        <v>274</v>
      </c>
      <c r="Z439">
        <v>7</v>
      </c>
      <c r="AA439">
        <v>2</v>
      </c>
      <c r="AB439">
        <v>3</v>
      </c>
      <c r="AC439">
        <v>2</v>
      </c>
      <c r="AD439">
        <v>1</v>
      </c>
      <c r="AE439">
        <v>2</v>
      </c>
      <c r="AF439">
        <v>2</v>
      </c>
      <c r="AG439">
        <v>4</v>
      </c>
      <c r="AH439">
        <v>1</v>
      </c>
      <c r="AI439">
        <v>3</v>
      </c>
      <c r="AJ439">
        <v>5</v>
      </c>
      <c r="AK439">
        <v>1</v>
      </c>
      <c r="AL439">
        <v>1</v>
      </c>
      <c r="AM439">
        <v>1</v>
      </c>
      <c r="AN439">
        <v>160</v>
      </c>
      <c r="AO439">
        <v>5</v>
      </c>
      <c r="AP439">
        <v>4</v>
      </c>
      <c r="AQ439">
        <v>2</v>
      </c>
      <c r="AR439">
        <v>1</v>
      </c>
      <c r="AS439">
        <v>5</v>
      </c>
      <c r="AT439">
        <v>1</v>
      </c>
      <c r="AU439">
        <v>4</v>
      </c>
      <c r="AV439">
        <v>3</v>
      </c>
      <c r="AW439">
        <v>1</v>
      </c>
      <c r="AX439">
        <v>2</v>
      </c>
      <c r="AY439" cm="1">
        <f t="array" ref="AY439">_xlfn.IFS(AZ439="Positive",1, AZ439="Negative",1, AZ439="Neutral",0)</f>
        <v>1</v>
      </c>
      <c r="AZ439" t="s">
        <v>196</v>
      </c>
      <c r="BA439">
        <v>8</v>
      </c>
      <c r="BB439">
        <v>5</v>
      </c>
      <c r="BC439" s="3">
        <v>5</v>
      </c>
      <c r="BD439" s="3">
        <v>0</v>
      </c>
      <c r="BE439" s="3">
        <v>2</v>
      </c>
      <c r="BF439" s="3">
        <v>1</v>
      </c>
      <c r="BG439" s="3">
        <v>0</v>
      </c>
      <c r="BH439">
        <v>0</v>
      </c>
      <c r="BI439">
        <v>0</v>
      </c>
      <c r="BJ439">
        <v>3</v>
      </c>
      <c r="BK439">
        <v>1</v>
      </c>
      <c r="BL439">
        <v>1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 t="s">
        <v>619</v>
      </c>
      <c r="BT439" t="s">
        <v>295</v>
      </c>
      <c r="BU439" t="s">
        <v>620</v>
      </c>
      <c r="BV439" t="s">
        <v>473</v>
      </c>
    </row>
    <row r="440" spans="1:74" hidden="1" x14ac:dyDescent="0.2">
      <c r="A440">
        <v>452</v>
      </c>
      <c r="B440">
        <v>107</v>
      </c>
      <c r="C440" t="s">
        <v>185</v>
      </c>
      <c r="E440" t="s">
        <v>97</v>
      </c>
      <c r="F440">
        <v>9</v>
      </c>
      <c r="G440">
        <v>1998</v>
      </c>
      <c r="H440">
        <v>24</v>
      </c>
      <c r="I440" t="s">
        <v>69</v>
      </c>
      <c r="J440">
        <v>2</v>
      </c>
      <c r="K440" t="s">
        <v>700</v>
      </c>
      <c r="L440" t="s">
        <v>669</v>
      </c>
      <c r="M440">
        <v>15</v>
      </c>
      <c r="N440">
        <v>68</v>
      </c>
      <c r="O440" t="s">
        <v>585</v>
      </c>
      <c r="P440" t="s">
        <v>369</v>
      </c>
      <c r="Q440" t="s">
        <v>779</v>
      </c>
      <c r="R440" t="s">
        <v>745</v>
      </c>
      <c r="S440" t="s">
        <v>363</v>
      </c>
      <c r="T440" t="s">
        <v>487</v>
      </c>
      <c r="U440" t="s">
        <v>587</v>
      </c>
      <c r="V440" t="s">
        <v>374</v>
      </c>
      <c r="W440" t="s">
        <v>197</v>
      </c>
      <c r="X440" t="s">
        <v>196</v>
      </c>
      <c r="Y440" t="s">
        <v>274</v>
      </c>
      <c r="Z440">
        <v>7</v>
      </c>
      <c r="AA440">
        <v>6</v>
      </c>
      <c r="AB440">
        <v>7</v>
      </c>
      <c r="AC440">
        <v>7</v>
      </c>
      <c r="AD440">
        <v>2</v>
      </c>
      <c r="AE440">
        <v>7</v>
      </c>
      <c r="AF440">
        <v>1</v>
      </c>
      <c r="AG440">
        <v>1</v>
      </c>
      <c r="AH440">
        <v>6</v>
      </c>
      <c r="AI440">
        <v>6</v>
      </c>
      <c r="AJ440">
        <v>1</v>
      </c>
      <c r="AK440">
        <v>5</v>
      </c>
      <c r="AL440">
        <v>5</v>
      </c>
      <c r="AM440">
        <v>7</v>
      </c>
      <c r="AN440">
        <v>240</v>
      </c>
      <c r="AO440">
        <v>4</v>
      </c>
      <c r="AP440">
        <v>1</v>
      </c>
      <c r="AQ440">
        <v>7</v>
      </c>
      <c r="AR440">
        <v>5</v>
      </c>
      <c r="AS440">
        <v>5</v>
      </c>
      <c r="AT440">
        <v>5</v>
      </c>
      <c r="AU440">
        <v>6</v>
      </c>
      <c r="AV440">
        <v>5</v>
      </c>
      <c r="AW440">
        <v>5</v>
      </c>
      <c r="AX440">
        <v>1</v>
      </c>
      <c r="AY440" cm="1">
        <f t="array" ref="AY440">_xlfn.IFS(AZ440="Positive",1, AZ440="Negative",1, AZ440="Neutral",0)</f>
        <v>1</v>
      </c>
      <c r="AZ440" t="s">
        <v>196</v>
      </c>
      <c r="BA440">
        <v>9</v>
      </c>
      <c r="BB440">
        <v>3</v>
      </c>
      <c r="BC440" s="3">
        <v>5</v>
      </c>
      <c r="BD440" s="3">
        <v>1</v>
      </c>
      <c r="BE440" s="3">
        <v>2</v>
      </c>
      <c r="BF440" s="3">
        <v>0</v>
      </c>
      <c r="BG440" s="3">
        <v>1</v>
      </c>
      <c r="BH440">
        <v>0</v>
      </c>
      <c r="BI440">
        <v>0</v>
      </c>
      <c r="BJ440">
        <v>1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1</v>
      </c>
      <c r="BR440">
        <v>0</v>
      </c>
      <c r="BS440" t="s">
        <v>453</v>
      </c>
      <c r="BT440" t="s">
        <v>433</v>
      </c>
      <c r="BU440" t="s">
        <v>472</v>
      </c>
      <c r="BV440" t="s">
        <v>435</v>
      </c>
    </row>
    <row r="441" spans="1:74" hidden="1" x14ac:dyDescent="0.2">
      <c r="B441">
        <v>108</v>
      </c>
      <c r="C441" t="s">
        <v>186</v>
      </c>
      <c r="E441" t="s">
        <v>71</v>
      </c>
      <c r="F441">
        <v>7</v>
      </c>
      <c r="G441">
        <v>1999</v>
      </c>
      <c r="H441">
        <v>23</v>
      </c>
      <c r="I441" t="s">
        <v>64</v>
      </c>
      <c r="J441">
        <v>1</v>
      </c>
      <c r="K441" t="s">
        <v>649</v>
      </c>
      <c r="L441" t="s">
        <v>654</v>
      </c>
      <c r="M441">
        <v>1</v>
      </c>
      <c r="N441">
        <v>58</v>
      </c>
      <c r="O441" t="s">
        <v>611</v>
      </c>
      <c r="P441" t="s">
        <v>611</v>
      </c>
      <c r="Q441" t="s">
        <v>719</v>
      </c>
      <c r="R441" t="s">
        <v>728</v>
      </c>
      <c r="S441" t="s">
        <v>335</v>
      </c>
      <c r="T441" t="s">
        <v>364</v>
      </c>
      <c r="U441" t="s">
        <v>621</v>
      </c>
      <c r="V441" t="s">
        <v>612</v>
      </c>
      <c r="W441" t="s">
        <v>197</v>
      </c>
      <c r="X441" t="s">
        <v>196</v>
      </c>
      <c r="Y441" t="s">
        <v>274</v>
      </c>
      <c r="Z441">
        <v>6</v>
      </c>
      <c r="AA441">
        <v>6</v>
      </c>
      <c r="AB441">
        <v>7</v>
      </c>
      <c r="AC441">
        <v>7</v>
      </c>
      <c r="AD441">
        <v>6</v>
      </c>
      <c r="AE441">
        <v>5</v>
      </c>
      <c r="AF441">
        <v>7</v>
      </c>
      <c r="AG441">
        <v>6</v>
      </c>
      <c r="AH441">
        <v>7</v>
      </c>
      <c r="AI441">
        <v>6</v>
      </c>
      <c r="AJ441">
        <v>6</v>
      </c>
      <c r="AK441">
        <v>7</v>
      </c>
      <c r="AL441">
        <v>7</v>
      </c>
      <c r="AM441">
        <v>7</v>
      </c>
      <c r="AN441">
        <v>240</v>
      </c>
      <c r="AO441">
        <v>6</v>
      </c>
      <c r="AP441">
        <v>6</v>
      </c>
      <c r="AQ441">
        <v>6</v>
      </c>
      <c r="AR441">
        <v>7</v>
      </c>
      <c r="AS441">
        <v>7</v>
      </c>
      <c r="AT441">
        <v>5</v>
      </c>
      <c r="AU441">
        <v>6</v>
      </c>
      <c r="AV441">
        <v>6</v>
      </c>
      <c r="AW441">
        <v>7</v>
      </c>
      <c r="AX441">
        <v>3</v>
      </c>
      <c r="AY441" cm="1">
        <f t="array" ref="AY441">_xlfn.IFS(AZ441="Positive",1, AZ441="Negative",1, AZ441="Neutral",0)</f>
        <v>1</v>
      </c>
      <c r="AZ441" t="s">
        <v>196</v>
      </c>
      <c r="BA441">
        <f>SUM(BC441:BG441)</f>
        <v>13</v>
      </c>
      <c r="BB441">
        <f>SUM(BH441:BR441)</f>
        <v>1</v>
      </c>
      <c r="BC441" s="3">
        <v>10</v>
      </c>
      <c r="BD441" s="3">
        <v>0</v>
      </c>
      <c r="BE441" s="3">
        <v>1</v>
      </c>
      <c r="BF441" s="3">
        <v>1</v>
      </c>
      <c r="BG441" s="3">
        <v>1</v>
      </c>
      <c r="BH441">
        <v>0</v>
      </c>
      <c r="BI441">
        <v>0</v>
      </c>
      <c r="BJ441">
        <v>0</v>
      </c>
      <c r="BK441">
        <v>0</v>
      </c>
      <c r="BL441">
        <v>1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 t="s">
        <v>344</v>
      </c>
      <c r="BT441" t="s">
        <v>367</v>
      </c>
      <c r="BU441" t="s">
        <v>347</v>
      </c>
      <c r="BV441" t="s">
        <v>371</v>
      </c>
    </row>
    <row r="442" spans="1:74" hidden="1" x14ac:dyDescent="0.2">
      <c r="A442">
        <v>454</v>
      </c>
      <c r="B442">
        <v>109</v>
      </c>
      <c r="C442" t="s">
        <v>187</v>
      </c>
      <c r="E442" t="s">
        <v>63</v>
      </c>
      <c r="F442">
        <v>1</v>
      </c>
      <c r="G442">
        <v>2000</v>
      </c>
      <c r="H442">
        <v>22</v>
      </c>
      <c r="I442" t="s">
        <v>69</v>
      </c>
      <c r="J442">
        <v>2</v>
      </c>
      <c r="K442" t="s">
        <v>416</v>
      </c>
      <c r="L442" t="s">
        <v>660</v>
      </c>
      <c r="M442">
        <v>1</v>
      </c>
      <c r="N442">
        <v>64</v>
      </c>
      <c r="O442" t="s">
        <v>460</v>
      </c>
      <c r="P442" t="s">
        <v>325</v>
      </c>
      <c r="Q442" t="s">
        <v>723</v>
      </c>
      <c r="R442" t="s">
        <v>733</v>
      </c>
      <c r="S442" t="s">
        <v>335</v>
      </c>
      <c r="T442" t="s">
        <v>540</v>
      </c>
      <c r="U442" t="s">
        <v>582</v>
      </c>
      <c r="V442" t="s">
        <v>331</v>
      </c>
      <c r="W442" t="s">
        <v>197</v>
      </c>
      <c r="X442" t="s">
        <v>196</v>
      </c>
      <c r="Y442" t="s">
        <v>274</v>
      </c>
      <c r="Z442">
        <v>5</v>
      </c>
      <c r="AA442">
        <v>4</v>
      </c>
      <c r="AB442">
        <v>6</v>
      </c>
      <c r="AC442">
        <v>3</v>
      </c>
      <c r="AD442">
        <v>1</v>
      </c>
      <c r="AE442">
        <v>4</v>
      </c>
      <c r="AF442">
        <v>2</v>
      </c>
      <c r="AG442">
        <v>2</v>
      </c>
      <c r="AH442">
        <v>6</v>
      </c>
      <c r="AI442">
        <v>7</v>
      </c>
      <c r="AJ442">
        <v>1</v>
      </c>
      <c r="AK442">
        <v>4</v>
      </c>
      <c r="AL442">
        <v>2</v>
      </c>
      <c r="AM442">
        <v>4</v>
      </c>
      <c r="AN442">
        <v>96</v>
      </c>
      <c r="AO442">
        <v>5</v>
      </c>
      <c r="AP442">
        <v>1</v>
      </c>
      <c r="AQ442">
        <v>4</v>
      </c>
      <c r="AR442">
        <v>2</v>
      </c>
      <c r="AS442">
        <v>5</v>
      </c>
      <c r="AT442">
        <v>4</v>
      </c>
      <c r="AU442">
        <v>6</v>
      </c>
      <c r="AV442">
        <v>3</v>
      </c>
      <c r="AW442">
        <v>5</v>
      </c>
      <c r="AX442">
        <v>1</v>
      </c>
      <c r="AY442" cm="1">
        <f t="array" ref="AY442">_xlfn.IFS(AZ442="Positive",1, AZ442="Negative",1, AZ442="Neutral",0)</f>
        <v>1</v>
      </c>
      <c r="AZ442" t="s">
        <v>196</v>
      </c>
      <c r="BA442">
        <v>4</v>
      </c>
      <c r="BB442">
        <v>1</v>
      </c>
      <c r="BC442" s="3">
        <v>2</v>
      </c>
      <c r="BD442" s="3">
        <v>1</v>
      </c>
      <c r="BE442" s="3">
        <v>1</v>
      </c>
      <c r="BF442" s="3">
        <v>0</v>
      </c>
      <c r="BG442" s="3">
        <v>0</v>
      </c>
      <c r="BH442">
        <v>0</v>
      </c>
      <c r="BI442">
        <v>0</v>
      </c>
      <c r="BJ442">
        <v>0</v>
      </c>
      <c r="BK442">
        <v>1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 t="s">
        <v>414</v>
      </c>
      <c r="BT442" t="s">
        <v>619</v>
      </c>
      <c r="BU442" t="s">
        <v>417</v>
      </c>
      <c r="BV442" t="s">
        <v>622</v>
      </c>
    </row>
    <row r="443" spans="1:74" hidden="1" x14ac:dyDescent="0.2">
      <c r="A443">
        <v>455</v>
      </c>
      <c r="B443">
        <v>110</v>
      </c>
      <c r="C443" t="s">
        <v>188</v>
      </c>
      <c r="E443" t="s">
        <v>68</v>
      </c>
      <c r="F443">
        <v>12</v>
      </c>
      <c r="G443">
        <v>2001</v>
      </c>
      <c r="H443">
        <v>21</v>
      </c>
      <c r="I443" t="s">
        <v>69</v>
      </c>
      <c r="J443">
        <v>2</v>
      </c>
      <c r="K443" t="s">
        <v>661</v>
      </c>
      <c r="L443" t="s">
        <v>633</v>
      </c>
      <c r="M443">
        <v>10</v>
      </c>
      <c r="N443">
        <v>71</v>
      </c>
      <c r="O443" t="s">
        <v>583</v>
      </c>
      <c r="P443" t="s">
        <v>542</v>
      </c>
      <c r="Q443" t="s">
        <v>734</v>
      </c>
      <c r="R443" t="s">
        <v>711</v>
      </c>
      <c r="S443" t="s">
        <v>378</v>
      </c>
      <c r="T443" t="s">
        <v>329</v>
      </c>
      <c r="U443" t="s">
        <v>623</v>
      </c>
      <c r="V443" t="s">
        <v>543</v>
      </c>
      <c r="W443" t="s">
        <v>197</v>
      </c>
      <c r="X443" t="s">
        <v>196</v>
      </c>
      <c r="Y443" t="s">
        <v>274</v>
      </c>
      <c r="Z443">
        <v>5</v>
      </c>
      <c r="AA443">
        <v>6</v>
      </c>
      <c r="AB443">
        <v>6</v>
      </c>
      <c r="AC443">
        <v>1</v>
      </c>
      <c r="AD443">
        <v>1</v>
      </c>
      <c r="AE443">
        <v>2</v>
      </c>
      <c r="AF443">
        <v>2</v>
      </c>
      <c r="AG443">
        <v>5</v>
      </c>
      <c r="AH443">
        <v>4</v>
      </c>
      <c r="AI443">
        <v>7</v>
      </c>
      <c r="AJ443">
        <v>1</v>
      </c>
      <c r="AK443">
        <v>5</v>
      </c>
      <c r="AL443">
        <v>7</v>
      </c>
      <c r="AM443">
        <v>3</v>
      </c>
      <c r="AN443">
        <v>200</v>
      </c>
      <c r="AO443">
        <v>1</v>
      </c>
      <c r="AP443">
        <v>1</v>
      </c>
      <c r="AQ443">
        <v>1</v>
      </c>
      <c r="AR443">
        <v>2</v>
      </c>
      <c r="AS443">
        <v>2</v>
      </c>
      <c r="AT443">
        <v>6</v>
      </c>
      <c r="AU443">
        <v>5</v>
      </c>
      <c r="AV443">
        <v>5</v>
      </c>
      <c r="AW443">
        <v>6</v>
      </c>
      <c r="AX443">
        <v>1</v>
      </c>
      <c r="AY443" cm="1">
        <f t="array" ref="AY443">_xlfn.IFS(AZ443="Positive",1, AZ443="Negative",1, AZ443="Neutral",0)</f>
        <v>1</v>
      </c>
      <c r="AZ443" t="s">
        <v>196</v>
      </c>
      <c r="BA443">
        <v>4</v>
      </c>
      <c r="BB443">
        <v>1</v>
      </c>
      <c r="BC443" s="3">
        <v>2</v>
      </c>
      <c r="BD443" s="3">
        <v>1</v>
      </c>
      <c r="BE443" s="3">
        <v>1</v>
      </c>
      <c r="BF443" s="3">
        <v>0</v>
      </c>
      <c r="BG443" s="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</v>
      </c>
      <c r="BS443" t="s">
        <v>510</v>
      </c>
      <c r="BT443">
        <v>3</v>
      </c>
      <c r="BU443" t="s">
        <v>511</v>
      </c>
      <c r="BV443" t="s">
        <v>309</v>
      </c>
    </row>
    <row r="444" spans="1:74" hidden="1" x14ac:dyDescent="0.2">
      <c r="A444">
        <v>456</v>
      </c>
      <c r="B444">
        <v>111</v>
      </c>
      <c r="C444" t="s">
        <v>189</v>
      </c>
      <c r="E444" t="s">
        <v>68</v>
      </c>
      <c r="F444">
        <v>20</v>
      </c>
      <c r="G444">
        <v>2001</v>
      </c>
      <c r="H444">
        <v>21</v>
      </c>
      <c r="I444" t="s">
        <v>64</v>
      </c>
      <c r="J444">
        <v>1</v>
      </c>
      <c r="K444" t="s">
        <v>667</v>
      </c>
      <c r="L444" t="s">
        <v>654</v>
      </c>
      <c r="M444">
        <v>10</v>
      </c>
      <c r="N444">
        <v>55</v>
      </c>
      <c r="O444" t="s">
        <v>338</v>
      </c>
      <c r="P444" t="s">
        <v>389</v>
      </c>
      <c r="Q444" t="s">
        <v>741</v>
      </c>
      <c r="R444" t="s">
        <v>728</v>
      </c>
      <c r="S444" t="s">
        <v>378</v>
      </c>
      <c r="T444" t="s">
        <v>404</v>
      </c>
      <c r="U444" t="s">
        <v>342</v>
      </c>
      <c r="V444" t="s">
        <v>392</v>
      </c>
      <c r="W444" t="s">
        <v>197</v>
      </c>
      <c r="X444" t="s">
        <v>196</v>
      </c>
      <c r="Y444" t="s">
        <v>274</v>
      </c>
      <c r="Z444">
        <v>4</v>
      </c>
      <c r="AA444">
        <v>4</v>
      </c>
      <c r="AB444">
        <v>5</v>
      </c>
      <c r="AC444">
        <v>5</v>
      </c>
      <c r="AD444">
        <v>2</v>
      </c>
      <c r="AE444">
        <v>2</v>
      </c>
      <c r="AF444">
        <v>2</v>
      </c>
      <c r="AG444">
        <v>3</v>
      </c>
      <c r="AH444">
        <v>2</v>
      </c>
      <c r="AI444">
        <v>5</v>
      </c>
      <c r="AJ444">
        <v>3</v>
      </c>
      <c r="AK444">
        <v>2</v>
      </c>
      <c r="AL444">
        <v>3</v>
      </c>
      <c r="AM444">
        <v>2</v>
      </c>
      <c r="AN444">
        <v>96</v>
      </c>
      <c r="AO444">
        <v>5</v>
      </c>
      <c r="AP444">
        <v>3</v>
      </c>
      <c r="AQ444">
        <v>2</v>
      </c>
      <c r="AR444">
        <v>3</v>
      </c>
      <c r="AS444">
        <v>3</v>
      </c>
      <c r="AT444">
        <v>3</v>
      </c>
      <c r="AU444">
        <v>3</v>
      </c>
      <c r="AV444">
        <v>3</v>
      </c>
      <c r="AW444">
        <v>3</v>
      </c>
      <c r="AX444">
        <v>2</v>
      </c>
      <c r="AY444" cm="1">
        <f t="array" ref="AY444">_xlfn.IFS(AZ444="Positive",1, AZ444="Negative",1, AZ444="Neutral",0)</f>
        <v>1</v>
      </c>
      <c r="AZ444" t="s">
        <v>196</v>
      </c>
      <c r="BA444">
        <v>5</v>
      </c>
      <c r="BB444">
        <v>0</v>
      </c>
      <c r="BC444" s="3">
        <v>2</v>
      </c>
      <c r="BD444" s="3">
        <v>2</v>
      </c>
      <c r="BE444" s="3">
        <v>1</v>
      </c>
      <c r="BF444" s="3">
        <v>0</v>
      </c>
      <c r="BG444" s="3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 t="s">
        <v>619</v>
      </c>
      <c r="BT444" t="s">
        <v>536</v>
      </c>
      <c r="BU444" t="s">
        <v>620</v>
      </c>
      <c r="BV444" t="s">
        <v>556</v>
      </c>
    </row>
    <row r="445" spans="1:74" hidden="1" x14ac:dyDescent="0.2">
      <c r="A445">
        <v>457</v>
      </c>
      <c r="B445">
        <v>112</v>
      </c>
      <c r="C445" t="s">
        <v>190</v>
      </c>
      <c r="E445" t="s">
        <v>88</v>
      </c>
      <c r="F445">
        <v>21</v>
      </c>
      <c r="G445">
        <v>2001</v>
      </c>
      <c r="H445">
        <v>21</v>
      </c>
      <c r="I445" t="s">
        <v>69</v>
      </c>
      <c r="J445">
        <v>2</v>
      </c>
      <c r="K445" t="s">
        <v>637</v>
      </c>
      <c r="L445" t="s">
        <v>665</v>
      </c>
      <c r="M445">
        <v>0</v>
      </c>
      <c r="N445">
        <v>60</v>
      </c>
      <c r="O445" t="s">
        <v>539</v>
      </c>
      <c r="P445" t="s">
        <v>542</v>
      </c>
      <c r="Q445" t="s">
        <v>706</v>
      </c>
      <c r="R445" t="s">
        <v>739</v>
      </c>
      <c r="S445" t="s">
        <v>411</v>
      </c>
      <c r="T445" t="s">
        <v>444</v>
      </c>
      <c r="U445" t="s">
        <v>624</v>
      </c>
      <c r="V445" t="s">
        <v>543</v>
      </c>
      <c r="W445" t="s">
        <v>197</v>
      </c>
      <c r="X445" t="s">
        <v>196</v>
      </c>
      <c r="Y445" t="s">
        <v>274</v>
      </c>
      <c r="Z445">
        <v>7</v>
      </c>
      <c r="AA445">
        <v>5</v>
      </c>
      <c r="AB445">
        <v>5</v>
      </c>
      <c r="AC445">
        <v>2</v>
      </c>
      <c r="AD445">
        <v>4</v>
      </c>
      <c r="AE445">
        <v>4</v>
      </c>
      <c r="AF445">
        <v>1</v>
      </c>
      <c r="AG445">
        <v>2</v>
      </c>
      <c r="AH445">
        <v>4</v>
      </c>
      <c r="AI445">
        <v>7</v>
      </c>
      <c r="AJ445">
        <v>1</v>
      </c>
      <c r="AK445">
        <v>5</v>
      </c>
      <c r="AL445">
        <v>5</v>
      </c>
      <c r="AM445">
        <v>1</v>
      </c>
      <c r="AN445">
        <v>60</v>
      </c>
      <c r="AO445">
        <v>1</v>
      </c>
      <c r="AP445">
        <v>2</v>
      </c>
      <c r="AQ445">
        <v>3</v>
      </c>
      <c r="AR445">
        <v>6</v>
      </c>
      <c r="AS445">
        <v>6</v>
      </c>
      <c r="AT445">
        <v>6</v>
      </c>
      <c r="AU445">
        <v>6</v>
      </c>
      <c r="AV445">
        <v>6</v>
      </c>
      <c r="AW445">
        <v>6</v>
      </c>
      <c r="AX445">
        <v>1</v>
      </c>
      <c r="AY445" cm="1">
        <f t="array" ref="AY445">_xlfn.IFS(AZ445="Positive",1, AZ445="Negative",1, AZ445="Neutral",0)</f>
        <v>1</v>
      </c>
      <c r="AZ445" t="s">
        <v>196</v>
      </c>
      <c r="BA445">
        <v>8</v>
      </c>
      <c r="BB445">
        <v>0</v>
      </c>
      <c r="BC445" s="3">
        <v>5</v>
      </c>
      <c r="BD445" s="3">
        <v>0</v>
      </c>
      <c r="BE445" s="3">
        <v>2</v>
      </c>
      <c r="BF445" s="3">
        <v>0</v>
      </c>
      <c r="BG445" s="3">
        <v>1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 t="s">
        <v>567</v>
      </c>
      <c r="BT445" t="s">
        <v>322</v>
      </c>
      <c r="BU445" t="s">
        <v>569</v>
      </c>
      <c r="BV445" t="s">
        <v>422</v>
      </c>
    </row>
    <row r="446" spans="1:74" hidden="1" x14ac:dyDescent="0.2">
      <c r="A446">
        <v>458</v>
      </c>
      <c r="B446">
        <v>113</v>
      </c>
      <c r="C446" t="s">
        <v>191</v>
      </c>
      <c r="E446" t="s">
        <v>68</v>
      </c>
      <c r="F446">
        <v>22</v>
      </c>
      <c r="G446">
        <v>1996</v>
      </c>
      <c r="H446">
        <v>26</v>
      </c>
      <c r="I446" t="s">
        <v>69</v>
      </c>
      <c r="J446">
        <v>2</v>
      </c>
      <c r="K446" t="s">
        <v>671</v>
      </c>
      <c r="L446" t="s">
        <v>675</v>
      </c>
      <c r="M446">
        <v>14</v>
      </c>
      <c r="N446">
        <v>57</v>
      </c>
      <c r="O446" t="s">
        <v>446</v>
      </c>
      <c r="P446">
        <v>6</v>
      </c>
      <c r="Q446" t="s">
        <v>748</v>
      </c>
      <c r="R446" t="s">
        <v>754</v>
      </c>
      <c r="S446" t="s">
        <v>550</v>
      </c>
      <c r="T446" t="s">
        <v>575</v>
      </c>
      <c r="U446" t="s">
        <v>448</v>
      </c>
      <c r="V446" t="s">
        <v>471</v>
      </c>
      <c r="W446" t="s">
        <v>197</v>
      </c>
      <c r="X446" t="s">
        <v>196</v>
      </c>
      <c r="Y446" t="s">
        <v>274</v>
      </c>
      <c r="Z446">
        <v>6</v>
      </c>
      <c r="AA446">
        <v>7</v>
      </c>
      <c r="AB446">
        <v>7</v>
      </c>
      <c r="AC446">
        <v>6</v>
      </c>
      <c r="AD446">
        <v>2</v>
      </c>
      <c r="AE446">
        <v>7</v>
      </c>
      <c r="AF446">
        <v>1</v>
      </c>
      <c r="AG446">
        <v>1</v>
      </c>
      <c r="AH446">
        <v>7</v>
      </c>
      <c r="AI446">
        <v>7</v>
      </c>
      <c r="AJ446">
        <v>1</v>
      </c>
      <c r="AK446">
        <v>6</v>
      </c>
      <c r="AL446">
        <v>4</v>
      </c>
      <c r="AM446">
        <v>5</v>
      </c>
      <c r="AN446">
        <v>240</v>
      </c>
      <c r="AO446">
        <v>1</v>
      </c>
      <c r="AP446">
        <v>1</v>
      </c>
      <c r="AQ446">
        <v>5</v>
      </c>
      <c r="AR446">
        <v>2</v>
      </c>
      <c r="AS446">
        <v>7</v>
      </c>
      <c r="AT446">
        <v>6</v>
      </c>
      <c r="AU446">
        <v>7</v>
      </c>
      <c r="AV446">
        <v>7</v>
      </c>
      <c r="AW446">
        <v>7</v>
      </c>
      <c r="AX446">
        <v>1</v>
      </c>
      <c r="AY446" cm="1">
        <f t="array" ref="AY446">_xlfn.IFS(AZ446="Positive",1, AZ446="Negative",1, AZ446="Neutral",0)</f>
        <v>1</v>
      </c>
      <c r="AZ446" t="s">
        <v>196</v>
      </c>
      <c r="BA446">
        <v>18</v>
      </c>
      <c r="BB446">
        <v>3</v>
      </c>
      <c r="BC446" s="3">
        <v>13</v>
      </c>
      <c r="BD446" s="3">
        <v>0</v>
      </c>
      <c r="BE446" s="3">
        <v>2</v>
      </c>
      <c r="BF446" s="3">
        <v>2</v>
      </c>
      <c r="BG446" s="3">
        <v>1</v>
      </c>
      <c r="BH446">
        <v>0</v>
      </c>
      <c r="BI446">
        <v>0</v>
      </c>
      <c r="BJ446">
        <v>1</v>
      </c>
      <c r="BK446">
        <v>1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>
        <v>0</v>
      </c>
      <c r="BS446">
        <v>3</v>
      </c>
      <c r="BT446" t="s">
        <v>489</v>
      </c>
      <c r="BU446" t="s">
        <v>395</v>
      </c>
      <c r="BV446" t="s">
        <v>512</v>
      </c>
    </row>
    <row r="447" spans="1:74" hidden="1" x14ac:dyDescent="0.2">
      <c r="A447">
        <v>459</v>
      </c>
      <c r="B447">
        <v>114</v>
      </c>
      <c r="C447" t="s">
        <v>192</v>
      </c>
      <c r="E447" t="s">
        <v>80</v>
      </c>
      <c r="F447">
        <v>26</v>
      </c>
      <c r="G447">
        <v>1997</v>
      </c>
      <c r="H447">
        <v>25</v>
      </c>
      <c r="I447" t="s">
        <v>69</v>
      </c>
      <c r="J447">
        <v>2</v>
      </c>
      <c r="K447" t="s">
        <v>481</v>
      </c>
      <c r="L447" t="s">
        <v>654</v>
      </c>
      <c r="M447">
        <v>12</v>
      </c>
      <c r="N447">
        <v>49</v>
      </c>
      <c r="O447" t="s">
        <v>625</v>
      </c>
      <c r="P447">
        <v>4</v>
      </c>
      <c r="Q447" t="s">
        <v>743</v>
      </c>
      <c r="R447" t="s">
        <v>728</v>
      </c>
      <c r="S447" t="s">
        <v>499</v>
      </c>
      <c r="T447" t="s">
        <v>491</v>
      </c>
      <c r="U447" t="s">
        <v>626</v>
      </c>
      <c r="V447" t="s">
        <v>627</v>
      </c>
      <c r="W447" t="s">
        <v>197</v>
      </c>
      <c r="X447" t="s">
        <v>196</v>
      </c>
      <c r="Y447" t="s">
        <v>274</v>
      </c>
      <c r="Z447">
        <v>5</v>
      </c>
      <c r="AA447">
        <v>4</v>
      </c>
      <c r="AB447">
        <v>7</v>
      </c>
      <c r="AC447">
        <v>3</v>
      </c>
      <c r="AD447">
        <v>1</v>
      </c>
      <c r="AE447">
        <v>5</v>
      </c>
      <c r="AF447">
        <v>1</v>
      </c>
      <c r="AG447">
        <v>6</v>
      </c>
      <c r="AH447">
        <v>4</v>
      </c>
      <c r="AI447">
        <v>5</v>
      </c>
      <c r="AJ447">
        <v>2</v>
      </c>
      <c r="AK447">
        <v>5</v>
      </c>
      <c r="AL447">
        <v>6</v>
      </c>
      <c r="AM447">
        <v>2</v>
      </c>
      <c r="AN447">
        <v>54</v>
      </c>
      <c r="AO447">
        <v>6</v>
      </c>
      <c r="AP447">
        <v>2</v>
      </c>
      <c r="AQ447">
        <v>3</v>
      </c>
      <c r="AR447">
        <v>2</v>
      </c>
      <c r="AS447">
        <v>5</v>
      </c>
      <c r="AT447">
        <v>1</v>
      </c>
      <c r="AU447">
        <v>7</v>
      </c>
      <c r="AV447">
        <v>2</v>
      </c>
      <c r="AW447">
        <v>2</v>
      </c>
      <c r="AX447">
        <v>1</v>
      </c>
      <c r="AY447" cm="1">
        <f t="array" ref="AY447">_xlfn.IFS(AZ447="Positive",1, AZ447="Negative",1, AZ447="Neutral",0)</f>
        <v>1</v>
      </c>
      <c r="AZ447" t="s">
        <v>196</v>
      </c>
      <c r="BA447">
        <v>9</v>
      </c>
      <c r="BB447">
        <v>2</v>
      </c>
      <c r="BC447" s="3">
        <v>7</v>
      </c>
      <c r="BD447" s="3">
        <v>0</v>
      </c>
      <c r="BE447" s="3">
        <v>2</v>
      </c>
      <c r="BF447" s="3">
        <v>0</v>
      </c>
      <c r="BG447" s="3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</v>
      </c>
      <c r="BR447">
        <v>1</v>
      </c>
      <c r="BS447" t="s">
        <v>285</v>
      </c>
      <c r="BT447" t="s">
        <v>276</v>
      </c>
      <c r="BU447" t="s">
        <v>289</v>
      </c>
      <c r="BV447" t="s">
        <v>280</v>
      </c>
    </row>
    <row r="448" spans="1:74" hidden="1" x14ac:dyDescent="0.2">
      <c r="A448">
        <v>460</v>
      </c>
      <c r="B448">
        <v>115</v>
      </c>
      <c r="C448" t="s">
        <v>193</v>
      </c>
      <c r="E448" t="s">
        <v>93</v>
      </c>
      <c r="F448">
        <v>6</v>
      </c>
      <c r="G448">
        <v>1997</v>
      </c>
      <c r="H448">
        <v>25</v>
      </c>
      <c r="I448" t="s">
        <v>69</v>
      </c>
      <c r="J448">
        <v>2</v>
      </c>
      <c r="K448" t="s">
        <v>671</v>
      </c>
      <c r="L448" t="s">
        <v>677</v>
      </c>
      <c r="M448">
        <v>10</v>
      </c>
      <c r="N448">
        <v>52</v>
      </c>
      <c r="O448" t="s">
        <v>460</v>
      </c>
      <c r="P448" t="s">
        <v>315</v>
      </c>
      <c r="Q448" t="s">
        <v>748</v>
      </c>
      <c r="R448" t="s">
        <v>756</v>
      </c>
      <c r="S448" t="s">
        <v>378</v>
      </c>
      <c r="T448" t="s">
        <v>495</v>
      </c>
      <c r="U448" t="s">
        <v>582</v>
      </c>
      <c r="V448" t="s">
        <v>321</v>
      </c>
      <c r="W448" t="s">
        <v>197</v>
      </c>
      <c r="X448" t="s">
        <v>196</v>
      </c>
      <c r="Y448" t="s">
        <v>274</v>
      </c>
      <c r="Z448">
        <v>4</v>
      </c>
      <c r="AA448">
        <v>2</v>
      </c>
      <c r="AB448">
        <v>5</v>
      </c>
      <c r="AC448">
        <v>5</v>
      </c>
      <c r="AD448">
        <v>5</v>
      </c>
      <c r="AE448">
        <v>3</v>
      </c>
      <c r="AF448">
        <v>5</v>
      </c>
      <c r="AG448">
        <v>5</v>
      </c>
      <c r="AH448">
        <v>2</v>
      </c>
      <c r="AI448">
        <v>7</v>
      </c>
      <c r="AJ448">
        <v>1</v>
      </c>
      <c r="AK448">
        <v>3</v>
      </c>
      <c r="AL448">
        <v>2</v>
      </c>
      <c r="AM448">
        <v>3</v>
      </c>
      <c r="AN448">
        <v>240</v>
      </c>
      <c r="AO448">
        <v>1</v>
      </c>
      <c r="AP448">
        <v>2</v>
      </c>
      <c r="AQ448">
        <v>4</v>
      </c>
      <c r="AR448">
        <v>2</v>
      </c>
      <c r="AS448">
        <v>2</v>
      </c>
      <c r="AT448">
        <v>2</v>
      </c>
      <c r="AU448">
        <v>3</v>
      </c>
      <c r="AV448">
        <v>1</v>
      </c>
      <c r="AW448">
        <v>5</v>
      </c>
      <c r="AX448">
        <v>1</v>
      </c>
      <c r="AY448" cm="1">
        <f t="array" ref="AY448">_xlfn.IFS(AZ448="Positive",1, AZ448="Negative",1, AZ448="Neutral",0)</f>
        <v>1</v>
      </c>
      <c r="AZ448" t="s">
        <v>196</v>
      </c>
      <c r="BA448">
        <v>17</v>
      </c>
      <c r="BB448">
        <v>2</v>
      </c>
      <c r="BC448" s="3">
        <v>12</v>
      </c>
      <c r="BD448" s="3">
        <v>1</v>
      </c>
      <c r="BE448" s="3">
        <v>2</v>
      </c>
      <c r="BF448" s="3">
        <v>1</v>
      </c>
      <c r="BG448" s="3">
        <v>1</v>
      </c>
      <c r="BH448">
        <v>0</v>
      </c>
      <c r="BI448">
        <v>0</v>
      </c>
      <c r="BJ448">
        <v>2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3</v>
      </c>
      <c r="BT448" t="s">
        <v>463</v>
      </c>
      <c r="BU448" t="s">
        <v>395</v>
      </c>
      <c r="BV448" t="s">
        <v>628</v>
      </c>
    </row>
    <row r="449" spans="1:74" s="1" customFormat="1" hidden="1" x14ac:dyDescent="0.2">
      <c r="A449">
        <v>462</v>
      </c>
      <c r="B449">
        <v>2</v>
      </c>
      <c r="C449" t="s">
        <v>67</v>
      </c>
      <c r="D449"/>
      <c r="E449" t="s">
        <v>68</v>
      </c>
      <c r="F449">
        <v>22</v>
      </c>
      <c r="G449">
        <v>1998</v>
      </c>
      <c r="H449">
        <v>24</v>
      </c>
      <c r="I449" t="s">
        <v>69</v>
      </c>
      <c r="J449">
        <v>2</v>
      </c>
      <c r="K449" t="s">
        <v>632</v>
      </c>
      <c r="L449" t="s">
        <v>634</v>
      </c>
      <c r="M449">
        <v>7</v>
      </c>
      <c r="N449">
        <v>57</v>
      </c>
      <c r="O449" t="s">
        <v>460</v>
      </c>
      <c r="P449" t="s">
        <v>389</v>
      </c>
      <c r="Q449" t="s">
        <v>731</v>
      </c>
      <c r="R449" t="s">
        <v>747</v>
      </c>
      <c r="S449" t="s">
        <v>430</v>
      </c>
      <c r="T449" t="s">
        <v>575</v>
      </c>
      <c r="U449" t="s">
        <v>582</v>
      </c>
      <c r="V449" t="s">
        <v>392</v>
      </c>
      <c r="W449" t="s">
        <v>198</v>
      </c>
      <c r="X449" t="s">
        <v>199</v>
      </c>
      <c r="Y449" t="s">
        <v>274</v>
      </c>
      <c r="Z449">
        <v>5</v>
      </c>
      <c r="AA449">
        <v>5</v>
      </c>
      <c r="AB449">
        <v>5</v>
      </c>
      <c r="AC449">
        <v>6</v>
      </c>
      <c r="AD449">
        <v>1</v>
      </c>
      <c r="AE449">
        <v>3</v>
      </c>
      <c r="AF449">
        <v>3</v>
      </c>
      <c r="AG449">
        <v>1</v>
      </c>
      <c r="AH449">
        <v>3</v>
      </c>
      <c r="AI449">
        <v>1</v>
      </c>
      <c r="AJ449">
        <v>7</v>
      </c>
      <c r="AK449">
        <v>6</v>
      </c>
      <c r="AL449">
        <v>6</v>
      </c>
      <c r="AM449">
        <v>5</v>
      </c>
      <c r="AN449">
        <v>145</v>
      </c>
      <c r="AO449">
        <v>3</v>
      </c>
      <c r="AP449">
        <v>7</v>
      </c>
      <c r="AQ449">
        <v>7</v>
      </c>
      <c r="AR449">
        <v>3</v>
      </c>
      <c r="AS449">
        <v>3</v>
      </c>
      <c r="AT449">
        <v>2</v>
      </c>
      <c r="AU449">
        <v>5</v>
      </c>
      <c r="AV449">
        <v>5</v>
      </c>
      <c r="AW449">
        <v>6</v>
      </c>
      <c r="AX449">
        <v>3</v>
      </c>
      <c r="AY449" cm="1">
        <f t="array" ref="AY449">_xlfn.IFS(AZ449="Positive",1, AZ449="Negative",1, AZ449="Neutral",0)</f>
        <v>1</v>
      </c>
      <c r="AZ449" t="str" cm="1">
        <f t="array" ref="AZ449">_xlfn.IFS(AX449=1,"Positive",AX449=2,"Neutral",AX449=3,"Negative")</f>
        <v>Negative</v>
      </c>
      <c r="BA449">
        <v>5</v>
      </c>
      <c r="BB449">
        <v>3</v>
      </c>
      <c r="BC449" s="3">
        <v>4</v>
      </c>
      <c r="BD449" s="3">
        <v>0</v>
      </c>
      <c r="BE449" s="3">
        <v>1</v>
      </c>
      <c r="BF449" s="3">
        <v>0</v>
      </c>
      <c r="BG449" s="3">
        <v>0</v>
      </c>
      <c r="BH449">
        <v>0</v>
      </c>
      <c r="BI449">
        <v>0</v>
      </c>
      <c r="BJ449">
        <v>3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 t="s">
        <v>453</v>
      </c>
      <c r="BT449" t="s">
        <v>399</v>
      </c>
      <c r="BU449" t="s">
        <v>472</v>
      </c>
      <c r="BV449" t="s">
        <v>447</v>
      </c>
    </row>
    <row r="450" spans="1:74" s="1" customFormat="1" hidden="1" x14ac:dyDescent="0.2">
      <c r="A450">
        <v>463</v>
      </c>
      <c r="B450">
        <v>3</v>
      </c>
      <c r="C450" t="s">
        <v>70</v>
      </c>
      <c r="D450"/>
      <c r="E450" t="s">
        <v>71</v>
      </c>
      <c r="F450">
        <v>2</v>
      </c>
      <c r="G450">
        <v>1999</v>
      </c>
      <c r="H450">
        <v>23</v>
      </c>
      <c r="I450" t="s">
        <v>64</v>
      </c>
      <c r="J450">
        <v>1</v>
      </c>
      <c r="K450" t="s">
        <v>635</v>
      </c>
      <c r="L450" t="s">
        <v>636</v>
      </c>
      <c r="M450">
        <v>2</v>
      </c>
      <c r="N450">
        <v>66</v>
      </c>
      <c r="O450" t="s">
        <v>277</v>
      </c>
      <c r="P450" t="s">
        <v>278</v>
      </c>
      <c r="Q450" t="s">
        <v>704</v>
      </c>
      <c r="R450" t="s">
        <v>705</v>
      </c>
      <c r="S450" t="s">
        <v>281</v>
      </c>
      <c r="T450" t="s">
        <v>282</v>
      </c>
      <c r="U450" t="s">
        <v>283</v>
      </c>
      <c r="V450" t="s">
        <v>284</v>
      </c>
      <c r="W450" t="s">
        <v>198</v>
      </c>
      <c r="X450" t="s">
        <v>199</v>
      </c>
      <c r="Y450" t="s">
        <v>274</v>
      </c>
      <c r="Z450">
        <v>7</v>
      </c>
      <c r="AA450">
        <v>7</v>
      </c>
      <c r="AB450">
        <v>7</v>
      </c>
      <c r="AC450">
        <v>5</v>
      </c>
      <c r="AD450">
        <v>1</v>
      </c>
      <c r="AE450">
        <v>6</v>
      </c>
      <c r="AF450">
        <v>1</v>
      </c>
      <c r="AG450">
        <v>6</v>
      </c>
      <c r="AH450">
        <v>7</v>
      </c>
      <c r="AI450">
        <v>7</v>
      </c>
      <c r="AJ450">
        <v>3</v>
      </c>
      <c r="AK450">
        <v>6</v>
      </c>
      <c r="AL450">
        <v>7</v>
      </c>
      <c r="AM450">
        <v>5</v>
      </c>
      <c r="AN450">
        <v>27</v>
      </c>
      <c r="AO450">
        <v>1</v>
      </c>
      <c r="AP450">
        <v>3</v>
      </c>
      <c r="AQ450">
        <v>4</v>
      </c>
      <c r="AR450">
        <v>7</v>
      </c>
      <c r="AS450">
        <v>7</v>
      </c>
      <c r="AT450">
        <v>7</v>
      </c>
      <c r="AU450">
        <v>7</v>
      </c>
      <c r="AV450">
        <v>7</v>
      </c>
      <c r="AW450">
        <v>7</v>
      </c>
      <c r="AX450">
        <v>2</v>
      </c>
      <c r="AY450" cm="1">
        <f t="array" ref="AY450">_xlfn.IFS(AZ450="Positive",1, AZ450="Negative",1, AZ450="Neutral",0)</f>
        <v>1</v>
      </c>
      <c r="AZ450" t="s">
        <v>199</v>
      </c>
      <c r="BA450">
        <v>8</v>
      </c>
      <c r="BB450">
        <v>4</v>
      </c>
      <c r="BC450" s="3">
        <v>6</v>
      </c>
      <c r="BD450" s="3">
        <v>0</v>
      </c>
      <c r="BE450" s="3">
        <v>0</v>
      </c>
      <c r="BF450" s="3">
        <v>1</v>
      </c>
      <c r="BG450" s="3">
        <v>1</v>
      </c>
      <c r="BH450">
        <v>0</v>
      </c>
      <c r="BI450">
        <v>0</v>
      </c>
      <c r="BJ450">
        <v>2</v>
      </c>
      <c r="BK450">
        <v>2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 t="s">
        <v>275</v>
      </c>
      <c r="BT450" t="s">
        <v>276</v>
      </c>
      <c r="BU450" t="s">
        <v>279</v>
      </c>
      <c r="BV450" t="s">
        <v>280</v>
      </c>
    </row>
    <row r="451" spans="1:74" s="1" customFormat="1" hidden="1" x14ac:dyDescent="0.2">
      <c r="A451">
        <v>464</v>
      </c>
      <c r="B451">
        <v>4</v>
      </c>
      <c r="C451" t="s">
        <v>72</v>
      </c>
      <c r="D451"/>
      <c r="E451" t="s">
        <v>73</v>
      </c>
      <c r="F451">
        <v>2</v>
      </c>
      <c r="G451">
        <v>1999</v>
      </c>
      <c r="H451">
        <v>23</v>
      </c>
      <c r="I451" t="s">
        <v>64</v>
      </c>
      <c r="J451">
        <v>1</v>
      </c>
      <c r="K451" t="s">
        <v>637</v>
      </c>
      <c r="L451" t="s">
        <v>638</v>
      </c>
      <c r="M451">
        <v>8</v>
      </c>
      <c r="N451">
        <v>61</v>
      </c>
      <c r="O451" t="s">
        <v>287</v>
      </c>
      <c r="P451" t="s">
        <v>288</v>
      </c>
      <c r="Q451" t="s">
        <v>706</v>
      </c>
      <c r="R451" t="s">
        <v>707</v>
      </c>
      <c r="S451" t="s">
        <v>291</v>
      </c>
      <c r="T451" t="s">
        <v>292</v>
      </c>
      <c r="U451" t="s">
        <v>293</v>
      </c>
      <c r="V451" t="s">
        <v>294</v>
      </c>
      <c r="W451" t="s">
        <v>198</v>
      </c>
      <c r="X451" t="s">
        <v>199</v>
      </c>
      <c r="Y451" t="s">
        <v>274</v>
      </c>
      <c r="Z451">
        <v>5</v>
      </c>
      <c r="AA451">
        <v>5</v>
      </c>
      <c r="AB451">
        <v>6</v>
      </c>
      <c r="AC451">
        <v>5</v>
      </c>
      <c r="AD451">
        <v>1</v>
      </c>
      <c r="AE451">
        <v>1</v>
      </c>
      <c r="AF451">
        <v>1</v>
      </c>
      <c r="AG451">
        <v>5</v>
      </c>
      <c r="AH451">
        <v>4</v>
      </c>
      <c r="AI451">
        <v>1</v>
      </c>
      <c r="AJ451">
        <v>7</v>
      </c>
      <c r="AK451">
        <v>5</v>
      </c>
      <c r="AL451">
        <v>5</v>
      </c>
      <c r="AM451">
        <v>3</v>
      </c>
      <c r="AN451">
        <v>30</v>
      </c>
      <c r="AO451">
        <v>3</v>
      </c>
      <c r="AP451">
        <v>7</v>
      </c>
      <c r="AQ451">
        <v>6</v>
      </c>
      <c r="AR451">
        <v>3</v>
      </c>
      <c r="AS451">
        <v>4</v>
      </c>
      <c r="AT451">
        <v>3</v>
      </c>
      <c r="AU451">
        <v>3</v>
      </c>
      <c r="AV451">
        <v>6</v>
      </c>
      <c r="AW451">
        <v>6</v>
      </c>
      <c r="AX451">
        <v>3</v>
      </c>
      <c r="AY451" cm="1">
        <f t="array" ref="AY451">_xlfn.IFS(AZ451="Positive",1, AZ451="Negative",1, AZ451="Neutral",0)</f>
        <v>1</v>
      </c>
      <c r="AZ451" t="s">
        <v>199</v>
      </c>
      <c r="BA451">
        <v>5</v>
      </c>
      <c r="BB451">
        <v>0</v>
      </c>
      <c r="BC451" s="3">
        <v>4</v>
      </c>
      <c r="BD451" s="3">
        <v>0</v>
      </c>
      <c r="BE451" s="3">
        <v>0</v>
      </c>
      <c r="BF451" s="3">
        <v>1</v>
      </c>
      <c r="BG451" s="3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 t="s">
        <v>285</v>
      </c>
      <c r="BT451" t="s">
        <v>286</v>
      </c>
      <c r="BU451" t="s">
        <v>289</v>
      </c>
      <c r="BV451" t="s">
        <v>290</v>
      </c>
    </row>
    <row r="452" spans="1:74" s="1" customFormat="1" hidden="1" x14ac:dyDescent="0.2">
      <c r="A452">
        <v>465</v>
      </c>
      <c r="B452">
        <v>5</v>
      </c>
      <c r="C452" t="s">
        <v>74</v>
      </c>
      <c r="D452"/>
      <c r="E452" t="s">
        <v>68</v>
      </c>
      <c r="F452">
        <v>6</v>
      </c>
      <c r="G452">
        <v>2001</v>
      </c>
      <c r="H452">
        <v>21</v>
      </c>
      <c r="I452" t="s">
        <v>69</v>
      </c>
      <c r="J452">
        <v>2</v>
      </c>
      <c r="K452" t="s">
        <v>639</v>
      </c>
      <c r="L452" t="s">
        <v>640</v>
      </c>
      <c r="M452">
        <v>20</v>
      </c>
      <c r="N452">
        <v>51</v>
      </c>
      <c r="O452" t="s">
        <v>297</v>
      </c>
      <c r="P452" t="s">
        <v>298</v>
      </c>
      <c r="Q452" t="s">
        <v>708</v>
      </c>
      <c r="R452" t="s">
        <v>709</v>
      </c>
      <c r="S452" t="s">
        <v>301</v>
      </c>
      <c r="T452" t="s">
        <v>302</v>
      </c>
      <c r="U452" t="s">
        <v>303</v>
      </c>
      <c r="V452" t="s">
        <v>304</v>
      </c>
      <c r="W452" t="s">
        <v>198</v>
      </c>
      <c r="X452" t="s">
        <v>199</v>
      </c>
      <c r="Y452" t="s">
        <v>274</v>
      </c>
      <c r="Z452">
        <v>4</v>
      </c>
      <c r="AA452">
        <v>4</v>
      </c>
      <c r="AB452">
        <v>5</v>
      </c>
      <c r="AC452">
        <v>2</v>
      </c>
      <c r="AD452">
        <v>1</v>
      </c>
      <c r="AE452">
        <v>1</v>
      </c>
      <c r="AF452">
        <v>2</v>
      </c>
      <c r="AG452">
        <v>4</v>
      </c>
      <c r="AH452">
        <v>2</v>
      </c>
      <c r="AI452">
        <v>2</v>
      </c>
      <c r="AJ452">
        <v>6</v>
      </c>
      <c r="AK452">
        <v>5</v>
      </c>
      <c r="AL452">
        <v>5</v>
      </c>
      <c r="AM452">
        <v>1</v>
      </c>
      <c r="AN452">
        <v>192</v>
      </c>
      <c r="AO452">
        <v>2</v>
      </c>
      <c r="AP452">
        <v>5</v>
      </c>
      <c r="AQ452">
        <v>3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4</v>
      </c>
      <c r="AX452">
        <v>2</v>
      </c>
      <c r="AY452" cm="1">
        <f t="array" ref="AY452">_xlfn.IFS(AZ452="Positive",1, AZ452="Negative",1, AZ452="Neutral",0)</f>
        <v>1</v>
      </c>
      <c r="AZ452" t="s">
        <v>199</v>
      </c>
      <c r="BA452">
        <v>3</v>
      </c>
      <c r="BB452">
        <v>3</v>
      </c>
      <c r="BC452" s="3">
        <v>2</v>
      </c>
      <c r="BD452" s="3">
        <v>0</v>
      </c>
      <c r="BE452" s="3">
        <v>1</v>
      </c>
      <c r="BF452" s="3">
        <v>0</v>
      </c>
      <c r="BG452" s="3">
        <v>0</v>
      </c>
      <c r="BH452">
        <v>0</v>
      </c>
      <c r="BI452">
        <v>0</v>
      </c>
      <c r="BJ452">
        <v>3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 t="s">
        <v>295</v>
      </c>
      <c r="BT452" t="s">
        <v>296</v>
      </c>
      <c r="BU452" t="s">
        <v>299</v>
      </c>
      <c r="BV452" t="s">
        <v>300</v>
      </c>
    </row>
    <row r="453" spans="1:74" s="1" customFormat="1" x14ac:dyDescent="0.2">
      <c r="A453">
        <v>466</v>
      </c>
      <c r="B453">
        <v>6</v>
      </c>
      <c r="C453" t="s">
        <v>75</v>
      </c>
      <c r="D453"/>
      <c r="E453" t="s">
        <v>76</v>
      </c>
      <c r="F453">
        <v>28</v>
      </c>
      <c r="G453">
        <v>1999</v>
      </c>
      <c r="H453">
        <v>23</v>
      </c>
      <c r="I453" t="s">
        <v>64</v>
      </c>
      <c r="J453">
        <v>1</v>
      </c>
      <c r="K453" t="s">
        <v>641</v>
      </c>
      <c r="L453" t="s">
        <v>633</v>
      </c>
      <c r="M453">
        <v>21</v>
      </c>
      <c r="N453">
        <v>61</v>
      </c>
      <c r="O453" t="s">
        <v>306</v>
      </c>
      <c r="P453" t="s">
        <v>307</v>
      </c>
      <c r="Q453" t="s">
        <v>710</v>
      </c>
      <c r="R453" t="s">
        <v>711</v>
      </c>
      <c r="S453" t="s">
        <v>310</v>
      </c>
      <c r="T453" t="s">
        <v>292</v>
      </c>
      <c r="U453" t="s">
        <v>311</v>
      </c>
      <c r="V453" t="s">
        <v>312</v>
      </c>
      <c r="W453" t="s">
        <v>198</v>
      </c>
      <c r="X453" t="s">
        <v>199</v>
      </c>
      <c r="Y453" t="s">
        <v>274</v>
      </c>
      <c r="Z453">
        <v>7</v>
      </c>
      <c r="AA453">
        <v>6</v>
      </c>
      <c r="AB453">
        <v>6</v>
      </c>
      <c r="AC453">
        <v>6</v>
      </c>
      <c r="AD453">
        <v>2</v>
      </c>
      <c r="AE453">
        <v>7</v>
      </c>
      <c r="AF453">
        <v>7</v>
      </c>
      <c r="AG453">
        <v>3</v>
      </c>
      <c r="AH453">
        <v>6</v>
      </c>
      <c r="AI453">
        <v>1</v>
      </c>
      <c r="AJ453">
        <v>6</v>
      </c>
      <c r="AK453">
        <v>6</v>
      </c>
      <c r="AL453">
        <v>6</v>
      </c>
      <c r="AM453">
        <v>6</v>
      </c>
      <c r="AN453">
        <v>24</v>
      </c>
      <c r="AO453">
        <v>5</v>
      </c>
      <c r="AP453">
        <v>7</v>
      </c>
      <c r="AQ453">
        <v>6</v>
      </c>
      <c r="AR453">
        <v>6</v>
      </c>
      <c r="AS453">
        <v>5</v>
      </c>
      <c r="AT453">
        <v>6</v>
      </c>
      <c r="AU453">
        <v>5</v>
      </c>
      <c r="AV453">
        <v>6</v>
      </c>
      <c r="AW453">
        <v>6</v>
      </c>
      <c r="AX453">
        <v>3</v>
      </c>
      <c r="AY453" cm="1">
        <f t="array" ref="AY453">_xlfn.IFS(AZ453="Positive",1, AZ453="Negative",1, AZ453="Neutral",0)</f>
        <v>1</v>
      </c>
      <c r="AZ453" t="s">
        <v>199</v>
      </c>
      <c r="BA453">
        <v>0</v>
      </c>
      <c r="BB453">
        <v>3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>
        <v>0</v>
      </c>
      <c r="BI453">
        <v>0</v>
      </c>
      <c r="BJ453">
        <v>2</v>
      </c>
      <c r="BK453">
        <v>1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 t="s">
        <v>305</v>
      </c>
      <c r="BT453">
        <v>3</v>
      </c>
      <c r="BU453" t="s">
        <v>308</v>
      </c>
      <c r="BV453" t="s">
        <v>309</v>
      </c>
    </row>
    <row r="454" spans="1:74" s="1" customFormat="1" hidden="1" x14ac:dyDescent="0.2">
      <c r="A454">
        <v>467</v>
      </c>
      <c r="B454">
        <v>7</v>
      </c>
      <c r="C454" t="s">
        <v>77</v>
      </c>
      <c r="D454"/>
      <c r="E454" t="s">
        <v>78</v>
      </c>
      <c r="F454">
        <v>11</v>
      </c>
      <c r="G454">
        <v>2001</v>
      </c>
      <c r="H454">
        <v>21</v>
      </c>
      <c r="I454" t="s">
        <v>64</v>
      </c>
      <c r="J454">
        <v>1</v>
      </c>
      <c r="K454" t="s">
        <v>642</v>
      </c>
      <c r="L454" t="s">
        <v>643</v>
      </c>
      <c r="M454">
        <v>5</v>
      </c>
      <c r="N454">
        <v>62</v>
      </c>
      <c r="O454" t="s">
        <v>314</v>
      </c>
      <c r="P454" t="s">
        <v>315</v>
      </c>
      <c r="Q454" t="s">
        <v>712</v>
      </c>
      <c r="R454" t="s">
        <v>713</v>
      </c>
      <c r="S454" t="s">
        <v>318</v>
      </c>
      <c r="T454" t="s">
        <v>319</v>
      </c>
      <c r="U454" t="s">
        <v>320</v>
      </c>
      <c r="V454" t="s">
        <v>321</v>
      </c>
      <c r="W454" t="s">
        <v>198</v>
      </c>
      <c r="X454" t="s">
        <v>199</v>
      </c>
      <c r="Y454" t="s">
        <v>274</v>
      </c>
      <c r="Z454">
        <v>6</v>
      </c>
      <c r="AA454">
        <v>6</v>
      </c>
      <c r="AB454">
        <v>6</v>
      </c>
      <c r="AC454">
        <v>4</v>
      </c>
      <c r="AD454">
        <v>3</v>
      </c>
      <c r="AE454">
        <v>6</v>
      </c>
      <c r="AF454">
        <v>5</v>
      </c>
      <c r="AG454">
        <v>3</v>
      </c>
      <c r="AH454">
        <v>6</v>
      </c>
      <c r="AI454">
        <v>1</v>
      </c>
      <c r="AJ454">
        <v>7</v>
      </c>
      <c r="AK454">
        <v>7</v>
      </c>
      <c r="AL454">
        <v>6</v>
      </c>
      <c r="AM454">
        <v>5</v>
      </c>
      <c r="AN454">
        <v>40</v>
      </c>
      <c r="AO454">
        <v>5</v>
      </c>
      <c r="AP454">
        <v>7</v>
      </c>
      <c r="AQ454">
        <v>7</v>
      </c>
      <c r="AR454">
        <v>5</v>
      </c>
      <c r="AS454">
        <v>4</v>
      </c>
      <c r="AT454">
        <v>5</v>
      </c>
      <c r="AU454">
        <v>4</v>
      </c>
      <c r="AV454">
        <v>5</v>
      </c>
      <c r="AW454">
        <v>5</v>
      </c>
      <c r="AX454">
        <v>3</v>
      </c>
      <c r="AY454" cm="1">
        <f t="array" ref="AY454">_xlfn.IFS(AZ454="Positive",1, AZ454="Negative",1, AZ454="Neutral",0)</f>
        <v>1</v>
      </c>
      <c r="AZ454" t="s">
        <v>199</v>
      </c>
      <c r="BA454">
        <v>5</v>
      </c>
      <c r="BB454">
        <v>2</v>
      </c>
      <c r="BC454" s="3">
        <v>3</v>
      </c>
      <c r="BD454" s="3">
        <v>1</v>
      </c>
      <c r="BE454" s="3">
        <v>1</v>
      </c>
      <c r="BF454" s="3">
        <v>0</v>
      </c>
      <c r="BG454" s="3">
        <v>0</v>
      </c>
      <c r="BH454">
        <v>0</v>
      </c>
      <c r="BI454">
        <v>0</v>
      </c>
      <c r="BJ454">
        <v>1</v>
      </c>
      <c r="BK454">
        <v>1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 t="s">
        <v>313</v>
      </c>
      <c r="BT454" t="s">
        <v>313</v>
      </c>
      <c r="BU454" t="s">
        <v>316</v>
      </c>
      <c r="BV454" t="s">
        <v>317</v>
      </c>
    </row>
    <row r="455" spans="1:74" s="1" customFormat="1" hidden="1" x14ac:dyDescent="0.2">
      <c r="A455">
        <v>468</v>
      </c>
      <c r="B455">
        <v>8</v>
      </c>
      <c r="C455" t="s">
        <v>79</v>
      </c>
      <c r="D455"/>
      <c r="E455" t="s">
        <v>80</v>
      </c>
      <c r="F455">
        <v>22</v>
      </c>
      <c r="G455">
        <v>2000</v>
      </c>
      <c r="H455">
        <v>22</v>
      </c>
      <c r="I455" t="s">
        <v>64</v>
      </c>
      <c r="J455">
        <v>1</v>
      </c>
      <c r="K455" t="s">
        <v>644</v>
      </c>
      <c r="L455" t="s">
        <v>645</v>
      </c>
      <c r="M455">
        <v>13</v>
      </c>
      <c r="N455">
        <v>71</v>
      </c>
      <c r="O455" t="s">
        <v>324</v>
      </c>
      <c r="P455" t="s">
        <v>325</v>
      </c>
      <c r="Q455" t="s">
        <v>714</v>
      </c>
      <c r="R455" t="s">
        <v>715</v>
      </c>
      <c r="S455" t="s">
        <v>328</v>
      </c>
      <c r="T455" t="s">
        <v>329</v>
      </c>
      <c r="U455" t="s">
        <v>330</v>
      </c>
      <c r="V455" t="s">
        <v>331</v>
      </c>
      <c r="W455" t="s">
        <v>198</v>
      </c>
      <c r="X455" t="s">
        <v>199</v>
      </c>
      <c r="Y455" t="s">
        <v>274</v>
      </c>
      <c r="Z455">
        <v>4</v>
      </c>
      <c r="AA455">
        <v>4</v>
      </c>
      <c r="AB455">
        <v>5</v>
      </c>
      <c r="AC455">
        <v>5</v>
      </c>
      <c r="AD455">
        <v>2</v>
      </c>
      <c r="AE455">
        <v>3</v>
      </c>
      <c r="AF455">
        <v>2</v>
      </c>
      <c r="AG455">
        <v>5</v>
      </c>
      <c r="AH455">
        <v>4</v>
      </c>
      <c r="AI455">
        <v>1</v>
      </c>
      <c r="AJ455">
        <v>6</v>
      </c>
      <c r="AK455">
        <v>5</v>
      </c>
      <c r="AL455">
        <v>4</v>
      </c>
      <c r="AM455">
        <v>2</v>
      </c>
      <c r="AN455">
        <v>132</v>
      </c>
      <c r="AO455">
        <v>6</v>
      </c>
      <c r="AP455">
        <v>6</v>
      </c>
      <c r="AQ455">
        <v>5</v>
      </c>
      <c r="AR455">
        <v>3</v>
      </c>
      <c r="AS455">
        <v>5</v>
      </c>
      <c r="AT455">
        <v>5</v>
      </c>
      <c r="AU455">
        <v>6</v>
      </c>
      <c r="AV455">
        <v>6</v>
      </c>
      <c r="AW455">
        <v>2</v>
      </c>
      <c r="AX455">
        <v>3</v>
      </c>
      <c r="AY455" cm="1">
        <f t="array" ref="AY455">_xlfn.IFS(AZ455="Positive",1, AZ455="Negative",1, AZ455="Neutral",0)</f>
        <v>1</v>
      </c>
      <c r="AZ455" t="s">
        <v>199</v>
      </c>
      <c r="BA455">
        <v>22</v>
      </c>
      <c r="BB455">
        <v>3</v>
      </c>
      <c r="BC455" s="3">
        <v>15</v>
      </c>
      <c r="BD455" s="3">
        <v>2</v>
      </c>
      <c r="BE455" s="3">
        <v>1</v>
      </c>
      <c r="BF455" s="3">
        <v>3</v>
      </c>
      <c r="BG455" s="3">
        <v>1</v>
      </c>
      <c r="BH455">
        <v>0</v>
      </c>
      <c r="BI455">
        <v>0</v>
      </c>
      <c r="BJ455">
        <v>2</v>
      </c>
      <c r="BK455">
        <v>0</v>
      </c>
      <c r="BL455">
        <v>0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0</v>
      </c>
      <c r="BS455" t="s">
        <v>322</v>
      </c>
      <c r="BT455" t="s">
        <v>323</v>
      </c>
      <c r="BU455" t="s">
        <v>326</v>
      </c>
      <c r="BV455" t="s">
        <v>327</v>
      </c>
    </row>
    <row r="456" spans="1:74" s="1" customFormat="1" hidden="1" x14ac:dyDescent="0.2">
      <c r="A456">
        <v>469</v>
      </c>
      <c r="B456">
        <v>9</v>
      </c>
      <c r="C456" t="s">
        <v>81</v>
      </c>
      <c r="D456"/>
      <c r="E456" t="s">
        <v>82</v>
      </c>
      <c r="F456">
        <v>29</v>
      </c>
      <c r="G456">
        <v>1999</v>
      </c>
      <c r="H456">
        <v>23</v>
      </c>
      <c r="I456" t="s">
        <v>69</v>
      </c>
      <c r="J456">
        <v>2</v>
      </c>
      <c r="K456" t="s">
        <v>646</v>
      </c>
      <c r="L456" t="s">
        <v>647</v>
      </c>
      <c r="M456">
        <v>1</v>
      </c>
      <c r="N456">
        <v>43</v>
      </c>
      <c r="O456" t="s">
        <v>332</v>
      </c>
      <c r="P456" t="s">
        <v>315</v>
      </c>
      <c r="Q456" t="s">
        <v>716</v>
      </c>
      <c r="R456" t="s">
        <v>717</v>
      </c>
      <c r="S456" t="s">
        <v>335</v>
      </c>
      <c r="T456" t="s">
        <v>336</v>
      </c>
      <c r="U456" t="s">
        <v>337</v>
      </c>
      <c r="V456" t="s">
        <v>321</v>
      </c>
      <c r="W456" t="s">
        <v>198</v>
      </c>
      <c r="X456" t="s">
        <v>199</v>
      </c>
      <c r="Y456" t="s">
        <v>274</v>
      </c>
      <c r="Z456">
        <v>5</v>
      </c>
      <c r="AA456">
        <v>5</v>
      </c>
      <c r="AB456">
        <v>5</v>
      </c>
      <c r="AC456">
        <v>1</v>
      </c>
      <c r="AD456">
        <v>1</v>
      </c>
      <c r="AE456">
        <v>5</v>
      </c>
      <c r="AF456">
        <v>1</v>
      </c>
      <c r="AG456">
        <v>5</v>
      </c>
      <c r="AH456">
        <v>1</v>
      </c>
      <c r="AI456">
        <v>1</v>
      </c>
      <c r="AJ456">
        <v>7</v>
      </c>
      <c r="AK456">
        <v>1</v>
      </c>
      <c r="AL456">
        <v>6</v>
      </c>
      <c r="AM456">
        <v>1</v>
      </c>
      <c r="AN456">
        <v>62</v>
      </c>
      <c r="AO456">
        <v>4</v>
      </c>
      <c r="AP456">
        <v>7</v>
      </c>
      <c r="AQ456">
        <v>5</v>
      </c>
      <c r="AR456">
        <v>2</v>
      </c>
      <c r="AS456">
        <v>4</v>
      </c>
      <c r="AT456">
        <v>4</v>
      </c>
      <c r="AU456">
        <v>4</v>
      </c>
      <c r="AV456">
        <v>5</v>
      </c>
      <c r="AW456">
        <v>4</v>
      </c>
      <c r="AX456">
        <v>3</v>
      </c>
      <c r="AY456" cm="1">
        <f t="array" ref="AY456">_xlfn.IFS(AZ456="Positive",1, AZ456="Negative",1, AZ456="Neutral",0)</f>
        <v>1</v>
      </c>
      <c r="AZ456" t="s">
        <v>199</v>
      </c>
      <c r="BA456">
        <v>7</v>
      </c>
      <c r="BB456">
        <v>0</v>
      </c>
      <c r="BC456" s="3">
        <v>6</v>
      </c>
      <c r="BD456" s="3">
        <v>1</v>
      </c>
      <c r="BE456" s="3">
        <v>0</v>
      </c>
      <c r="BF456" s="3">
        <v>0</v>
      </c>
      <c r="BG456" s="3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2</v>
      </c>
      <c r="BT456" t="s">
        <v>275</v>
      </c>
      <c r="BU456" t="s">
        <v>333</v>
      </c>
      <c r="BV456" t="s">
        <v>334</v>
      </c>
    </row>
    <row r="457" spans="1:74" s="1" customFormat="1" hidden="1" x14ac:dyDescent="0.2">
      <c r="A457">
        <v>470</v>
      </c>
      <c r="B457">
        <v>10</v>
      </c>
      <c r="C457" t="s">
        <v>83</v>
      </c>
      <c r="D457"/>
      <c r="E457" t="s">
        <v>80</v>
      </c>
      <c r="F457">
        <v>23</v>
      </c>
      <c r="G457">
        <v>2001</v>
      </c>
      <c r="H457">
        <v>21</v>
      </c>
      <c r="I457" t="s">
        <v>64</v>
      </c>
      <c r="J457">
        <v>1</v>
      </c>
      <c r="K457" t="s">
        <v>637</v>
      </c>
      <c r="L457" t="s">
        <v>648</v>
      </c>
      <c r="M457">
        <v>13</v>
      </c>
      <c r="N457">
        <v>59</v>
      </c>
      <c r="O457" t="s">
        <v>338</v>
      </c>
      <c r="P457" t="s">
        <v>339</v>
      </c>
      <c r="Q457" t="s">
        <v>706</v>
      </c>
      <c r="R457" t="s">
        <v>718</v>
      </c>
      <c r="S457" t="s">
        <v>328</v>
      </c>
      <c r="T457" t="s">
        <v>341</v>
      </c>
      <c r="U457" t="s">
        <v>342</v>
      </c>
      <c r="V457" t="s">
        <v>343</v>
      </c>
      <c r="W457" t="s">
        <v>198</v>
      </c>
      <c r="X457" t="s">
        <v>199</v>
      </c>
      <c r="Y457" t="s">
        <v>274</v>
      </c>
      <c r="Z457">
        <v>3</v>
      </c>
      <c r="AA457">
        <v>3</v>
      </c>
      <c r="AB457">
        <v>4</v>
      </c>
      <c r="AC457">
        <v>3</v>
      </c>
      <c r="AD457">
        <v>1</v>
      </c>
      <c r="AE457">
        <v>2</v>
      </c>
      <c r="AF457">
        <v>2</v>
      </c>
      <c r="AG457">
        <v>5</v>
      </c>
      <c r="AH457">
        <v>4</v>
      </c>
      <c r="AI457">
        <v>1</v>
      </c>
      <c r="AJ457">
        <v>7</v>
      </c>
      <c r="AK457">
        <v>4</v>
      </c>
      <c r="AL457">
        <v>3</v>
      </c>
      <c r="AM457">
        <v>2</v>
      </c>
      <c r="AN457">
        <v>36</v>
      </c>
      <c r="AO457">
        <v>3</v>
      </c>
      <c r="AP457">
        <v>7</v>
      </c>
      <c r="AQ457">
        <v>5</v>
      </c>
      <c r="AR457">
        <v>2</v>
      </c>
      <c r="AS457">
        <v>2</v>
      </c>
      <c r="AT457">
        <v>2</v>
      </c>
      <c r="AU457">
        <v>3</v>
      </c>
      <c r="AV457">
        <v>4</v>
      </c>
      <c r="AW457">
        <v>4</v>
      </c>
      <c r="AX457">
        <v>3</v>
      </c>
      <c r="AY457" cm="1">
        <f t="array" ref="AY457">_xlfn.IFS(AZ457="Positive",1, AZ457="Negative",1, AZ457="Neutral",0)</f>
        <v>1</v>
      </c>
      <c r="AZ457" t="s">
        <v>199</v>
      </c>
      <c r="BA457">
        <v>11</v>
      </c>
      <c r="BB457">
        <v>0</v>
      </c>
      <c r="BC457" s="3">
        <v>8</v>
      </c>
      <c r="BD457" s="3">
        <v>0</v>
      </c>
      <c r="BE457" s="3">
        <v>0</v>
      </c>
      <c r="BF457" s="3">
        <v>2</v>
      </c>
      <c r="BG457" s="3">
        <v>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 t="s">
        <v>285</v>
      </c>
      <c r="BT457">
        <v>2</v>
      </c>
      <c r="BU457" t="s">
        <v>289</v>
      </c>
      <c r="BV457" t="s">
        <v>340</v>
      </c>
    </row>
    <row r="458" spans="1:74" s="1" customFormat="1" hidden="1" x14ac:dyDescent="0.2">
      <c r="A458">
        <v>471</v>
      </c>
      <c r="B458">
        <v>11</v>
      </c>
      <c r="C458" t="s">
        <v>84</v>
      </c>
      <c r="D458"/>
      <c r="E458" t="s">
        <v>85</v>
      </c>
      <c r="F458">
        <v>26</v>
      </c>
      <c r="G458">
        <v>2000</v>
      </c>
      <c r="H458">
        <v>22</v>
      </c>
      <c r="I458" t="s">
        <v>64</v>
      </c>
      <c r="J458">
        <v>1</v>
      </c>
      <c r="K458" t="s">
        <v>649</v>
      </c>
      <c r="L458" t="s">
        <v>650</v>
      </c>
      <c r="M458">
        <v>9</v>
      </c>
      <c r="N458">
        <v>61</v>
      </c>
      <c r="O458" t="s">
        <v>346</v>
      </c>
      <c r="P458" t="s">
        <v>314</v>
      </c>
      <c r="Q458" t="s">
        <v>719</v>
      </c>
      <c r="R458" t="s">
        <v>720</v>
      </c>
      <c r="S458" t="s">
        <v>349</v>
      </c>
      <c r="T458" t="s">
        <v>292</v>
      </c>
      <c r="U458" t="s">
        <v>350</v>
      </c>
      <c r="V458" t="s">
        <v>351</v>
      </c>
      <c r="W458" t="s">
        <v>198</v>
      </c>
      <c r="X458" t="s">
        <v>199</v>
      </c>
      <c r="Y458" t="s">
        <v>274</v>
      </c>
      <c r="Z458">
        <v>4</v>
      </c>
      <c r="AA458">
        <v>4</v>
      </c>
      <c r="AB458">
        <v>4</v>
      </c>
      <c r="AC458">
        <v>2</v>
      </c>
      <c r="AD458">
        <v>2</v>
      </c>
      <c r="AE458">
        <v>2</v>
      </c>
      <c r="AF458">
        <v>3</v>
      </c>
      <c r="AG458">
        <v>3</v>
      </c>
      <c r="AH458">
        <v>4</v>
      </c>
      <c r="AI458">
        <v>1</v>
      </c>
      <c r="AJ458">
        <v>7</v>
      </c>
      <c r="AK458">
        <v>7</v>
      </c>
      <c r="AL458">
        <v>7</v>
      </c>
      <c r="AM458">
        <v>2</v>
      </c>
      <c r="AN458">
        <v>146</v>
      </c>
      <c r="AO458">
        <v>2</v>
      </c>
      <c r="AP458">
        <v>6</v>
      </c>
      <c r="AQ458">
        <v>6</v>
      </c>
      <c r="AR458">
        <v>4</v>
      </c>
      <c r="AS458">
        <v>4</v>
      </c>
      <c r="AT458">
        <v>4</v>
      </c>
      <c r="AU458">
        <v>4</v>
      </c>
      <c r="AV458">
        <v>4</v>
      </c>
      <c r="AW458">
        <v>4</v>
      </c>
      <c r="AX458">
        <v>3</v>
      </c>
      <c r="AY458" cm="1">
        <f t="array" ref="AY458">_xlfn.IFS(AZ458="Positive",1, AZ458="Negative",1, AZ458="Neutral",0)</f>
        <v>1</v>
      </c>
      <c r="AZ458" t="s">
        <v>199</v>
      </c>
      <c r="BA458">
        <v>6</v>
      </c>
      <c r="BB458">
        <v>0</v>
      </c>
      <c r="BC458" s="3">
        <v>4</v>
      </c>
      <c r="BD458" s="3">
        <v>0</v>
      </c>
      <c r="BE458" s="3">
        <v>1</v>
      </c>
      <c r="BF458" s="3">
        <v>1</v>
      </c>
      <c r="BG458" s="3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 t="s">
        <v>344</v>
      </c>
      <c r="BT458" t="s">
        <v>345</v>
      </c>
      <c r="BU458" t="s">
        <v>347</v>
      </c>
      <c r="BV458" t="s">
        <v>348</v>
      </c>
    </row>
    <row r="459" spans="1:74" s="1" customFormat="1" x14ac:dyDescent="0.2">
      <c r="A459">
        <v>472</v>
      </c>
      <c r="B459">
        <v>12</v>
      </c>
      <c r="C459" t="s">
        <v>86</v>
      </c>
      <c r="D459"/>
      <c r="E459" t="s">
        <v>63</v>
      </c>
      <c r="F459">
        <v>7</v>
      </c>
      <c r="G459">
        <v>2001</v>
      </c>
      <c r="H459">
        <v>21</v>
      </c>
      <c r="I459" t="s">
        <v>69</v>
      </c>
      <c r="J459">
        <v>2</v>
      </c>
      <c r="K459" t="s">
        <v>651</v>
      </c>
      <c r="L459" t="s">
        <v>652</v>
      </c>
      <c r="M459">
        <v>19</v>
      </c>
      <c r="N459">
        <v>69</v>
      </c>
      <c r="O459" t="s">
        <v>353</v>
      </c>
      <c r="P459" t="s">
        <v>354</v>
      </c>
      <c r="Q459" t="s">
        <v>721</v>
      </c>
      <c r="R459" t="s">
        <v>722</v>
      </c>
      <c r="S459" t="s">
        <v>356</v>
      </c>
      <c r="T459" t="s">
        <v>357</v>
      </c>
      <c r="U459" t="s">
        <v>358</v>
      </c>
      <c r="V459" t="s">
        <v>359</v>
      </c>
      <c r="W459" t="s">
        <v>198</v>
      </c>
      <c r="X459" t="s">
        <v>199</v>
      </c>
      <c r="Y459" t="s">
        <v>274</v>
      </c>
      <c r="Z459">
        <v>7</v>
      </c>
      <c r="AA459">
        <v>7</v>
      </c>
      <c r="AB459">
        <v>7</v>
      </c>
      <c r="AC459">
        <v>7</v>
      </c>
      <c r="AD459">
        <v>7</v>
      </c>
      <c r="AE459">
        <v>7</v>
      </c>
      <c r="AF459">
        <v>1</v>
      </c>
      <c r="AG459">
        <v>1</v>
      </c>
      <c r="AH459">
        <v>7</v>
      </c>
      <c r="AI459">
        <v>1</v>
      </c>
      <c r="AJ459">
        <v>7</v>
      </c>
      <c r="AK459">
        <v>7</v>
      </c>
      <c r="AL459">
        <v>7</v>
      </c>
      <c r="AM459">
        <v>2</v>
      </c>
      <c r="AN459">
        <v>16</v>
      </c>
      <c r="AO459">
        <v>6</v>
      </c>
      <c r="AP459">
        <v>7</v>
      </c>
      <c r="AQ459">
        <v>7</v>
      </c>
      <c r="AR459">
        <v>7</v>
      </c>
      <c r="AS459">
        <v>7</v>
      </c>
      <c r="AT459">
        <v>7</v>
      </c>
      <c r="AU459">
        <v>5</v>
      </c>
      <c r="AV459">
        <v>7</v>
      </c>
      <c r="AW459">
        <v>7</v>
      </c>
      <c r="AX459">
        <v>3</v>
      </c>
      <c r="AY459" cm="1">
        <f t="array" ref="AY459">_xlfn.IFS(AZ459="Positive",1, AZ459="Negative",1, AZ459="Neutral",0)</f>
        <v>1</v>
      </c>
      <c r="AZ459" t="s">
        <v>199</v>
      </c>
      <c r="BA459">
        <v>0</v>
      </c>
      <c r="BB459">
        <v>2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>
        <v>0</v>
      </c>
      <c r="BI459">
        <v>0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1</v>
      </c>
      <c r="BS459" t="s">
        <v>352</v>
      </c>
      <c r="BT459" t="s">
        <v>296</v>
      </c>
      <c r="BU459" t="s">
        <v>355</v>
      </c>
      <c r="BV459" t="s">
        <v>300</v>
      </c>
    </row>
    <row r="460" spans="1:74" s="1" customFormat="1" hidden="1" x14ac:dyDescent="0.2">
      <c r="A460">
        <v>473</v>
      </c>
      <c r="B460">
        <v>13</v>
      </c>
      <c r="C460" t="s">
        <v>87</v>
      </c>
      <c r="D460"/>
      <c r="E460" t="s">
        <v>88</v>
      </c>
      <c r="F460">
        <v>14</v>
      </c>
      <c r="G460">
        <v>1999</v>
      </c>
      <c r="H460">
        <v>23</v>
      </c>
      <c r="I460" t="s">
        <v>69</v>
      </c>
      <c r="J460">
        <v>2</v>
      </c>
      <c r="K460" t="s">
        <v>416</v>
      </c>
      <c r="L460" t="s">
        <v>653</v>
      </c>
      <c r="M460">
        <v>15</v>
      </c>
      <c r="N460">
        <v>58</v>
      </c>
      <c r="O460" t="s">
        <v>360</v>
      </c>
      <c r="P460" t="s">
        <v>361</v>
      </c>
      <c r="Q460" t="s">
        <v>723</v>
      </c>
      <c r="R460" t="s">
        <v>724</v>
      </c>
      <c r="S460" t="s">
        <v>363</v>
      </c>
      <c r="T460" t="s">
        <v>364</v>
      </c>
      <c r="U460" t="s">
        <v>365</v>
      </c>
      <c r="V460" t="s">
        <v>366</v>
      </c>
      <c r="W460" t="s">
        <v>198</v>
      </c>
      <c r="X460" t="s">
        <v>199</v>
      </c>
      <c r="Y460" t="s">
        <v>274</v>
      </c>
      <c r="Z460">
        <v>7</v>
      </c>
      <c r="AA460">
        <v>7</v>
      </c>
      <c r="AB460">
        <v>7</v>
      </c>
      <c r="AC460">
        <v>6</v>
      </c>
      <c r="AD460">
        <v>2</v>
      </c>
      <c r="AE460">
        <v>6</v>
      </c>
      <c r="AF460">
        <v>2</v>
      </c>
      <c r="AG460">
        <v>1</v>
      </c>
      <c r="AH460">
        <v>7</v>
      </c>
      <c r="AI460">
        <v>1</v>
      </c>
      <c r="AJ460">
        <v>7</v>
      </c>
      <c r="AK460">
        <v>6</v>
      </c>
      <c r="AL460">
        <v>7</v>
      </c>
      <c r="AM460">
        <v>2</v>
      </c>
      <c r="AN460">
        <v>3</v>
      </c>
      <c r="AO460">
        <v>1</v>
      </c>
      <c r="AP460">
        <v>7</v>
      </c>
      <c r="AQ460">
        <v>6</v>
      </c>
      <c r="AR460">
        <v>7</v>
      </c>
      <c r="AS460">
        <v>7</v>
      </c>
      <c r="AT460">
        <v>6</v>
      </c>
      <c r="AU460">
        <v>6</v>
      </c>
      <c r="AV460">
        <v>7</v>
      </c>
      <c r="AW460">
        <v>7</v>
      </c>
      <c r="AX460">
        <v>3</v>
      </c>
      <c r="AY460" cm="1">
        <f t="array" ref="AY460">_xlfn.IFS(AZ460="Positive",1, AZ460="Negative",1, AZ460="Neutral",0)</f>
        <v>1</v>
      </c>
      <c r="AZ460" t="s">
        <v>199</v>
      </c>
      <c r="BA460">
        <v>11</v>
      </c>
      <c r="BB460">
        <v>1</v>
      </c>
      <c r="BC460" s="3">
        <v>9</v>
      </c>
      <c r="BD460" s="3">
        <v>0</v>
      </c>
      <c r="BE460" s="3">
        <v>1</v>
      </c>
      <c r="BF460" s="3">
        <v>1</v>
      </c>
      <c r="BG460" s="3">
        <v>0</v>
      </c>
      <c r="BH460">
        <v>0</v>
      </c>
      <c r="BI460">
        <v>0</v>
      </c>
      <c r="BJ460">
        <v>1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 t="s">
        <v>296</v>
      </c>
      <c r="BT460">
        <v>3</v>
      </c>
      <c r="BU460" t="s">
        <v>362</v>
      </c>
      <c r="BV460" t="s">
        <v>309</v>
      </c>
    </row>
    <row r="461" spans="1:74" s="1" customFormat="1" hidden="1" x14ac:dyDescent="0.2">
      <c r="A461">
        <v>474</v>
      </c>
      <c r="B461">
        <v>14</v>
      </c>
      <c r="C461" t="s">
        <v>89</v>
      </c>
      <c r="D461"/>
      <c r="E461" t="s">
        <v>82</v>
      </c>
      <c r="F461">
        <v>15</v>
      </c>
      <c r="G461">
        <v>1999</v>
      </c>
      <c r="H461">
        <v>23</v>
      </c>
      <c r="I461" t="s">
        <v>64</v>
      </c>
      <c r="J461">
        <v>1</v>
      </c>
      <c r="K461" t="s">
        <v>416</v>
      </c>
      <c r="L461" t="s">
        <v>654</v>
      </c>
      <c r="M461">
        <v>7</v>
      </c>
      <c r="N461">
        <v>59</v>
      </c>
      <c r="O461" t="s">
        <v>629</v>
      </c>
      <c r="P461" t="s">
        <v>460</v>
      </c>
      <c r="Q461" t="s">
        <v>723</v>
      </c>
      <c r="R461" t="s">
        <v>728</v>
      </c>
      <c r="S461" t="s">
        <v>430</v>
      </c>
      <c r="T461" t="s">
        <v>341</v>
      </c>
      <c r="U461" t="s">
        <v>630</v>
      </c>
      <c r="V461" t="s">
        <v>462</v>
      </c>
      <c r="W461" t="s">
        <v>198</v>
      </c>
      <c r="X461" t="s">
        <v>199</v>
      </c>
      <c r="Y461" t="s">
        <v>274</v>
      </c>
      <c r="Z461">
        <v>6</v>
      </c>
      <c r="AA461">
        <v>6</v>
      </c>
      <c r="AB461">
        <v>6</v>
      </c>
      <c r="AC461">
        <v>6</v>
      </c>
      <c r="AD461">
        <v>1</v>
      </c>
      <c r="AE461">
        <v>5</v>
      </c>
      <c r="AF461">
        <v>1</v>
      </c>
      <c r="AG461">
        <v>3</v>
      </c>
      <c r="AH461">
        <v>6</v>
      </c>
      <c r="AI461">
        <v>3</v>
      </c>
      <c r="AJ461">
        <v>6</v>
      </c>
      <c r="AK461">
        <v>5</v>
      </c>
      <c r="AL461">
        <v>5</v>
      </c>
      <c r="AM461">
        <v>1</v>
      </c>
      <c r="AN461">
        <v>10</v>
      </c>
      <c r="AO461">
        <v>6</v>
      </c>
      <c r="AP461">
        <v>4</v>
      </c>
      <c r="AQ461">
        <v>2</v>
      </c>
      <c r="AR461">
        <v>5</v>
      </c>
      <c r="AS461">
        <v>2</v>
      </c>
      <c r="AT461">
        <v>5</v>
      </c>
      <c r="AU461">
        <v>1</v>
      </c>
      <c r="AV461">
        <v>6</v>
      </c>
      <c r="AW461">
        <v>6</v>
      </c>
      <c r="AX461">
        <v>2</v>
      </c>
      <c r="AY461" cm="1">
        <f t="array" ref="AY461">_xlfn.IFS(AZ461="Positive",1, AZ461="Negative",1, AZ461="Neutral",0)</f>
        <v>1</v>
      </c>
      <c r="AZ461" t="s">
        <v>199</v>
      </c>
      <c r="BA461">
        <v>8</v>
      </c>
      <c r="BB461">
        <v>0</v>
      </c>
      <c r="BC461" s="3">
        <v>4</v>
      </c>
      <c r="BD461" s="3">
        <v>2</v>
      </c>
      <c r="BE461" s="3">
        <v>1</v>
      </c>
      <c r="BF461" s="3">
        <v>0</v>
      </c>
      <c r="BG461" s="3">
        <v>1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 t="s">
        <v>382</v>
      </c>
      <c r="BT461" t="s">
        <v>536</v>
      </c>
      <c r="BU461" t="s">
        <v>385</v>
      </c>
      <c r="BV461" t="s">
        <v>556</v>
      </c>
    </row>
    <row r="462" spans="1:74" s="1" customFormat="1" hidden="1" x14ac:dyDescent="0.2">
      <c r="A462">
        <v>475</v>
      </c>
      <c r="B462">
        <v>15</v>
      </c>
      <c r="C462" t="s">
        <v>90</v>
      </c>
      <c r="D462"/>
      <c r="E462" t="s">
        <v>76</v>
      </c>
      <c r="F462">
        <v>26</v>
      </c>
      <c r="G462">
        <v>2000</v>
      </c>
      <c r="H462">
        <v>22</v>
      </c>
      <c r="I462" t="s">
        <v>64</v>
      </c>
      <c r="J462">
        <v>1</v>
      </c>
      <c r="K462" t="s">
        <v>655</v>
      </c>
      <c r="L462" t="s">
        <v>656</v>
      </c>
      <c r="M462">
        <v>3</v>
      </c>
      <c r="N462">
        <v>69</v>
      </c>
      <c r="O462" t="s">
        <v>368</v>
      </c>
      <c r="P462" t="s">
        <v>369</v>
      </c>
      <c r="Q462" t="s">
        <v>725</v>
      </c>
      <c r="R462" t="s">
        <v>726</v>
      </c>
      <c r="S462" t="s">
        <v>372</v>
      </c>
      <c r="T462" t="s">
        <v>357</v>
      </c>
      <c r="U462" t="s">
        <v>373</v>
      </c>
      <c r="V462" t="s">
        <v>374</v>
      </c>
      <c r="W462" t="s">
        <v>198</v>
      </c>
      <c r="X462" t="s">
        <v>199</v>
      </c>
      <c r="Y462" t="s">
        <v>274</v>
      </c>
      <c r="Z462">
        <v>6</v>
      </c>
      <c r="AA462">
        <v>6</v>
      </c>
      <c r="AB462">
        <v>6</v>
      </c>
      <c r="AC462">
        <v>4</v>
      </c>
      <c r="AD462">
        <v>1</v>
      </c>
      <c r="AE462">
        <v>5</v>
      </c>
      <c r="AF462">
        <v>3</v>
      </c>
      <c r="AG462">
        <v>4</v>
      </c>
      <c r="AH462">
        <v>4</v>
      </c>
      <c r="AI462">
        <v>1</v>
      </c>
      <c r="AJ462">
        <v>6</v>
      </c>
      <c r="AK462">
        <v>5</v>
      </c>
      <c r="AL462">
        <v>3</v>
      </c>
      <c r="AM462">
        <v>1</v>
      </c>
      <c r="AN462">
        <v>45</v>
      </c>
      <c r="AO462">
        <v>5</v>
      </c>
      <c r="AP462">
        <v>6</v>
      </c>
      <c r="AQ462">
        <v>5</v>
      </c>
      <c r="AR462">
        <v>5</v>
      </c>
      <c r="AS462">
        <v>5</v>
      </c>
      <c r="AT462">
        <v>5</v>
      </c>
      <c r="AU462">
        <v>6</v>
      </c>
      <c r="AV462">
        <v>6</v>
      </c>
      <c r="AW462">
        <v>5</v>
      </c>
      <c r="AX462">
        <v>3</v>
      </c>
      <c r="AY462" cm="1">
        <f t="array" ref="AY462">_xlfn.IFS(AZ462="Positive",1, AZ462="Negative",1, AZ462="Neutral",0)</f>
        <v>1</v>
      </c>
      <c r="AZ462" t="s">
        <v>199</v>
      </c>
      <c r="BA462">
        <v>8</v>
      </c>
      <c r="BB462">
        <v>2</v>
      </c>
      <c r="BC462" s="3">
        <v>3</v>
      </c>
      <c r="BD462" s="3">
        <v>0</v>
      </c>
      <c r="BE462" s="3">
        <v>1</v>
      </c>
      <c r="BF462" s="3">
        <v>1</v>
      </c>
      <c r="BG462" s="3">
        <v>3</v>
      </c>
      <c r="BH462">
        <v>0</v>
      </c>
      <c r="BI462">
        <v>0</v>
      </c>
      <c r="BJ462">
        <v>2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4</v>
      </c>
      <c r="BT462" t="s">
        <v>367</v>
      </c>
      <c r="BU462" t="s">
        <v>370</v>
      </c>
      <c r="BV462" t="s">
        <v>371</v>
      </c>
    </row>
    <row r="463" spans="1:74" s="1" customFormat="1" hidden="1" x14ac:dyDescent="0.2">
      <c r="A463">
        <v>476</v>
      </c>
      <c r="B463">
        <v>16</v>
      </c>
      <c r="C463" t="s">
        <v>91</v>
      </c>
      <c r="D463"/>
      <c r="E463" t="s">
        <v>82</v>
      </c>
      <c r="F463">
        <v>8</v>
      </c>
      <c r="G463">
        <v>2000</v>
      </c>
      <c r="H463">
        <v>22</v>
      </c>
      <c r="I463" t="s">
        <v>64</v>
      </c>
      <c r="J463">
        <v>1</v>
      </c>
      <c r="K463" t="s">
        <v>657</v>
      </c>
      <c r="L463" t="s">
        <v>654</v>
      </c>
      <c r="M463">
        <v>10</v>
      </c>
      <c r="N463">
        <v>72</v>
      </c>
      <c r="O463" t="s">
        <v>278</v>
      </c>
      <c r="P463" t="s">
        <v>376</v>
      </c>
      <c r="Q463" t="s">
        <v>727</v>
      </c>
      <c r="R463" t="s">
        <v>728</v>
      </c>
      <c r="S463" t="s">
        <v>378</v>
      </c>
      <c r="T463" t="s">
        <v>379</v>
      </c>
      <c r="U463" t="s">
        <v>380</v>
      </c>
      <c r="V463" t="s">
        <v>381</v>
      </c>
      <c r="W463" t="s">
        <v>198</v>
      </c>
      <c r="X463" t="s">
        <v>199</v>
      </c>
      <c r="Y463" t="s">
        <v>274</v>
      </c>
      <c r="Z463">
        <v>2</v>
      </c>
      <c r="AA463">
        <v>3</v>
      </c>
      <c r="AB463">
        <v>7</v>
      </c>
      <c r="AC463">
        <v>1</v>
      </c>
      <c r="AD463">
        <v>1</v>
      </c>
      <c r="AE463">
        <v>4</v>
      </c>
      <c r="AF463">
        <v>1</v>
      </c>
      <c r="AG463">
        <v>7</v>
      </c>
      <c r="AH463">
        <v>4</v>
      </c>
      <c r="AI463">
        <v>1</v>
      </c>
      <c r="AJ463">
        <v>7</v>
      </c>
      <c r="AK463">
        <v>7</v>
      </c>
      <c r="AL463">
        <v>7</v>
      </c>
      <c r="AM463">
        <v>5</v>
      </c>
      <c r="AN463">
        <v>44</v>
      </c>
      <c r="AO463">
        <v>1</v>
      </c>
      <c r="AP463">
        <v>7</v>
      </c>
      <c r="AQ463">
        <v>7</v>
      </c>
      <c r="AR463">
        <v>2</v>
      </c>
      <c r="AS463">
        <v>3</v>
      </c>
      <c r="AT463">
        <v>2</v>
      </c>
      <c r="AU463">
        <v>7</v>
      </c>
      <c r="AV463">
        <v>3</v>
      </c>
      <c r="AW463">
        <v>7</v>
      </c>
      <c r="AX463">
        <v>3</v>
      </c>
      <c r="AY463" cm="1">
        <f t="array" ref="AY463">_xlfn.IFS(AZ463="Positive",1, AZ463="Negative",1, AZ463="Neutral",0)</f>
        <v>1</v>
      </c>
      <c r="AZ463" t="s">
        <v>199</v>
      </c>
      <c r="BA463">
        <v>3</v>
      </c>
      <c r="BB463">
        <v>1</v>
      </c>
      <c r="BC463" s="3">
        <v>2</v>
      </c>
      <c r="BD463" s="3">
        <v>0</v>
      </c>
      <c r="BE463" s="3">
        <v>1</v>
      </c>
      <c r="BF463" s="3">
        <v>0</v>
      </c>
      <c r="BG463" s="3">
        <v>0</v>
      </c>
      <c r="BH463">
        <v>0</v>
      </c>
      <c r="BI463">
        <v>0</v>
      </c>
      <c r="BJ463">
        <v>1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 t="s">
        <v>375</v>
      </c>
      <c r="BT463" t="s">
        <v>367</v>
      </c>
      <c r="BU463" t="s">
        <v>377</v>
      </c>
      <c r="BV463" t="s">
        <v>371</v>
      </c>
    </row>
    <row r="464" spans="1:74" s="1" customFormat="1" hidden="1" x14ac:dyDescent="0.2">
      <c r="A464">
        <v>477</v>
      </c>
      <c r="B464">
        <v>17</v>
      </c>
      <c r="C464" t="s">
        <v>92</v>
      </c>
      <c r="D464"/>
      <c r="E464" t="s">
        <v>93</v>
      </c>
      <c r="F464">
        <v>25</v>
      </c>
      <c r="G464">
        <v>2001</v>
      </c>
      <c r="H464">
        <v>21</v>
      </c>
      <c r="I464" t="s">
        <v>64</v>
      </c>
      <c r="J464">
        <v>1</v>
      </c>
      <c r="K464" t="s">
        <v>658</v>
      </c>
      <c r="L464" t="s">
        <v>653</v>
      </c>
      <c r="M464">
        <v>10</v>
      </c>
      <c r="N464">
        <v>69</v>
      </c>
      <c r="O464" t="s">
        <v>384</v>
      </c>
      <c r="P464" t="s">
        <v>307</v>
      </c>
      <c r="Q464" t="s">
        <v>729</v>
      </c>
      <c r="R464" t="s">
        <v>724</v>
      </c>
      <c r="S464" t="s">
        <v>378</v>
      </c>
      <c r="T464" t="s">
        <v>357</v>
      </c>
      <c r="U464" t="s">
        <v>387</v>
      </c>
      <c r="V464" t="s">
        <v>312</v>
      </c>
      <c r="W464" t="s">
        <v>198</v>
      </c>
      <c r="X464" t="s">
        <v>199</v>
      </c>
      <c r="Y464" t="s">
        <v>274</v>
      </c>
      <c r="Z464">
        <v>7</v>
      </c>
      <c r="AA464">
        <v>4</v>
      </c>
      <c r="AB464">
        <v>3</v>
      </c>
      <c r="AC464">
        <v>7</v>
      </c>
      <c r="AD464">
        <v>1</v>
      </c>
      <c r="AE464">
        <v>1</v>
      </c>
      <c r="AF464">
        <v>7</v>
      </c>
      <c r="AG464">
        <v>4</v>
      </c>
      <c r="AH464">
        <v>4</v>
      </c>
      <c r="AI464">
        <v>2</v>
      </c>
      <c r="AJ464">
        <v>7</v>
      </c>
      <c r="AK464">
        <v>7</v>
      </c>
      <c r="AL464">
        <v>7</v>
      </c>
      <c r="AM464">
        <v>1</v>
      </c>
      <c r="AN464">
        <v>240</v>
      </c>
      <c r="AO464">
        <v>7</v>
      </c>
      <c r="AP464">
        <v>7</v>
      </c>
      <c r="AQ464">
        <v>7</v>
      </c>
      <c r="AR464">
        <v>1</v>
      </c>
      <c r="AS464">
        <v>6</v>
      </c>
      <c r="AT464">
        <v>1</v>
      </c>
      <c r="AU464">
        <v>6</v>
      </c>
      <c r="AV464">
        <v>6</v>
      </c>
      <c r="AW464">
        <v>1</v>
      </c>
      <c r="AX464">
        <v>3</v>
      </c>
      <c r="AY464" cm="1">
        <f t="array" ref="AY464">_xlfn.IFS(AZ464="Positive",1, AZ464="Negative",1, AZ464="Neutral",0)</f>
        <v>1</v>
      </c>
      <c r="AZ464" t="s">
        <v>199</v>
      </c>
      <c r="BA464">
        <v>7</v>
      </c>
      <c r="BB464">
        <v>2</v>
      </c>
      <c r="BC464" s="3">
        <v>5</v>
      </c>
      <c r="BD464" s="3">
        <v>0</v>
      </c>
      <c r="BE464" s="3">
        <v>1</v>
      </c>
      <c r="BF464" s="3">
        <v>0</v>
      </c>
      <c r="BG464" s="3">
        <v>1</v>
      </c>
      <c r="BH464">
        <v>0</v>
      </c>
      <c r="BI464">
        <v>0</v>
      </c>
      <c r="BJ464">
        <v>2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 t="s">
        <v>382</v>
      </c>
      <c r="BT464" t="s">
        <v>383</v>
      </c>
      <c r="BU464" t="s">
        <v>385</v>
      </c>
      <c r="BV464" t="s">
        <v>386</v>
      </c>
    </row>
    <row r="465" spans="1:74" s="1" customFormat="1" hidden="1" x14ac:dyDescent="0.2">
      <c r="A465">
        <v>478</v>
      </c>
      <c r="B465">
        <v>18</v>
      </c>
      <c r="C465" t="s">
        <v>94</v>
      </c>
      <c r="D465"/>
      <c r="E465" t="s">
        <v>76</v>
      </c>
      <c r="F465">
        <v>17</v>
      </c>
      <c r="G465">
        <v>1997</v>
      </c>
      <c r="H465">
        <v>25</v>
      </c>
      <c r="I465" t="s">
        <v>69</v>
      </c>
      <c r="J465">
        <v>2</v>
      </c>
      <c r="K465" t="s">
        <v>651</v>
      </c>
      <c r="L465" t="s">
        <v>659</v>
      </c>
      <c r="M465">
        <v>10</v>
      </c>
      <c r="N465">
        <v>69</v>
      </c>
      <c r="O465" t="s">
        <v>389</v>
      </c>
      <c r="P465" t="s">
        <v>389</v>
      </c>
      <c r="Q465" t="s">
        <v>721</v>
      </c>
      <c r="R465" t="s">
        <v>730</v>
      </c>
      <c r="S465" t="s">
        <v>378</v>
      </c>
      <c r="T465" t="s">
        <v>357</v>
      </c>
      <c r="U465" t="s">
        <v>391</v>
      </c>
      <c r="V465" t="s">
        <v>392</v>
      </c>
      <c r="W465" t="s">
        <v>198</v>
      </c>
      <c r="X465" t="s">
        <v>199</v>
      </c>
      <c r="Y465" t="s">
        <v>274</v>
      </c>
      <c r="Z465">
        <v>7</v>
      </c>
      <c r="AA465">
        <v>6</v>
      </c>
      <c r="AB465">
        <v>6</v>
      </c>
      <c r="AC465">
        <v>6</v>
      </c>
      <c r="AD465">
        <v>6</v>
      </c>
      <c r="AE465">
        <v>7</v>
      </c>
      <c r="AF465">
        <v>1</v>
      </c>
      <c r="AG465">
        <v>7</v>
      </c>
      <c r="AH465">
        <v>6</v>
      </c>
      <c r="AI465">
        <v>1</v>
      </c>
      <c r="AJ465">
        <v>7</v>
      </c>
      <c r="AK465">
        <v>7</v>
      </c>
      <c r="AL465">
        <v>7</v>
      </c>
      <c r="AM465">
        <v>5</v>
      </c>
      <c r="AN465">
        <v>21</v>
      </c>
      <c r="AO465">
        <v>3</v>
      </c>
      <c r="AP465">
        <v>7</v>
      </c>
      <c r="AQ465">
        <v>6</v>
      </c>
      <c r="AR465">
        <v>6</v>
      </c>
      <c r="AS465">
        <v>6</v>
      </c>
      <c r="AT465">
        <v>7</v>
      </c>
      <c r="AU465">
        <v>6</v>
      </c>
      <c r="AV465">
        <v>7</v>
      </c>
      <c r="AW465">
        <v>6</v>
      </c>
      <c r="AX465">
        <v>3</v>
      </c>
      <c r="AY465" cm="1">
        <f t="array" ref="AY465">_xlfn.IFS(AZ465="Positive",1, AZ465="Negative",1, AZ465="Neutral",0)</f>
        <v>1</v>
      </c>
      <c r="AZ465" t="s">
        <v>199</v>
      </c>
      <c r="BA465">
        <v>8</v>
      </c>
      <c r="BB465">
        <v>0</v>
      </c>
      <c r="BC465" s="3">
        <v>2</v>
      </c>
      <c r="BD465" s="3">
        <v>0</v>
      </c>
      <c r="BE465" s="3">
        <v>1</v>
      </c>
      <c r="BF465" s="3">
        <v>1</v>
      </c>
      <c r="BG465" s="3">
        <v>4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4</v>
      </c>
      <c r="BT465" t="s">
        <v>388</v>
      </c>
      <c r="BU465" t="s">
        <v>370</v>
      </c>
      <c r="BV465" t="s">
        <v>390</v>
      </c>
    </row>
    <row r="466" spans="1:74" s="1" customFormat="1" hidden="1" x14ac:dyDescent="0.2">
      <c r="A466">
        <v>479</v>
      </c>
      <c r="B466">
        <v>19</v>
      </c>
      <c r="C466" t="s">
        <v>95</v>
      </c>
      <c r="D466"/>
      <c r="E466" t="s">
        <v>73</v>
      </c>
      <c r="F466">
        <v>30</v>
      </c>
      <c r="G466">
        <v>1999</v>
      </c>
      <c r="H466">
        <v>23</v>
      </c>
      <c r="I466" t="s">
        <v>64</v>
      </c>
      <c r="J466">
        <v>1</v>
      </c>
      <c r="K466" t="s">
        <v>632</v>
      </c>
      <c r="L466" t="s">
        <v>632</v>
      </c>
      <c r="M466">
        <v>4</v>
      </c>
      <c r="N466">
        <v>72</v>
      </c>
      <c r="O466" t="s">
        <v>393</v>
      </c>
      <c r="P466" t="s">
        <v>394</v>
      </c>
      <c r="Q466" t="s">
        <v>731</v>
      </c>
      <c r="R466" t="s">
        <v>732</v>
      </c>
      <c r="S466" t="s">
        <v>396</v>
      </c>
      <c r="T466" t="s">
        <v>379</v>
      </c>
      <c r="U466" t="s">
        <v>397</v>
      </c>
      <c r="V466" t="s">
        <v>398</v>
      </c>
      <c r="W466" t="s">
        <v>198</v>
      </c>
      <c r="X466" t="s">
        <v>199</v>
      </c>
      <c r="Y466" t="s">
        <v>274</v>
      </c>
      <c r="Z466">
        <v>4</v>
      </c>
      <c r="AA466">
        <v>4</v>
      </c>
      <c r="AB466">
        <v>4</v>
      </c>
      <c r="AC466">
        <v>4</v>
      </c>
      <c r="AD466">
        <v>4</v>
      </c>
      <c r="AE466">
        <v>4</v>
      </c>
      <c r="AF466">
        <v>4</v>
      </c>
      <c r="AG466">
        <v>4</v>
      </c>
      <c r="AH466">
        <v>4</v>
      </c>
      <c r="AI466">
        <v>4</v>
      </c>
      <c r="AJ466">
        <v>4</v>
      </c>
      <c r="AK466">
        <v>4</v>
      </c>
      <c r="AL466">
        <v>4</v>
      </c>
      <c r="AM466">
        <v>4</v>
      </c>
      <c r="AN466">
        <v>133</v>
      </c>
      <c r="AO466">
        <v>4</v>
      </c>
      <c r="AP466">
        <v>4</v>
      </c>
      <c r="AQ466">
        <v>4</v>
      </c>
      <c r="AR466">
        <v>4</v>
      </c>
      <c r="AS466">
        <v>4</v>
      </c>
      <c r="AT466">
        <v>4</v>
      </c>
      <c r="AU466">
        <v>4</v>
      </c>
      <c r="AV466">
        <v>4</v>
      </c>
      <c r="AW466">
        <v>4</v>
      </c>
      <c r="AX466">
        <v>2</v>
      </c>
      <c r="AY466" cm="1">
        <f t="array" ref="AY466">_xlfn.IFS(AZ466="Positive",1, AZ466="Negative",1, AZ466="Neutral",0)</f>
        <v>1</v>
      </c>
      <c r="AZ466" t="s">
        <v>199</v>
      </c>
      <c r="BA466">
        <v>6</v>
      </c>
      <c r="BB466">
        <v>1</v>
      </c>
      <c r="BC466" s="3">
        <v>4</v>
      </c>
      <c r="BD466" s="3">
        <v>0</v>
      </c>
      <c r="BE466" s="3">
        <v>2</v>
      </c>
      <c r="BF466" s="3">
        <v>0</v>
      </c>
      <c r="BG466" s="3">
        <v>0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3</v>
      </c>
      <c r="BT466">
        <v>3</v>
      </c>
      <c r="BU466" t="s">
        <v>395</v>
      </c>
      <c r="BV466" t="s">
        <v>309</v>
      </c>
    </row>
    <row r="467" spans="1:74" s="1" customFormat="1" hidden="1" x14ac:dyDescent="0.2">
      <c r="A467">
        <v>480</v>
      </c>
      <c r="B467">
        <v>20</v>
      </c>
      <c r="C467" t="s">
        <v>96</v>
      </c>
      <c r="D467"/>
      <c r="E467" t="s">
        <v>97</v>
      </c>
      <c r="F467">
        <v>27</v>
      </c>
      <c r="G467">
        <v>1998</v>
      </c>
      <c r="H467">
        <v>24</v>
      </c>
      <c r="I467" t="s">
        <v>64</v>
      </c>
      <c r="J467">
        <v>1</v>
      </c>
      <c r="K467" t="s">
        <v>644</v>
      </c>
      <c r="L467" t="s">
        <v>660</v>
      </c>
      <c r="M467">
        <v>2</v>
      </c>
      <c r="N467">
        <v>47</v>
      </c>
      <c r="O467" t="s">
        <v>287</v>
      </c>
      <c r="P467" t="s">
        <v>389</v>
      </c>
      <c r="Q467" t="s">
        <v>714</v>
      </c>
      <c r="R467" t="s">
        <v>733</v>
      </c>
      <c r="S467" t="s">
        <v>281</v>
      </c>
      <c r="T467" t="s">
        <v>401</v>
      </c>
      <c r="U467" t="s">
        <v>293</v>
      </c>
      <c r="V467" t="s">
        <v>392</v>
      </c>
      <c r="W467" t="s">
        <v>198</v>
      </c>
      <c r="X467" t="s">
        <v>199</v>
      </c>
      <c r="Y467" t="s">
        <v>274</v>
      </c>
      <c r="Z467">
        <v>5</v>
      </c>
      <c r="AA467">
        <v>3</v>
      </c>
      <c r="AB467">
        <v>3</v>
      </c>
      <c r="AC467">
        <v>3</v>
      </c>
      <c r="AD467">
        <v>4</v>
      </c>
      <c r="AE467">
        <v>4</v>
      </c>
      <c r="AF467">
        <v>5</v>
      </c>
      <c r="AG467">
        <v>4</v>
      </c>
      <c r="AH467">
        <v>3</v>
      </c>
      <c r="AI467">
        <v>4</v>
      </c>
      <c r="AJ467">
        <v>5</v>
      </c>
      <c r="AK467">
        <v>4</v>
      </c>
      <c r="AL467">
        <v>3</v>
      </c>
      <c r="AM467">
        <v>3</v>
      </c>
      <c r="AN467">
        <v>31</v>
      </c>
      <c r="AO467">
        <v>4</v>
      </c>
      <c r="AP467">
        <v>4</v>
      </c>
      <c r="AQ467">
        <v>4</v>
      </c>
      <c r="AR467">
        <v>5</v>
      </c>
      <c r="AS467">
        <v>5</v>
      </c>
      <c r="AT467">
        <v>5</v>
      </c>
      <c r="AU467">
        <v>5</v>
      </c>
      <c r="AV467">
        <v>5</v>
      </c>
      <c r="AW467">
        <v>4</v>
      </c>
      <c r="AX467">
        <v>2</v>
      </c>
      <c r="AY467" cm="1">
        <f t="array" ref="AY467">_xlfn.IFS(AZ467="Positive",1, AZ467="Negative",1, AZ467="Neutral",0)</f>
        <v>1</v>
      </c>
      <c r="AZ467" t="s">
        <v>199</v>
      </c>
      <c r="BA467">
        <v>7</v>
      </c>
      <c r="BB467">
        <v>2</v>
      </c>
      <c r="BC467" s="3">
        <v>4</v>
      </c>
      <c r="BD467" s="3">
        <v>0</v>
      </c>
      <c r="BE467" s="3">
        <v>1</v>
      </c>
      <c r="BF467" s="3">
        <v>1</v>
      </c>
      <c r="BG467" s="3">
        <v>1</v>
      </c>
      <c r="BH467">
        <v>0</v>
      </c>
      <c r="BI467">
        <v>0</v>
      </c>
      <c r="BJ467">
        <v>2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 t="s">
        <v>399</v>
      </c>
      <c r="BT467" t="s">
        <v>367</v>
      </c>
      <c r="BU467" t="s">
        <v>400</v>
      </c>
      <c r="BV467" t="s">
        <v>371</v>
      </c>
    </row>
    <row r="468" spans="1:74" s="1" customFormat="1" x14ac:dyDescent="0.2">
      <c r="A468">
        <v>481</v>
      </c>
      <c r="B468">
        <v>21</v>
      </c>
      <c r="C468" t="s">
        <v>98</v>
      </c>
      <c r="D468"/>
      <c r="E468" t="s">
        <v>82</v>
      </c>
      <c r="F468">
        <v>27</v>
      </c>
      <c r="G468">
        <v>1997</v>
      </c>
      <c r="H468">
        <v>25</v>
      </c>
      <c r="I468" t="s">
        <v>64</v>
      </c>
      <c r="J468">
        <v>1</v>
      </c>
      <c r="K468" t="s">
        <v>661</v>
      </c>
      <c r="L468" t="s">
        <v>662</v>
      </c>
      <c r="M468">
        <v>6</v>
      </c>
      <c r="N468">
        <v>55</v>
      </c>
      <c r="O468" t="s">
        <v>287</v>
      </c>
      <c r="P468" t="s">
        <v>389</v>
      </c>
      <c r="Q468" t="s">
        <v>734</v>
      </c>
      <c r="R468" t="s">
        <v>735</v>
      </c>
      <c r="S468" t="s">
        <v>403</v>
      </c>
      <c r="T468" t="s">
        <v>404</v>
      </c>
      <c r="U468" t="s">
        <v>293</v>
      </c>
      <c r="V468" t="s">
        <v>392</v>
      </c>
      <c r="W468" t="s">
        <v>198</v>
      </c>
      <c r="X468" t="s">
        <v>199</v>
      </c>
      <c r="Y468" t="s">
        <v>274</v>
      </c>
      <c r="Z468">
        <v>5</v>
      </c>
      <c r="AA468">
        <v>6</v>
      </c>
      <c r="AB468">
        <v>5</v>
      </c>
      <c r="AC468">
        <v>6</v>
      </c>
      <c r="AD468">
        <v>5</v>
      </c>
      <c r="AE468">
        <v>6</v>
      </c>
      <c r="AF468">
        <v>6</v>
      </c>
      <c r="AG468">
        <v>5</v>
      </c>
      <c r="AH468">
        <v>6</v>
      </c>
      <c r="AI468">
        <v>5</v>
      </c>
      <c r="AJ468">
        <v>6</v>
      </c>
      <c r="AK468">
        <v>6</v>
      </c>
      <c r="AL468">
        <v>5</v>
      </c>
      <c r="AM468">
        <v>6</v>
      </c>
      <c r="AN468">
        <v>126</v>
      </c>
      <c r="AO468">
        <v>6</v>
      </c>
      <c r="AP468">
        <v>5</v>
      </c>
      <c r="AQ468">
        <v>6</v>
      </c>
      <c r="AR468">
        <v>5</v>
      </c>
      <c r="AS468">
        <v>6</v>
      </c>
      <c r="AT468">
        <v>6</v>
      </c>
      <c r="AU468">
        <v>5</v>
      </c>
      <c r="AV468">
        <v>5</v>
      </c>
      <c r="AW468">
        <v>6</v>
      </c>
      <c r="AX468">
        <v>2</v>
      </c>
      <c r="AY468" cm="1">
        <f t="array" ref="AY468">_xlfn.IFS(AZ468="Positive",1, AZ468="Negative",1, AZ468="Neutral",0)</f>
        <v>1</v>
      </c>
      <c r="AZ468" t="s">
        <v>199</v>
      </c>
      <c r="BA468">
        <v>0</v>
      </c>
      <c r="BB468">
        <v>2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>
        <v>0</v>
      </c>
      <c r="BI468">
        <v>0</v>
      </c>
      <c r="BJ468">
        <v>0</v>
      </c>
      <c r="BK468">
        <v>2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 t="s">
        <v>305</v>
      </c>
      <c r="BT468" t="s">
        <v>305</v>
      </c>
      <c r="BU468" t="s">
        <v>308</v>
      </c>
      <c r="BV468" t="s">
        <v>402</v>
      </c>
    </row>
    <row r="469" spans="1:74" s="1" customFormat="1" x14ac:dyDescent="0.2">
      <c r="A469">
        <v>482</v>
      </c>
      <c r="B469">
        <v>22</v>
      </c>
      <c r="C469" t="s">
        <v>99</v>
      </c>
      <c r="D469"/>
      <c r="E469" t="s">
        <v>68</v>
      </c>
      <c r="F469">
        <v>17</v>
      </c>
      <c r="G469">
        <v>1998</v>
      </c>
      <c r="H469">
        <v>24</v>
      </c>
      <c r="I469" t="s">
        <v>64</v>
      </c>
      <c r="J469">
        <v>1</v>
      </c>
      <c r="K469" t="s">
        <v>456</v>
      </c>
      <c r="L469" t="s">
        <v>643</v>
      </c>
      <c r="M469">
        <v>6</v>
      </c>
      <c r="N469">
        <v>55</v>
      </c>
      <c r="O469" t="s">
        <v>332</v>
      </c>
      <c r="P469" t="s">
        <v>405</v>
      </c>
      <c r="Q469" t="s">
        <v>736</v>
      </c>
      <c r="R469" t="s">
        <v>713</v>
      </c>
      <c r="S469" t="s">
        <v>403</v>
      </c>
      <c r="T469" t="s">
        <v>404</v>
      </c>
      <c r="U469" t="s">
        <v>337</v>
      </c>
      <c r="V469" t="s">
        <v>407</v>
      </c>
      <c r="W469" t="s">
        <v>198</v>
      </c>
      <c r="X469" t="s">
        <v>199</v>
      </c>
      <c r="Y469" t="s">
        <v>274</v>
      </c>
      <c r="Z469">
        <v>3</v>
      </c>
      <c r="AA469">
        <v>3</v>
      </c>
      <c r="AB469">
        <v>5</v>
      </c>
      <c r="AC469">
        <v>2</v>
      </c>
      <c r="AD469">
        <v>2</v>
      </c>
      <c r="AE469">
        <v>2</v>
      </c>
      <c r="AF469">
        <v>6</v>
      </c>
      <c r="AG469">
        <v>6</v>
      </c>
      <c r="AH469">
        <v>4</v>
      </c>
      <c r="AI469">
        <v>1</v>
      </c>
      <c r="AJ469">
        <v>7</v>
      </c>
      <c r="AK469">
        <v>5</v>
      </c>
      <c r="AL469">
        <v>6</v>
      </c>
      <c r="AM469">
        <v>6</v>
      </c>
      <c r="AN469">
        <v>9</v>
      </c>
      <c r="AO469">
        <v>6</v>
      </c>
      <c r="AP469">
        <v>6</v>
      </c>
      <c r="AQ469">
        <v>5</v>
      </c>
      <c r="AR469">
        <v>3</v>
      </c>
      <c r="AS469">
        <v>6</v>
      </c>
      <c r="AT469">
        <v>5</v>
      </c>
      <c r="AU469">
        <v>6</v>
      </c>
      <c r="AV469">
        <v>6</v>
      </c>
      <c r="AW469">
        <v>6</v>
      </c>
      <c r="AX469">
        <v>3</v>
      </c>
      <c r="AY469" cm="1">
        <f t="array" ref="AY469">_xlfn.IFS(AZ469="Positive",1, AZ469="Negative",1, AZ469="Neutral",0)</f>
        <v>1</v>
      </c>
      <c r="AZ469" t="s">
        <v>199</v>
      </c>
      <c r="BA469">
        <v>0</v>
      </c>
      <c r="BB469">
        <v>3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>
        <v>0</v>
      </c>
      <c r="BI469">
        <v>0</v>
      </c>
      <c r="BJ469">
        <v>2</v>
      </c>
      <c r="BK469">
        <v>1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 t="s">
        <v>405</v>
      </c>
      <c r="BT469" t="s">
        <v>313</v>
      </c>
      <c r="BU469" t="s">
        <v>406</v>
      </c>
      <c r="BV469" t="s">
        <v>317</v>
      </c>
    </row>
    <row r="470" spans="1:74" s="1" customFormat="1" x14ac:dyDescent="0.2">
      <c r="A470">
        <v>483</v>
      </c>
      <c r="B470">
        <v>23</v>
      </c>
      <c r="C470" t="s">
        <v>100</v>
      </c>
      <c r="D470"/>
      <c r="E470" t="s">
        <v>78</v>
      </c>
      <c r="F470">
        <v>31</v>
      </c>
      <c r="G470">
        <v>2000</v>
      </c>
      <c r="H470">
        <v>22</v>
      </c>
      <c r="I470" t="s">
        <v>69</v>
      </c>
      <c r="J470">
        <v>2</v>
      </c>
      <c r="K470" t="s">
        <v>663</v>
      </c>
      <c r="L470" t="s">
        <v>652</v>
      </c>
      <c r="M470">
        <v>0</v>
      </c>
      <c r="N470">
        <v>58</v>
      </c>
      <c r="O470" t="s">
        <v>408</v>
      </c>
      <c r="P470" t="s">
        <v>409</v>
      </c>
      <c r="Q470" t="s">
        <v>737</v>
      </c>
      <c r="R470" t="s">
        <v>722</v>
      </c>
      <c r="S470" t="s">
        <v>411</v>
      </c>
      <c r="T470" t="s">
        <v>364</v>
      </c>
      <c r="U470" t="s">
        <v>412</v>
      </c>
      <c r="V470" t="s">
        <v>413</v>
      </c>
      <c r="W470" t="s">
        <v>198</v>
      </c>
      <c r="X470" t="s">
        <v>199</v>
      </c>
      <c r="Y470" t="s">
        <v>274</v>
      </c>
      <c r="Z470">
        <v>7</v>
      </c>
      <c r="AA470">
        <v>7</v>
      </c>
      <c r="AB470">
        <v>7</v>
      </c>
      <c r="AC470">
        <v>7</v>
      </c>
      <c r="AD470">
        <v>1</v>
      </c>
      <c r="AE470">
        <v>7</v>
      </c>
      <c r="AF470">
        <v>1</v>
      </c>
      <c r="AG470">
        <v>2</v>
      </c>
      <c r="AH470">
        <v>7</v>
      </c>
      <c r="AI470">
        <v>1</v>
      </c>
      <c r="AJ470">
        <v>7</v>
      </c>
      <c r="AK470">
        <v>7</v>
      </c>
      <c r="AL470">
        <v>7</v>
      </c>
      <c r="AM470">
        <v>7</v>
      </c>
      <c r="AN470">
        <v>240</v>
      </c>
      <c r="AO470">
        <v>1</v>
      </c>
      <c r="AP470">
        <v>7</v>
      </c>
      <c r="AQ470">
        <v>7</v>
      </c>
      <c r="AR470">
        <v>7</v>
      </c>
      <c r="AS470">
        <v>7</v>
      </c>
      <c r="AT470">
        <v>6</v>
      </c>
      <c r="AU470">
        <v>5</v>
      </c>
      <c r="AV470">
        <v>7</v>
      </c>
      <c r="AW470">
        <v>7</v>
      </c>
      <c r="AX470">
        <v>3</v>
      </c>
      <c r="AY470" cm="1">
        <f t="array" ref="AY470">_xlfn.IFS(AZ470="Positive",1, AZ470="Negative",1, AZ470="Neutral",0)</f>
        <v>1</v>
      </c>
      <c r="AZ470" t="s">
        <v>199</v>
      </c>
      <c r="BA470">
        <v>0</v>
      </c>
      <c r="BB470">
        <v>4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>
        <v>0</v>
      </c>
      <c r="BI470">
        <v>0</v>
      </c>
      <c r="BJ470">
        <v>3</v>
      </c>
      <c r="BK470">
        <v>1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 t="s">
        <v>405</v>
      </c>
      <c r="BT470" t="s">
        <v>382</v>
      </c>
      <c r="BU470" t="s">
        <v>406</v>
      </c>
      <c r="BV470" t="s">
        <v>410</v>
      </c>
    </row>
    <row r="471" spans="1:74" s="1" customFormat="1" hidden="1" x14ac:dyDescent="0.2">
      <c r="A471">
        <v>484</v>
      </c>
      <c r="B471">
        <v>24</v>
      </c>
      <c r="C471" t="s">
        <v>101</v>
      </c>
      <c r="D471"/>
      <c r="E471" t="s">
        <v>76</v>
      </c>
      <c r="F471">
        <v>18</v>
      </c>
      <c r="G471">
        <v>2000</v>
      </c>
      <c r="H471">
        <v>22</v>
      </c>
      <c r="I471" t="s">
        <v>64</v>
      </c>
      <c r="J471">
        <v>1</v>
      </c>
      <c r="K471" t="s">
        <v>664</v>
      </c>
      <c r="L471" t="s">
        <v>648</v>
      </c>
      <c r="M471">
        <v>9</v>
      </c>
      <c r="N471">
        <v>48</v>
      </c>
      <c r="O471" t="s">
        <v>415</v>
      </c>
      <c r="P471" t="s">
        <v>416</v>
      </c>
      <c r="Q471" t="s">
        <v>738</v>
      </c>
      <c r="R471" t="s">
        <v>718</v>
      </c>
      <c r="S471" t="s">
        <v>349</v>
      </c>
      <c r="T471" t="s">
        <v>418</v>
      </c>
      <c r="U471" t="s">
        <v>419</v>
      </c>
      <c r="V471" t="s">
        <v>420</v>
      </c>
      <c r="W471" t="s">
        <v>198</v>
      </c>
      <c r="X471" t="s">
        <v>199</v>
      </c>
      <c r="Y471" t="s">
        <v>274</v>
      </c>
      <c r="Z471">
        <v>3</v>
      </c>
      <c r="AA471">
        <v>3</v>
      </c>
      <c r="AB471">
        <v>6</v>
      </c>
      <c r="AC471">
        <v>1</v>
      </c>
      <c r="AD471">
        <v>1</v>
      </c>
      <c r="AE471">
        <v>1</v>
      </c>
      <c r="AF471">
        <v>3</v>
      </c>
      <c r="AG471">
        <v>6</v>
      </c>
      <c r="AH471">
        <v>4</v>
      </c>
      <c r="AI471">
        <v>5</v>
      </c>
      <c r="AJ471">
        <v>6</v>
      </c>
      <c r="AK471">
        <v>4</v>
      </c>
      <c r="AL471">
        <v>5</v>
      </c>
      <c r="AM471">
        <v>4</v>
      </c>
      <c r="AN471">
        <v>81</v>
      </c>
      <c r="AO471">
        <v>3</v>
      </c>
      <c r="AP471">
        <v>6</v>
      </c>
      <c r="AQ471">
        <v>5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4</v>
      </c>
      <c r="AX471">
        <v>3</v>
      </c>
      <c r="AY471" cm="1">
        <f t="array" ref="AY471">_xlfn.IFS(AZ471="Positive",1, AZ471="Negative",1, AZ471="Neutral",0)</f>
        <v>1</v>
      </c>
      <c r="AZ471" t="s">
        <v>199</v>
      </c>
      <c r="BA471">
        <v>4</v>
      </c>
      <c r="BB471">
        <v>0</v>
      </c>
      <c r="BC471" s="3">
        <v>4</v>
      </c>
      <c r="BD471" s="3">
        <v>0</v>
      </c>
      <c r="BE471" s="3">
        <v>0</v>
      </c>
      <c r="BF471" s="3">
        <v>0</v>
      </c>
      <c r="BG471" s="3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 t="s">
        <v>414</v>
      </c>
      <c r="BT471">
        <v>2</v>
      </c>
      <c r="BU471" t="s">
        <v>417</v>
      </c>
      <c r="BV471" t="s">
        <v>340</v>
      </c>
    </row>
    <row r="472" spans="1:74" s="1" customFormat="1" x14ac:dyDescent="0.2">
      <c r="A472">
        <v>485</v>
      </c>
      <c r="B472">
        <v>25</v>
      </c>
      <c r="C472" t="s">
        <v>102</v>
      </c>
      <c r="D472"/>
      <c r="E472" t="s">
        <v>63</v>
      </c>
      <c r="F472">
        <v>3</v>
      </c>
      <c r="G472">
        <v>2001</v>
      </c>
      <c r="H472">
        <v>21</v>
      </c>
      <c r="I472" t="s">
        <v>69</v>
      </c>
      <c r="J472">
        <v>2</v>
      </c>
      <c r="K472" t="s">
        <v>661</v>
      </c>
      <c r="L472" t="s">
        <v>665</v>
      </c>
      <c r="M472">
        <v>0</v>
      </c>
      <c r="N472">
        <v>56</v>
      </c>
      <c r="O472" t="s">
        <v>421</v>
      </c>
      <c r="P472" t="s">
        <v>394</v>
      </c>
      <c r="Q472" t="s">
        <v>734</v>
      </c>
      <c r="R472" t="s">
        <v>739</v>
      </c>
      <c r="S472" t="s">
        <v>411</v>
      </c>
      <c r="T472" t="s">
        <v>423</v>
      </c>
      <c r="U472" t="s">
        <v>424</v>
      </c>
      <c r="V472" t="s">
        <v>398</v>
      </c>
      <c r="W472" t="s">
        <v>198</v>
      </c>
      <c r="X472" t="s">
        <v>199</v>
      </c>
      <c r="Y472" t="s">
        <v>274</v>
      </c>
      <c r="Z472">
        <v>3</v>
      </c>
      <c r="AA472">
        <v>2</v>
      </c>
      <c r="AB472">
        <v>5</v>
      </c>
      <c r="AC472">
        <v>5</v>
      </c>
      <c r="AD472">
        <v>1</v>
      </c>
      <c r="AE472">
        <v>1</v>
      </c>
      <c r="AF472">
        <v>5</v>
      </c>
      <c r="AG472">
        <v>1</v>
      </c>
      <c r="AH472">
        <v>2</v>
      </c>
      <c r="AI472">
        <v>2</v>
      </c>
      <c r="AJ472">
        <v>5</v>
      </c>
      <c r="AK472">
        <v>3</v>
      </c>
      <c r="AL472">
        <v>1</v>
      </c>
      <c r="AM472">
        <v>1</v>
      </c>
      <c r="AN472">
        <v>78</v>
      </c>
      <c r="AO472">
        <v>5</v>
      </c>
      <c r="AP472">
        <v>5</v>
      </c>
      <c r="AQ472">
        <v>5</v>
      </c>
      <c r="AR472">
        <v>6</v>
      </c>
      <c r="AS472">
        <v>5</v>
      </c>
      <c r="AT472">
        <v>4</v>
      </c>
      <c r="AU472">
        <v>4</v>
      </c>
      <c r="AV472">
        <v>4</v>
      </c>
      <c r="AW472">
        <v>2</v>
      </c>
      <c r="AX472">
        <v>2</v>
      </c>
      <c r="AY472" cm="1">
        <f t="array" ref="AY472">_xlfn.IFS(AZ472="Positive",1, AZ472="Negative",1, AZ472="Neutral",0)</f>
        <v>1</v>
      </c>
      <c r="AZ472" t="s">
        <v>199</v>
      </c>
      <c r="BA472">
        <v>0</v>
      </c>
      <c r="BB472">
        <v>2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>
        <v>0</v>
      </c>
      <c r="BI472">
        <v>0</v>
      </c>
      <c r="BJ472">
        <v>0</v>
      </c>
      <c r="BK472">
        <v>1</v>
      </c>
      <c r="BL472">
        <v>1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 t="s">
        <v>285</v>
      </c>
      <c r="BT472" t="s">
        <v>322</v>
      </c>
      <c r="BU472" t="s">
        <v>289</v>
      </c>
      <c r="BV472" t="s">
        <v>422</v>
      </c>
    </row>
    <row r="473" spans="1:74" s="1" customFormat="1" hidden="1" x14ac:dyDescent="0.2">
      <c r="A473">
        <v>486</v>
      </c>
      <c r="B473">
        <v>26</v>
      </c>
      <c r="C473" t="s">
        <v>103</v>
      </c>
      <c r="D473"/>
      <c r="E473" t="s">
        <v>97</v>
      </c>
      <c r="F473">
        <v>14</v>
      </c>
      <c r="G473">
        <v>2001</v>
      </c>
      <c r="H473">
        <v>21</v>
      </c>
      <c r="I473" t="s">
        <v>64</v>
      </c>
      <c r="J473">
        <v>1</v>
      </c>
      <c r="K473" t="s">
        <v>663</v>
      </c>
      <c r="L473" t="s">
        <v>645</v>
      </c>
      <c r="M473">
        <v>7</v>
      </c>
      <c r="N473">
        <v>67</v>
      </c>
      <c r="O473" t="s">
        <v>277</v>
      </c>
      <c r="P473" t="s">
        <v>427</v>
      </c>
      <c r="Q473" t="s">
        <v>737</v>
      </c>
      <c r="R473" t="s">
        <v>715</v>
      </c>
      <c r="S473" t="s">
        <v>430</v>
      </c>
      <c r="T473" t="s">
        <v>431</v>
      </c>
      <c r="U473" t="s">
        <v>283</v>
      </c>
      <c r="V473" t="s">
        <v>432</v>
      </c>
      <c r="W473" t="s">
        <v>198</v>
      </c>
      <c r="X473" t="s">
        <v>199</v>
      </c>
      <c r="Y473" t="s">
        <v>274</v>
      </c>
      <c r="Z473">
        <v>7</v>
      </c>
      <c r="AA473">
        <v>7</v>
      </c>
      <c r="AB473">
        <v>7</v>
      </c>
      <c r="AC473">
        <v>7</v>
      </c>
      <c r="AD473">
        <v>1</v>
      </c>
      <c r="AE473">
        <v>2</v>
      </c>
      <c r="AF473">
        <v>1</v>
      </c>
      <c r="AG473">
        <v>1</v>
      </c>
      <c r="AH473">
        <v>7</v>
      </c>
      <c r="AI473">
        <v>1</v>
      </c>
      <c r="AJ473">
        <v>7</v>
      </c>
      <c r="AK473">
        <v>7</v>
      </c>
      <c r="AL473">
        <v>7</v>
      </c>
      <c r="AM473">
        <v>6</v>
      </c>
      <c r="AN473">
        <v>13</v>
      </c>
      <c r="AO473">
        <v>3</v>
      </c>
      <c r="AP473">
        <v>7</v>
      </c>
      <c r="AQ473">
        <v>7</v>
      </c>
      <c r="AR473">
        <v>7</v>
      </c>
      <c r="AS473">
        <v>7</v>
      </c>
      <c r="AT473">
        <v>7</v>
      </c>
      <c r="AU473">
        <v>7</v>
      </c>
      <c r="AV473">
        <v>7</v>
      </c>
      <c r="AW473">
        <v>7</v>
      </c>
      <c r="AX473">
        <v>3</v>
      </c>
      <c r="AY473" cm="1">
        <f t="array" ref="AY473">_xlfn.IFS(AZ473="Positive",1, AZ473="Negative",1, AZ473="Neutral",0)</f>
        <v>1</v>
      </c>
      <c r="AZ473" t="s">
        <v>199</v>
      </c>
      <c r="BA473">
        <v>19</v>
      </c>
      <c r="BB473">
        <v>1</v>
      </c>
      <c r="BC473" s="3">
        <v>13</v>
      </c>
      <c r="BD473" s="3">
        <v>1</v>
      </c>
      <c r="BE473" s="3">
        <v>1</v>
      </c>
      <c r="BF473" s="3">
        <v>2</v>
      </c>
      <c r="BG473" s="3">
        <v>2</v>
      </c>
      <c r="BH473">
        <v>0</v>
      </c>
      <c r="BI473">
        <v>0</v>
      </c>
      <c r="BJ473">
        <v>1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 t="s">
        <v>425</v>
      </c>
      <c r="BT473" t="s">
        <v>426</v>
      </c>
      <c r="BU473" t="s">
        <v>428</v>
      </c>
      <c r="BV473" t="s">
        <v>429</v>
      </c>
    </row>
    <row r="474" spans="1:74" s="1" customFormat="1" hidden="1" x14ac:dyDescent="0.2">
      <c r="A474">
        <v>487</v>
      </c>
      <c r="B474">
        <v>27</v>
      </c>
      <c r="C474" t="s">
        <v>104</v>
      </c>
      <c r="D474"/>
      <c r="E474" t="s">
        <v>85</v>
      </c>
      <c r="F474">
        <v>26</v>
      </c>
      <c r="G474">
        <v>2001</v>
      </c>
      <c r="H474">
        <v>21</v>
      </c>
      <c r="I474" t="s">
        <v>64</v>
      </c>
      <c r="J474">
        <v>1</v>
      </c>
      <c r="K474" t="s">
        <v>651</v>
      </c>
      <c r="L474" t="s">
        <v>647</v>
      </c>
      <c r="M474">
        <v>7</v>
      </c>
      <c r="N474">
        <v>69</v>
      </c>
      <c r="O474">
        <v>6</v>
      </c>
      <c r="P474" t="s">
        <v>353</v>
      </c>
      <c r="Q474" t="s">
        <v>721</v>
      </c>
      <c r="R474" t="s">
        <v>717</v>
      </c>
      <c r="S474" t="s">
        <v>430</v>
      </c>
      <c r="T474" t="s">
        <v>357</v>
      </c>
      <c r="U474" t="s">
        <v>436</v>
      </c>
      <c r="V474" t="s">
        <v>437</v>
      </c>
      <c r="W474" t="s">
        <v>198</v>
      </c>
      <c r="X474" t="s">
        <v>199</v>
      </c>
      <c r="Y474" t="s">
        <v>274</v>
      </c>
      <c r="Z474">
        <v>6</v>
      </c>
      <c r="AA474">
        <v>7</v>
      </c>
      <c r="AB474">
        <v>6</v>
      </c>
      <c r="AC474">
        <v>7</v>
      </c>
      <c r="AD474">
        <v>6</v>
      </c>
      <c r="AE474">
        <v>2</v>
      </c>
      <c r="AF474">
        <v>2</v>
      </c>
      <c r="AG474">
        <v>1</v>
      </c>
      <c r="AH474">
        <v>6</v>
      </c>
      <c r="AI474">
        <v>1</v>
      </c>
      <c r="AJ474">
        <v>6</v>
      </c>
      <c r="AK474">
        <v>6</v>
      </c>
      <c r="AL474">
        <v>6</v>
      </c>
      <c r="AM474">
        <v>3</v>
      </c>
      <c r="AN474">
        <v>140</v>
      </c>
      <c r="AO474">
        <v>2</v>
      </c>
      <c r="AP474">
        <v>7</v>
      </c>
      <c r="AQ474">
        <v>7</v>
      </c>
      <c r="AR474">
        <v>5</v>
      </c>
      <c r="AS474">
        <v>5</v>
      </c>
      <c r="AT474">
        <v>5</v>
      </c>
      <c r="AU474">
        <v>6</v>
      </c>
      <c r="AV474">
        <v>6</v>
      </c>
      <c r="AW474">
        <v>7</v>
      </c>
      <c r="AX474">
        <v>3</v>
      </c>
      <c r="AY474" cm="1">
        <f t="array" ref="AY474">_xlfn.IFS(AZ474="Positive",1, AZ474="Negative",1, AZ474="Neutral",0)</f>
        <v>1</v>
      </c>
      <c r="AZ474" t="s">
        <v>199</v>
      </c>
      <c r="BA474">
        <v>8</v>
      </c>
      <c r="BB474">
        <v>1</v>
      </c>
      <c r="BC474" s="3">
        <v>4</v>
      </c>
      <c r="BD474" s="3">
        <v>0</v>
      </c>
      <c r="BE474" s="3">
        <v>1</v>
      </c>
      <c r="BF474" s="3">
        <v>1</v>
      </c>
      <c r="BG474" s="3">
        <v>2</v>
      </c>
      <c r="BH474">
        <v>0</v>
      </c>
      <c r="BI474">
        <v>0</v>
      </c>
      <c r="BJ474">
        <v>1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 t="s">
        <v>388</v>
      </c>
      <c r="BT474" t="s">
        <v>433</v>
      </c>
      <c r="BU474" t="s">
        <v>434</v>
      </c>
      <c r="BV474" t="s">
        <v>435</v>
      </c>
    </row>
    <row r="475" spans="1:74" s="1" customFormat="1" hidden="1" x14ac:dyDescent="0.2">
      <c r="A475">
        <v>488</v>
      </c>
      <c r="B475">
        <v>28</v>
      </c>
      <c r="C475" t="s">
        <v>105</v>
      </c>
      <c r="D475"/>
      <c r="E475" t="s">
        <v>85</v>
      </c>
      <c r="F475">
        <v>15</v>
      </c>
      <c r="G475">
        <v>2001</v>
      </c>
      <c r="H475">
        <v>21</v>
      </c>
      <c r="I475" t="s">
        <v>64</v>
      </c>
      <c r="J475">
        <v>1</v>
      </c>
      <c r="K475" t="s">
        <v>655</v>
      </c>
      <c r="L475" t="s">
        <v>653</v>
      </c>
      <c r="M475">
        <v>8</v>
      </c>
      <c r="N475">
        <v>65</v>
      </c>
      <c r="O475" t="s">
        <v>376</v>
      </c>
      <c r="P475" t="s">
        <v>438</v>
      </c>
      <c r="Q475" t="s">
        <v>725</v>
      </c>
      <c r="R475" t="s">
        <v>724</v>
      </c>
      <c r="S475" t="s">
        <v>291</v>
      </c>
      <c r="T475" t="s">
        <v>439</v>
      </c>
      <c r="U475" t="s">
        <v>440</v>
      </c>
      <c r="V475" t="s">
        <v>441</v>
      </c>
      <c r="W475" t="s">
        <v>198</v>
      </c>
      <c r="X475" t="s">
        <v>199</v>
      </c>
      <c r="Y475" t="s">
        <v>274</v>
      </c>
      <c r="Z475">
        <v>6</v>
      </c>
      <c r="AA475">
        <v>7</v>
      </c>
      <c r="AB475">
        <v>7</v>
      </c>
      <c r="AC475">
        <v>6</v>
      </c>
      <c r="AD475">
        <v>3</v>
      </c>
      <c r="AE475">
        <v>5</v>
      </c>
      <c r="AF475">
        <v>6</v>
      </c>
      <c r="AG475">
        <v>6</v>
      </c>
      <c r="AH475">
        <v>6</v>
      </c>
      <c r="AI475">
        <v>2</v>
      </c>
      <c r="AJ475">
        <v>7</v>
      </c>
      <c r="AK475">
        <v>7</v>
      </c>
      <c r="AL475">
        <v>6</v>
      </c>
      <c r="AM475">
        <v>1</v>
      </c>
      <c r="AN475">
        <v>9</v>
      </c>
      <c r="AO475">
        <v>6</v>
      </c>
      <c r="AP475">
        <v>6</v>
      </c>
      <c r="AQ475">
        <v>7</v>
      </c>
      <c r="AR475">
        <v>6</v>
      </c>
      <c r="AS475">
        <v>6</v>
      </c>
      <c r="AT475">
        <v>5</v>
      </c>
      <c r="AU475">
        <v>7</v>
      </c>
      <c r="AV475">
        <v>6</v>
      </c>
      <c r="AW475">
        <v>6</v>
      </c>
      <c r="AX475">
        <v>3</v>
      </c>
      <c r="AY475" cm="1">
        <f t="array" ref="AY475">_xlfn.IFS(AZ475="Positive",1, AZ475="Negative",1, AZ475="Neutral",0)</f>
        <v>1</v>
      </c>
      <c r="AZ475" t="s">
        <v>199</v>
      </c>
      <c r="BA475">
        <v>9</v>
      </c>
      <c r="BB475">
        <v>3</v>
      </c>
      <c r="BC475" s="3">
        <v>5</v>
      </c>
      <c r="BD475" s="3">
        <v>0</v>
      </c>
      <c r="BE475" s="3">
        <v>1</v>
      </c>
      <c r="BF475" s="3">
        <v>2</v>
      </c>
      <c r="BG475" s="3">
        <v>1</v>
      </c>
      <c r="BH475">
        <v>0</v>
      </c>
      <c r="BI475">
        <v>0</v>
      </c>
      <c r="BJ475">
        <v>3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 t="s">
        <v>414</v>
      </c>
      <c r="BT475">
        <v>3</v>
      </c>
      <c r="BU475" t="s">
        <v>417</v>
      </c>
      <c r="BV475" t="s">
        <v>309</v>
      </c>
    </row>
    <row r="476" spans="1:74" s="1" customFormat="1" hidden="1" x14ac:dyDescent="0.2">
      <c r="A476">
        <v>489</v>
      </c>
      <c r="B476">
        <v>29</v>
      </c>
      <c r="C476" t="s">
        <v>106</v>
      </c>
      <c r="D476"/>
      <c r="E476" t="s">
        <v>78</v>
      </c>
      <c r="F476">
        <v>3</v>
      </c>
      <c r="G476">
        <v>1999</v>
      </c>
      <c r="H476">
        <v>23</v>
      </c>
      <c r="I476" t="s">
        <v>64</v>
      </c>
      <c r="J476">
        <v>1</v>
      </c>
      <c r="K476" t="s">
        <v>644</v>
      </c>
      <c r="L476" t="s">
        <v>666</v>
      </c>
      <c r="M476">
        <v>17</v>
      </c>
      <c r="N476">
        <v>60</v>
      </c>
      <c r="O476" t="s">
        <v>442</v>
      </c>
      <c r="P476" t="s">
        <v>409</v>
      </c>
      <c r="Q476" t="s">
        <v>714</v>
      </c>
      <c r="R476" t="s">
        <v>740</v>
      </c>
      <c r="S476" t="s">
        <v>443</v>
      </c>
      <c r="T476" t="s">
        <v>444</v>
      </c>
      <c r="U476" t="s">
        <v>445</v>
      </c>
      <c r="V476" t="s">
        <v>413</v>
      </c>
      <c r="W476" t="s">
        <v>198</v>
      </c>
      <c r="X476" t="s">
        <v>199</v>
      </c>
      <c r="Y476" t="s">
        <v>274</v>
      </c>
      <c r="Z476">
        <v>3</v>
      </c>
      <c r="AA476">
        <v>5</v>
      </c>
      <c r="AB476">
        <v>5</v>
      </c>
      <c r="AC476">
        <v>6</v>
      </c>
      <c r="AD476">
        <v>1</v>
      </c>
      <c r="AE476">
        <v>2</v>
      </c>
      <c r="AF476">
        <v>4</v>
      </c>
      <c r="AG476">
        <v>5</v>
      </c>
      <c r="AH476">
        <v>5</v>
      </c>
      <c r="AI476">
        <v>1</v>
      </c>
      <c r="AJ476">
        <v>6</v>
      </c>
      <c r="AK476">
        <v>5</v>
      </c>
      <c r="AL476">
        <v>6</v>
      </c>
      <c r="AM476">
        <v>2</v>
      </c>
      <c r="AN476">
        <v>193</v>
      </c>
      <c r="AO476">
        <v>6</v>
      </c>
      <c r="AP476">
        <v>6</v>
      </c>
      <c r="AQ476">
        <v>5</v>
      </c>
      <c r="AR476">
        <v>5</v>
      </c>
      <c r="AS476">
        <v>5</v>
      </c>
      <c r="AT476">
        <v>5</v>
      </c>
      <c r="AU476">
        <v>5</v>
      </c>
      <c r="AV476">
        <v>5</v>
      </c>
      <c r="AW476">
        <v>6</v>
      </c>
      <c r="AX476">
        <v>3</v>
      </c>
      <c r="AY476" cm="1">
        <f t="array" ref="AY476">_xlfn.IFS(AZ476="Positive",1, AZ476="Negative",1, AZ476="Neutral",0)</f>
        <v>1</v>
      </c>
      <c r="AZ476" t="s">
        <v>199</v>
      </c>
      <c r="BA476">
        <v>2</v>
      </c>
      <c r="BB476">
        <v>3</v>
      </c>
      <c r="BC476" s="3">
        <v>2</v>
      </c>
      <c r="BD476" s="3">
        <v>0</v>
      </c>
      <c r="BE476" s="3">
        <v>0</v>
      </c>
      <c r="BF476" s="3">
        <v>0</v>
      </c>
      <c r="BG476" s="3">
        <v>0</v>
      </c>
      <c r="BH476">
        <v>0</v>
      </c>
      <c r="BI476">
        <v>0</v>
      </c>
      <c r="BJ476">
        <v>3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 t="s">
        <v>296</v>
      </c>
      <c r="BT476" t="s">
        <v>276</v>
      </c>
      <c r="BU476" t="s">
        <v>362</v>
      </c>
      <c r="BV476" t="s">
        <v>280</v>
      </c>
    </row>
    <row r="477" spans="1:74" s="1" customFormat="1" hidden="1" x14ac:dyDescent="0.2">
      <c r="A477">
        <v>490</v>
      </c>
      <c r="B477">
        <v>30</v>
      </c>
      <c r="C477" t="s">
        <v>107</v>
      </c>
      <c r="D477"/>
      <c r="E477" t="s">
        <v>73</v>
      </c>
      <c r="F477">
        <v>30</v>
      </c>
      <c r="G477">
        <v>1999</v>
      </c>
      <c r="H477">
        <v>23</v>
      </c>
      <c r="I477" t="s">
        <v>64</v>
      </c>
      <c r="J477">
        <v>1</v>
      </c>
      <c r="K477" t="s">
        <v>661</v>
      </c>
      <c r="L477" t="s">
        <v>652</v>
      </c>
      <c r="M477">
        <v>6</v>
      </c>
      <c r="N477">
        <v>66</v>
      </c>
      <c r="O477" t="s">
        <v>446</v>
      </c>
      <c r="P477" t="s">
        <v>369</v>
      </c>
      <c r="Q477" t="s">
        <v>734</v>
      </c>
      <c r="R477" t="s">
        <v>722</v>
      </c>
      <c r="S477" t="s">
        <v>403</v>
      </c>
      <c r="T477" t="s">
        <v>282</v>
      </c>
      <c r="U477" t="s">
        <v>448</v>
      </c>
      <c r="V477" t="s">
        <v>374</v>
      </c>
      <c r="W477" t="s">
        <v>198</v>
      </c>
      <c r="X477" t="s">
        <v>199</v>
      </c>
      <c r="Y477" t="s">
        <v>274</v>
      </c>
      <c r="Z477">
        <v>5</v>
      </c>
      <c r="AA477">
        <v>6</v>
      </c>
      <c r="AB477">
        <v>5</v>
      </c>
      <c r="AC477">
        <v>6</v>
      </c>
      <c r="AD477">
        <v>5</v>
      </c>
      <c r="AE477">
        <v>6</v>
      </c>
      <c r="AF477">
        <v>5</v>
      </c>
      <c r="AG477">
        <v>5</v>
      </c>
      <c r="AH477">
        <v>6</v>
      </c>
      <c r="AI477">
        <v>5</v>
      </c>
      <c r="AJ477">
        <v>6</v>
      </c>
      <c r="AK477">
        <v>5</v>
      </c>
      <c r="AL477">
        <v>5</v>
      </c>
      <c r="AM477">
        <v>5</v>
      </c>
      <c r="AN477">
        <v>23</v>
      </c>
      <c r="AO477">
        <v>5</v>
      </c>
      <c r="AP477">
        <v>5</v>
      </c>
      <c r="AQ477">
        <v>4</v>
      </c>
      <c r="AR477">
        <v>4</v>
      </c>
      <c r="AS477">
        <v>6</v>
      </c>
      <c r="AT477">
        <v>5</v>
      </c>
      <c r="AU477">
        <v>5</v>
      </c>
      <c r="AV477">
        <v>5</v>
      </c>
      <c r="AW477">
        <v>6</v>
      </c>
      <c r="AX477">
        <v>2</v>
      </c>
      <c r="AY477" cm="1">
        <f t="array" ref="AY477">_xlfn.IFS(AZ477="Positive",1, AZ477="Negative",1, AZ477="Neutral",0)</f>
        <v>1</v>
      </c>
      <c r="AZ477" t="s">
        <v>199</v>
      </c>
      <c r="BA477">
        <v>2</v>
      </c>
      <c r="BB477">
        <v>2</v>
      </c>
      <c r="BC477" s="3">
        <v>1</v>
      </c>
      <c r="BD477" s="3">
        <v>0</v>
      </c>
      <c r="BE477" s="3">
        <v>1</v>
      </c>
      <c r="BF477" s="3">
        <v>0</v>
      </c>
      <c r="BG477" s="3">
        <v>0</v>
      </c>
      <c r="BH477">
        <v>0</v>
      </c>
      <c r="BI477">
        <v>0</v>
      </c>
      <c r="BJ477">
        <v>2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 t="s">
        <v>414</v>
      </c>
      <c r="BT477" t="s">
        <v>399</v>
      </c>
      <c r="BU477" t="s">
        <v>417</v>
      </c>
      <c r="BV477" t="s">
        <v>447</v>
      </c>
    </row>
    <row r="478" spans="1:74" s="1" customFormat="1" x14ac:dyDescent="0.2">
      <c r="A478">
        <v>491</v>
      </c>
      <c r="B478">
        <v>31</v>
      </c>
      <c r="C478" t="s">
        <v>108</v>
      </c>
      <c r="D478"/>
      <c r="E478" t="s">
        <v>97</v>
      </c>
      <c r="F478">
        <v>24</v>
      </c>
      <c r="G478">
        <v>1999</v>
      </c>
      <c r="H478">
        <v>23</v>
      </c>
      <c r="I478" t="s">
        <v>64</v>
      </c>
      <c r="J478">
        <v>1</v>
      </c>
      <c r="K478" t="s">
        <v>667</v>
      </c>
      <c r="L478" t="s">
        <v>668</v>
      </c>
      <c r="M478">
        <v>2</v>
      </c>
      <c r="N478">
        <v>62</v>
      </c>
      <c r="O478" t="s">
        <v>339</v>
      </c>
      <c r="P478" t="s">
        <v>339</v>
      </c>
      <c r="Q478" t="s">
        <v>741</v>
      </c>
      <c r="R478" t="s">
        <v>742</v>
      </c>
      <c r="S478" t="s">
        <v>281</v>
      </c>
      <c r="T478" t="s">
        <v>319</v>
      </c>
      <c r="U478" t="s">
        <v>452</v>
      </c>
      <c r="V478" t="s">
        <v>343</v>
      </c>
      <c r="W478" t="s">
        <v>198</v>
      </c>
      <c r="X478" t="s">
        <v>199</v>
      </c>
      <c r="Y478" t="s">
        <v>274</v>
      </c>
      <c r="Z478">
        <v>7</v>
      </c>
      <c r="AA478">
        <v>7</v>
      </c>
      <c r="AB478">
        <v>7</v>
      </c>
      <c r="AC478">
        <v>5</v>
      </c>
      <c r="AD478">
        <v>3</v>
      </c>
      <c r="AE478">
        <v>1</v>
      </c>
      <c r="AF478">
        <v>3</v>
      </c>
      <c r="AG478">
        <v>1</v>
      </c>
      <c r="AH478">
        <v>3</v>
      </c>
      <c r="AI478">
        <v>1</v>
      </c>
      <c r="AJ478">
        <v>7</v>
      </c>
      <c r="AK478">
        <v>3</v>
      </c>
      <c r="AL478">
        <v>7</v>
      </c>
      <c r="AM478">
        <v>1</v>
      </c>
      <c r="AN478">
        <v>97</v>
      </c>
      <c r="AO478">
        <v>5</v>
      </c>
      <c r="AP478">
        <v>7</v>
      </c>
      <c r="AQ478">
        <v>4</v>
      </c>
      <c r="AR478">
        <v>4</v>
      </c>
      <c r="AS478">
        <v>4</v>
      </c>
      <c r="AT478">
        <v>4</v>
      </c>
      <c r="AU478">
        <v>4</v>
      </c>
      <c r="AV478">
        <v>4</v>
      </c>
      <c r="AW478">
        <v>4</v>
      </c>
      <c r="AX478">
        <v>3</v>
      </c>
      <c r="AY478" cm="1">
        <f t="array" ref="AY478">_xlfn.IFS(AZ478="Positive",1, AZ478="Negative",1, AZ478="Neutral",0)</f>
        <v>1</v>
      </c>
      <c r="AZ478" t="s">
        <v>199</v>
      </c>
      <c r="BA478">
        <v>0</v>
      </c>
      <c r="BB478">
        <v>4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>
        <v>0</v>
      </c>
      <c r="BI478">
        <v>0</v>
      </c>
      <c r="BJ478">
        <v>0</v>
      </c>
      <c r="BK478">
        <v>0</v>
      </c>
      <c r="BL478">
        <v>4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 t="s">
        <v>367</v>
      </c>
      <c r="BT478" t="s">
        <v>449</v>
      </c>
      <c r="BU478" t="s">
        <v>450</v>
      </c>
      <c r="BV478" t="s">
        <v>451</v>
      </c>
    </row>
    <row r="479" spans="1:74" s="1" customFormat="1" hidden="1" x14ac:dyDescent="0.2">
      <c r="A479">
        <v>492</v>
      </c>
      <c r="B479">
        <v>32</v>
      </c>
      <c r="C479" t="s">
        <v>109</v>
      </c>
      <c r="D479"/>
      <c r="E479" t="s">
        <v>68</v>
      </c>
      <c r="F479">
        <v>9</v>
      </c>
      <c r="G479">
        <v>1999</v>
      </c>
      <c r="H479">
        <v>23</v>
      </c>
      <c r="I479" t="s">
        <v>69</v>
      </c>
      <c r="J479">
        <v>2</v>
      </c>
      <c r="K479" t="s">
        <v>481</v>
      </c>
      <c r="L479" t="s">
        <v>633</v>
      </c>
      <c r="M479">
        <v>8</v>
      </c>
      <c r="N479">
        <v>54</v>
      </c>
      <c r="O479" t="s">
        <v>393</v>
      </c>
      <c r="P479" t="s">
        <v>314</v>
      </c>
      <c r="Q479" t="s">
        <v>743</v>
      </c>
      <c r="R479" t="s">
        <v>711</v>
      </c>
      <c r="S479" t="s">
        <v>291</v>
      </c>
      <c r="T479" t="s">
        <v>455</v>
      </c>
      <c r="U479" t="s">
        <v>397</v>
      </c>
      <c r="V479" t="s">
        <v>351</v>
      </c>
      <c r="W479" t="s">
        <v>198</v>
      </c>
      <c r="X479" t="s">
        <v>199</v>
      </c>
      <c r="Y479" t="s">
        <v>274</v>
      </c>
      <c r="Z479">
        <v>4</v>
      </c>
      <c r="AA479">
        <v>4</v>
      </c>
      <c r="AB479">
        <v>2</v>
      </c>
      <c r="AC479">
        <v>5</v>
      </c>
      <c r="AD479">
        <v>1</v>
      </c>
      <c r="AE479">
        <v>1</v>
      </c>
      <c r="AF479">
        <v>7</v>
      </c>
      <c r="AG479">
        <v>6</v>
      </c>
      <c r="AH479">
        <v>2</v>
      </c>
      <c r="AI479">
        <v>1</v>
      </c>
      <c r="AJ479">
        <v>7</v>
      </c>
      <c r="AK479">
        <v>5</v>
      </c>
      <c r="AL479">
        <v>5</v>
      </c>
      <c r="AM479">
        <v>1</v>
      </c>
      <c r="AN479">
        <v>95</v>
      </c>
      <c r="AO479">
        <v>4</v>
      </c>
      <c r="AP479">
        <v>7</v>
      </c>
      <c r="AQ479">
        <v>6</v>
      </c>
      <c r="AR479">
        <v>1</v>
      </c>
      <c r="AS479">
        <v>3</v>
      </c>
      <c r="AT479">
        <v>4</v>
      </c>
      <c r="AU479">
        <v>2</v>
      </c>
      <c r="AV479">
        <v>1</v>
      </c>
      <c r="AW479">
        <v>4</v>
      </c>
      <c r="AX479">
        <v>3</v>
      </c>
      <c r="AY479" cm="1">
        <f t="array" ref="AY479">_xlfn.IFS(AZ479="Positive",1, AZ479="Negative",1, AZ479="Neutral",0)</f>
        <v>1</v>
      </c>
      <c r="AZ479" t="s">
        <v>199</v>
      </c>
      <c r="BA479">
        <v>9</v>
      </c>
      <c r="BB479">
        <v>1</v>
      </c>
      <c r="BC479" s="3">
        <v>7</v>
      </c>
      <c r="BD479" s="3">
        <v>1</v>
      </c>
      <c r="BE479" s="3">
        <v>0</v>
      </c>
      <c r="BF479" s="3">
        <v>1</v>
      </c>
      <c r="BG479" s="3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 t="s">
        <v>305</v>
      </c>
      <c r="BT479" t="s">
        <v>453</v>
      </c>
      <c r="BU479" t="s">
        <v>308</v>
      </c>
      <c r="BV479" t="s">
        <v>454</v>
      </c>
    </row>
    <row r="480" spans="1:74" s="1" customFormat="1" x14ac:dyDescent="0.2">
      <c r="A480">
        <v>493</v>
      </c>
      <c r="B480">
        <v>33</v>
      </c>
      <c r="C480" t="s">
        <v>110</v>
      </c>
      <c r="D480"/>
      <c r="E480" t="s">
        <v>63</v>
      </c>
      <c r="F480">
        <v>4</v>
      </c>
      <c r="G480">
        <v>1998</v>
      </c>
      <c r="H480">
        <v>24</v>
      </c>
      <c r="I480" t="s">
        <v>69</v>
      </c>
      <c r="J480">
        <v>2</v>
      </c>
      <c r="K480" t="s">
        <v>642</v>
      </c>
      <c r="L480" t="s">
        <v>652</v>
      </c>
      <c r="M480">
        <v>20</v>
      </c>
      <c r="N480">
        <v>46</v>
      </c>
      <c r="O480" t="s">
        <v>339</v>
      </c>
      <c r="P480" t="s">
        <v>456</v>
      </c>
      <c r="Q480" t="s">
        <v>712</v>
      </c>
      <c r="R480" t="s">
        <v>722</v>
      </c>
      <c r="S480" t="s">
        <v>301</v>
      </c>
      <c r="T480" t="s">
        <v>457</v>
      </c>
      <c r="U480" t="s">
        <v>452</v>
      </c>
      <c r="V480" t="s">
        <v>458</v>
      </c>
      <c r="W480" t="s">
        <v>198</v>
      </c>
      <c r="X480" t="s">
        <v>199</v>
      </c>
      <c r="Y480" t="s">
        <v>274</v>
      </c>
      <c r="Z480">
        <v>3</v>
      </c>
      <c r="AA480">
        <v>3</v>
      </c>
      <c r="AB480">
        <v>7</v>
      </c>
      <c r="AC480">
        <v>1</v>
      </c>
      <c r="AD480">
        <v>1</v>
      </c>
      <c r="AE480">
        <v>1</v>
      </c>
      <c r="AF480">
        <v>1</v>
      </c>
      <c r="AG480">
        <v>6</v>
      </c>
      <c r="AH480">
        <v>3</v>
      </c>
      <c r="AI480">
        <v>1</v>
      </c>
      <c r="AJ480">
        <v>4</v>
      </c>
      <c r="AK480">
        <v>3</v>
      </c>
      <c r="AL480">
        <v>2</v>
      </c>
      <c r="AM480">
        <v>1</v>
      </c>
      <c r="AN480">
        <v>48</v>
      </c>
      <c r="AO480">
        <v>2</v>
      </c>
      <c r="AP480">
        <v>6</v>
      </c>
      <c r="AQ480">
        <v>2</v>
      </c>
      <c r="AR480">
        <v>1</v>
      </c>
      <c r="AS480">
        <v>3</v>
      </c>
      <c r="AT480">
        <v>3</v>
      </c>
      <c r="AU480">
        <v>5</v>
      </c>
      <c r="AV480">
        <v>2</v>
      </c>
      <c r="AW480">
        <v>6</v>
      </c>
      <c r="AX480">
        <v>3</v>
      </c>
      <c r="AY480" cm="1">
        <f t="array" ref="AY480">_xlfn.IFS(AZ480="Positive",1, AZ480="Negative",1, AZ480="Neutral",0)</f>
        <v>1</v>
      </c>
      <c r="AZ480" t="s">
        <v>199</v>
      </c>
      <c r="BA480">
        <v>0</v>
      </c>
      <c r="BB480">
        <v>3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>
        <v>0</v>
      </c>
      <c r="BI480">
        <v>0</v>
      </c>
      <c r="BJ480">
        <v>3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 t="s">
        <v>382</v>
      </c>
      <c r="BT480" t="s">
        <v>382</v>
      </c>
      <c r="BU480" t="s">
        <v>385</v>
      </c>
      <c r="BV480" t="s">
        <v>410</v>
      </c>
    </row>
    <row r="481" spans="1:74" s="1" customFormat="1" hidden="1" x14ac:dyDescent="0.2">
      <c r="A481">
        <v>494</v>
      </c>
      <c r="B481">
        <v>34</v>
      </c>
      <c r="C481" t="s">
        <v>111</v>
      </c>
      <c r="D481"/>
      <c r="E481" t="s">
        <v>88</v>
      </c>
      <c r="F481">
        <v>5</v>
      </c>
      <c r="G481">
        <v>1999</v>
      </c>
      <c r="H481">
        <v>23</v>
      </c>
      <c r="I481" t="s">
        <v>69</v>
      </c>
      <c r="J481">
        <v>2</v>
      </c>
      <c r="K481" t="s">
        <v>517</v>
      </c>
      <c r="L481" t="s">
        <v>632</v>
      </c>
      <c r="M481">
        <v>9</v>
      </c>
      <c r="N481">
        <v>60</v>
      </c>
      <c r="O481" t="s">
        <v>456</v>
      </c>
      <c r="P481" t="s">
        <v>394</v>
      </c>
      <c r="Q481" t="s">
        <v>744</v>
      </c>
      <c r="R481" t="s">
        <v>732</v>
      </c>
      <c r="S481" t="s">
        <v>349</v>
      </c>
      <c r="T481" t="s">
        <v>444</v>
      </c>
      <c r="U481" t="s">
        <v>459</v>
      </c>
      <c r="V481" t="s">
        <v>398</v>
      </c>
      <c r="W481" t="s">
        <v>198</v>
      </c>
      <c r="X481" t="s">
        <v>199</v>
      </c>
      <c r="Y481" t="s">
        <v>274</v>
      </c>
      <c r="Z481">
        <v>7</v>
      </c>
      <c r="AA481">
        <v>7</v>
      </c>
      <c r="AB481">
        <v>7</v>
      </c>
      <c r="AC481">
        <v>7</v>
      </c>
      <c r="AD481">
        <v>2</v>
      </c>
      <c r="AE481">
        <v>6</v>
      </c>
      <c r="AF481">
        <v>3</v>
      </c>
      <c r="AG481">
        <v>1</v>
      </c>
      <c r="AH481">
        <v>7</v>
      </c>
      <c r="AI481">
        <v>1</v>
      </c>
      <c r="AJ481">
        <v>7</v>
      </c>
      <c r="AK481">
        <v>7</v>
      </c>
      <c r="AL481">
        <v>7</v>
      </c>
      <c r="AM481">
        <v>5</v>
      </c>
      <c r="AN481">
        <v>110</v>
      </c>
      <c r="AO481">
        <v>2</v>
      </c>
      <c r="AP481">
        <v>7</v>
      </c>
      <c r="AQ481">
        <v>7</v>
      </c>
      <c r="AR481">
        <v>5</v>
      </c>
      <c r="AS481">
        <v>3</v>
      </c>
      <c r="AT481">
        <v>3</v>
      </c>
      <c r="AU481">
        <v>3</v>
      </c>
      <c r="AV481">
        <v>5</v>
      </c>
      <c r="AW481">
        <v>7</v>
      </c>
      <c r="AX481">
        <v>3</v>
      </c>
      <c r="AY481" cm="1">
        <f t="array" ref="AY481">_xlfn.IFS(AZ481="Positive",1, AZ481="Negative",1, AZ481="Neutral",0)</f>
        <v>1</v>
      </c>
      <c r="AZ481" t="s">
        <v>199</v>
      </c>
      <c r="BA481">
        <v>3</v>
      </c>
      <c r="BB481">
        <v>2</v>
      </c>
      <c r="BC481" s="3">
        <v>2</v>
      </c>
      <c r="BD481" s="3">
        <v>1</v>
      </c>
      <c r="BE481" s="3">
        <v>0</v>
      </c>
      <c r="BF481" s="3">
        <v>0</v>
      </c>
      <c r="BG481" s="3">
        <v>0</v>
      </c>
      <c r="BH481">
        <v>0</v>
      </c>
      <c r="BI481">
        <v>0</v>
      </c>
      <c r="BJ481">
        <v>0</v>
      </c>
      <c r="BK481">
        <v>2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 t="s">
        <v>313</v>
      </c>
      <c r="BT481" t="s">
        <v>383</v>
      </c>
      <c r="BU481" t="s">
        <v>316</v>
      </c>
      <c r="BV481" t="s">
        <v>386</v>
      </c>
    </row>
    <row r="482" spans="1:74" s="1" customFormat="1" hidden="1" x14ac:dyDescent="0.2">
      <c r="A482">
        <v>495</v>
      </c>
      <c r="B482">
        <v>35</v>
      </c>
      <c r="C482" t="s">
        <v>112</v>
      </c>
      <c r="D482"/>
      <c r="E482" t="s">
        <v>68</v>
      </c>
      <c r="F482">
        <v>5</v>
      </c>
      <c r="G482">
        <v>1998</v>
      </c>
      <c r="H482">
        <v>24</v>
      </c>
      <c r="I482" t="s">
        <v>64</v>
      </c>
      <c r="J482">
        <v>1</v>
      </c>
      <c r="K482" t="s">
        <v>416</v>
      </c>
      <c r="L482" t="s">
        <v>669</v>
      </c>
      <c r="M482">
        <v>9</v>
      </c>
      <c r="N482">
        <v>56</v>
      </c>
      <c r="O482" t="s">
        <v>288</v>
      </c>
      <c r="P482" t="s">
        <v>460</v>
      </c>
      <c r="Q482" t="s">
        <v>723</v>
      </c>
      <c r="R482" t="s">
        <v>745</v>
      </c>
      <c r="S482" t="s">
        <v>349</v>
      </c>
      <c r="T482" t="s">
        <v>423</v>
      </c>
      <c r="U482" t="s">
        <v>461</v>
      </c>
      <c r="V482" t="s">
        <v>462</v>
      </c>
      <c r="W482" t="s">
        <v>198</v>
      </c>
      <c r="X482" t="s">
        <v>199</v>
      </c>
      <c r="Y482" t="s">
        <v>274</v>
      </c>
      <c r="Z482">
        <v>4</v>
      </c>
      <c r="AA482">
        <v>4</v>
      </c>
      <c r="AB482">
        <v>5</v>
      </c>
      <c r="AC482">
        <v>6</v>
      </c>
      <c r="AD482">
        <v>1</v>
      </c>
      <c r="AE482">
        <v>5</v>
      </c>
      <c r="AF482">
        <v>5</v>
      </c>
      <c r="AG482">
        <v>4</v>
      </c>
      <c r="AH482">
        <v>4</v>
      </c>
      <c r="AI482">
        <v>1</v>
      </c>
      <c r="AJ482">
        <v>6</v>
      </c>
      <c r="AK482">
        <v>6</v>
      </c>
      <c r="AL482">
        <v>4</v>
      </c>
      <c r="AM482">
        <v>1</v>
      </c>
      <c r="AN482">
        <v>73</v>
      </c>
      <c r="AO482">
        <v>5</v>
      </c>
      <c r="AP482">
        <v>7</v>
      </c>
      <c r="AQ482">
        <v>4</v>
      </c>
      <c r="AR482">
        <v>3</v>
      </c>
      <c r="AS482">
        <v>3</v>
      </c>
      <c r="AT482">
        <v>3</v>
      </c>
      <c r="AU482">
        <v>3</v>
      </c>
      <c r="AV482">
        <v>3</v>
      </c>
      <c r="AW482">
        <v>3</v>
      </c>
      <c r="AX482">
        <v>3</v>
      </c>
      <c r="AY482" cm="1">
        <f t="array" ref="AY482">_xlfn.IFS(AZ482="Positive",1, AZ482="Negative",1, AZ482="Neutral",0)</f>
        <v>1</v>
      </c>
      <c r="AZ482" t="s">
        <v>199</v>
      </c>
      <c r="BA482">
        <v>8</v>
      </c>
      <c r="BB482">
        <v>0</v>
      </c>
      <c r="BC482" s="3">
        <v>5</v>
      </c>
      <c r="BD482" s="3">
        <v>1</v>
      </c>
      <c r="BE482" s="3">
        <v>1</v>
      </c>
      <c r="BF482" s="3">
        <v>0</v>
      </c>
      <c r="BG482" s="3">
        <v>1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 t="s">
        <v>382</v>
      </c>
      <c r="BT482" t="s">
        <v>433</v>
      </c>
      <c r="BU482" t="s">
        <v>385</v>
      </c>
      <c r="BV482" t="s">
        <v>435</v>
      </c>
    </row>
    <row r="483" spans="1:74" s="1" customFormat="1" hidden="1" x14ac:dyDescent="0.2">
      <c r="A483">
        <v>496</v>
      </c>
      <c r="B483">
        <v>36</v>
      </c>
      <c r="C483" t="s">
        <v>113</v>
      </c>
      <c r="D483"/>
      <c r="E483" t="s">
        <v>78</v>
      </c>
      <c r="F483">
        <v>8</v>
      </c>
      <c r="G483">
        <v>1998</v>
      </c>
      <c r="H483">
        <v>24</v>
      </c>
      <c r="I483" t="s">
        <v>64</v>
      </c>
      <c r="J483">
        <v>1</v>
      </c>
      <c r="K483" t="s">
        <v>517</v>
      </c>
      <c r="L483" t="s">
        <v>670</v>
      </c>
      <c r="M483">
        <v>10</v>
      </c>
      <c r="N483">
        <v>58</v>
      </c>
      <c r="O483" t="s">
        <v>384</v>
      </c>
      <c r="P483" t="s">
        <v>376</v>
      </c>
      <c r="Q483" t="s">
        <v>744</v>
      </c>
      <c r="R483" t="s">
        <v>746</v>
      </c>
      <c r="S483" t="s">
        <v>378</v>
      </c>
      <c r="T483" t="s">
        <v>364</v>
      </c>
      <c r="U483" t="s">
        <v>387</v>
      </c>
      <c r="V483" t="s">
        <v>381</v>
      </c>
      <c r="W483" t="s">
        <v>198</v>
      </c>
      <c r="X483" t="s">
        <v>199</v>
      </c>
      <c r="Y483" t="s">
        <v>274</v>
      </c>
      <c r="Z483">
        <v>1</v>
      </c>
      <c r="AA483">
        <v>1</v>
      </c>
      <c r="AB483">
        <v>1</v>
      </c>
      <c r="AC483">
        <v>5</v>
      </c>
      <c r="AD483">
        <v>1</v>
      </c>
      <c r="AE483">
        <v>1</v>
      </c>
      <c r="AF483">
        <v>1</v>
      </c>
      <c r="AG483">
        <v>7</v>
      </c>
      <c r="AH483">
        <v>1</v>
      </c>
      <c r="AI483">
        <v>1</v>
      </c>
      <c r="AJ483">
        <v>5</v>
      </c>
      <c r="AK483">
        <v>1</v>
      </c>
      <c r="AL483">
        <v>3</v>
      </c>
      <c r="AM483">
        <v>1</v>
      </c>
      <c r="AN483">
        <v>97</v>
      </c>
      <c r="AO483">
        <v>1</v>
      </c>
      <c r="AP483">
        <v>5</v>
      </c>
      <c r="AQ483">
        <v>2</v>
      </c>
      <c r="AR483">
        <v>5</v>
      </c>
      <c r="AS483">
        <v>5</v>
      </c>
      <c r="AT483">
        <v>5</v>
      </c>
      <c r="AU483">
        <v>5</v>
      </c>
      <c r="AV483">
        <v>5</v>
      </c>
      <c r="AW483">
        <v>5</v>
      </c>
      <c r="AX483">
        <v>2</v>
      </c>
      <c r="AY483" cm="1">
        <f t="array" ref="AY483">_xlfn.IFS(AZ483="Positive",1, AZ483="Negative",1, AZ483="Neutral",0)</f>
        <v>1</v>
      </c>
      <c r="AZ483" t="s">
        <v>199</v>
      </c>
      <c r="BA483">
        <v>4</v>
      </c>
      <c r="BB483">
        <v>1</v>
      </c>
      <c r="BC483" s="3">
        <v>2</v>
      </c>
      <c r="BD483" s="3">
        <v>0</v>
      </c>
      <c r="BE483" s="3">
        <v>1</v>
      </c>
      <c r="BF483" s="3">
        <v>1</v>
      </c>
      <c r="BG483" s="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1</v>
      </c>
      <c r="BS483" t="s">
        <v>463</v>
      </c>
      <c r="BT483" t="s">
        <v>464</v>
      </c>
      <c r="BU483" t="s">
        <v>465</v>
      </c>
      <c r="BV483" t="s">
        <v>466</v>
      </c>
    </row>
    <row r="484" spans="1:74" s="1" customFormat="1" hidden="1" x14ac:dyDescent="0.2">
      <c r="A484">
        <v>497</v>
      </c>
      <c r="B484">
        <v>37</v>
      </c>
      <c r="C484" t="s">
        <v>114</v>
      </c>
      <c r="D484"/>
      <c r="E484" t="s">
        <v>88</v>
      </c>
      <c r="F484">
        <v>25</v>
      </c>
      <c r="G484">
        <v>2000</v>
      </c>
      <c r="H484">
        <v>22</v>
      </c>
      <c r="I484" t="s">
        <v>64</v>
      </c>
      <c r="J484">
        <v>1</v>
      </c>
      <c r="K484" t="s">
        <v>416</v>
      </c>
      <c r="L484" t="s">
        <v>634</v>
      </c>
      <c r="M484">
        <v>15</v>
      </c>
      <c r="N484">
        <v>61</v>
      </c>
      <c r="O484" t="s">
        <v>468</v>
      </c>
      <c r="P484">
        <v>6</v>
      </c>
      <c r="Q484" t="s">
        <v>723</v>
      </c>
      <c r="R484" t="s">
        <v>747</v>
      </c>
      <c r="S484" t="s">
        <v>363</v>
      </c>
      <c r="T484" t="s">
        <v>292</v>
      </c>
      <c r="U484" t="s">
        <v>470</v>
      </c>
      <c r="V484" t="s">
        <v>471</v>
      </c>
      <c r="W484" t="s">
        <v>198</v>
      </c>
      <c r="X484" t="s">
        <v>199</v>
      </c>
      <c r="Y484" t="s">
        <v>274</v>
      </c>
      <c r="Z484">
        <v>6</v>
      </c>
      <c r="AA484">
        <v>6</v>
      </c>
      <c r="AB484">
        <v>6</v>
      </c>
      <c r="AC484">
        <v>5</v>
      </c>
      <c r="AD484">
        <v>2</v>
      </c>
      <c r="AE484">
        <v>1</v>
      </c>
      <c r="AF484">
        <v>4</v>
      </c>
      <c r="AG484">
        <v>2</v>
      </c>
      <c r="AH484">
        <v>3</v>
      </c>
      <c r="AI484">
        <v>1</v>
      </c>
      <c r="AJ484">
        <v>6</v>
      </c>
      <c r="AK484">
        <v>5</v>
      </c>
      <c r="AL484">
        <v>5</v>
      </c>
      <c r="AM484">
        <v>1</v>
      </c>
      <c r="AN484">
        <v>48</v>
      </c>
      <c r="AO484">
        <v>1</v>
      </c>
      <c r="AP484">
        <v>6</v>
      </c>
      <c r="AQ484">
        <v>6</v>
      </c>
      <c r="AR484">
        <v>6</v>
      </c>
      <c r="AS484">
        <v>6</v>
      </c>
      <c r="AT484">
        <v>6</v>
      </c>
      <c r="AU484">
        <v>6</v>
      </c>
      <c r="AV484">
        <v>6</v>
      </c>
      <c r="AW484">
        <v>6</v>
      </c>
      <c r="AX484">
        <v>3</v>
      </c>
      <c r="AY484" cm="1">
        <f t="array" ref="AY484">_xlfn.IFS(AZ484="Positive",1, AZ484="Negative",1, AZ484="Neutral",0)</f>
        <v>1</v>
      </c>
      <c r="AZ484" t="s">
        <v>199</v>
      </c>
      <c r="BA484">
        <v>14</v>
      </c>
      <c r="BB484">
        <v>4</v>
      </c>
      <c r="BC484" s="3">
        <v>10</v>
      </c>
      <c r="BD484" s="3">
        <v>0</v>
      </c>
      <c r="BE484" s="3">
        <v>1</v>
      </c>
      <c r="BF484" s="3">
        <v>0</v>
      </c>
      <c r="BG484" s="3">
        <v>3</v>
      </c>
      <c r="BH484">
        <v>0</v>
      </c>
      <c r="BI484">
        <v>0</v>
      </c>
      <c r="BJ484">
        <v>2</v>
      </c>
      <c r="BK484">
        <v>2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 t="s">
        <v>467</v>
      </c>
      <c r="BT484" t="s">
        <v>399</v>
      </c>
      <c r="BU484" t="s">
        <v>469</v>
      </c>
      <c r="BV484" t="s">
        <v>447</v>
      </c>
    </row>
    <row r="485" spans="1:74" s="1" customFormat="1" hidden="1" x14ac:dyDescent="0.2">
      <c r="A485">
        <v>498</v>
      </c>
      <c r="B485">
        <v>38</v>
      </c>
      <c r="C485" t="s">
        <v>115</v>
      </c>
      <c r="D485"/>
      <c r="E485" t="s">
        <v>85</v>
      </c>
      <c r="F485">
        <v>27</v>
      </c>
      <c r="G485">
        <v>1999</v>
      </c>
      <c r="H485">
        <v>23</v>
      </c>
      <c r="I485" t="s">
        <v>64</v>
      </c>
      <c r="J485">
        <v>1</v>
      </c>
      <c r="K485" t="s">
        <v>671</v>
      </c>
      <c r="L485" t="s">
        <v>670</v>
      </c>
      <c r="M485">
        <v>3</v>
      </c>
      <c r="N485">
        <v>48</v>
      </c>
      <c r="O485" t="s">
        <v>315</v>
      </c>
      <c r="P485" t="s">
        <v>405</v>
      </c>
      <c r="Q485" t="s">
        <v>748</v>
      </c>
      <c r="R485" t="s">
        <v>746</v>
      </c>
      <c r="S485" t="s">
        <v>372</v>
      </c>
      <c r="T485" t="s">
        <v>418</v>
      </c>
      <c r="U485" t="s">
        <v>474</v>
      </c>
      <c r="V485" t="s">
        <v>407</v>
      </c>
      <c r="W485" t="s">
        <v>198</v>
      </c>
      <c r="X485" t="s">
        <v>199</v>
      </c>
      <c r="Y485" t="s">
        <v>274</v>
      </c>
      <c r="Z485">
        <v>5</v>
      </c>
      <c r="AA485">
        <v>6</v>
      </c>
      <c r="AB485">
        <v>6</v>
      </c>
      <c r="AC485">
        <v>2</v>
      </c>
      <c r="AD485">
        <v>2</v>
      </c>
      <c r="AE485">
        <v>2</v>
      </c>
      <c r="AF485">
        <v>2</v>
      </c>
      <c r="AG485">
        <v>3</v>
      </c>
      <c r="AH485">
        <v>6</v>
      </c>
      <c r="AI485">
        <v>1</v>
      </c>
      <c r="AJ485">
        <v>7</v>
      </c>
      <c r="AK485">
        <v>7</v>
      </c>
      <c r="AL485">
        <v>7</v>
      </c>
      <c r="AM485">
        <v>7</v>
      </c>
      <c r="AN485">
        <v>61</v>
      </c>
      <c r="AO485">
        <v>1</v>
      </c>
      <c r="AP485">
        <v>7</v>
      </c>
      <c r="AQ485">
        <v>7</v>
      </c>
      <c r="AR485">
        <v>5</v>
      </c>
      <c r="AS485">
        <v>5</v>
      </c>
      <c r="AT485">
        <v>5</v>
      </c>
      <c r="AU485">
        <v>5</v>
      </c>
      <c r="AV485">
        <v>5</v>
      </c>
      <c r="AW485">
        <v>7</v>
      </c>
      <c r="AX485">
        <v>3</v>
      </c>
      <c r="AY485" cm="1">
        <f t="array" ref="AY485">_xlfn.IFS(AZ485="Positive",1, AZ485="Negative",1, AZ485="Neutral",0)</f>
        <v>1</v>
      </c>
      <c r="AZ485" t="s">
        <v>199</v>
      </c>
      <c r="BA485">
        <v>3</v>
      </c>
      <c r="BB485">
        <v>0</v>
      </c>
      <c r="BC485" s="3">
        <v>3</v>
      </c>
      <c r="BD485" s="3">
        <v>0</v>
      </c>
      <c r="BE485" s="3">
        <v>0</v>
      </c>
      <c r="BF485" s="3">
        <v>0</v>
      </c>
      <c r="BG485" s="3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 t="s">
        <v>453</v>
      </c>
      <c r="BT485" t="s">
        <v>295</v>
      </c>
      <c r="BU485" t="s">
        <v>472</v>
      </c>
      <c r="BV485" t="s">
        <v>473</v>
      </c>
    </row>
    <row r="486" spans="1:74" s="1" customFormat="1" hidden="1" x14ac:dyDescent="0.2">
      <c r="A486">
        <v>499</v>
      </c>
      <c r="B486">
        <v>39</v>
      </c>
      <c r="C486" t="s">
        <v>116</v>
      </c>
      <c r="D486"/>
      <c r="E486" t="s">
        <v>71</v>
      </c>
      <c r="F486">
        <v>28</v>
      </c>
      <c r="G486">
        <v>2001</v>
      </c>
      <c r="H486">
        <v>21</v>
      </c>
      <c r="I486" t="s">
        <v>69</v>
      </c>
      <c r="J486">
        <v>2</v>
      </c>
      <c r="K486" t="s">
        <v>517</v>
      </c>
      <c r="L486" t="s">
        <v>672</v>
      </c>
      <c r="M486">
        <v>4</v>
      </c>
      <c r="N486">
        <v>63</v>
      </c>
      <c r="O486" t="s">
        <v>394</v>
      </c>
      <c r="P486" t="s">
        <v>354</v>
      </c>
      <c r="Q486" t="s">
        <v>744</v>
      </c>
      <c r="R486" t="s">
        <v>749</v>
      </c>
      <c r="S486" t="s">
        <v>396</v>
      </c>
      <c r="T486" t="s">
        <v>477</v>
      </c>
      <c r="U486" t="s">
        <v>478</v>
      </c>
      <c r="V486" t="s">
        <v>359</v>
      </c>
      <c r="W486" t="s">
        <v>198</v>
      </c>
      <c r="X486" t="s">
        <v>199</v>
      </c>
      <c r="Y486" t="s">
        <v>274</v>
      </c>
      <c r="Z486">
        <v>3</v>
      </c>
      <c r="AA486">
        <v>5</v>
      </c>
      <c r="AB486">
        <v>6</v>
      </c>
      <c r="AC486">
        <v>2</v>
      </c>
      <c r="AD486">
        <v>1</v>
      </c>
      <c r="AE486">
        <v>1</v>
      </c>
      <c r="AF486">
        <v>1</v>
      </c>
      <c r="AG486">
        <v>3</v>
      </c>
      <c r="AH486">
        <v>2</v>
      </c>
      <c r="AI486">
        <v>1</v>
      </c>
      <c r="AJ486">
        <v>6</v>
      </c>
      <c r="AK486">
        <v>5</v>
      </c>
      <c r="AL486">
        <v>5</v>
      </c>
      <c r="AM486">
        <v>1</v>
      </c>
      <c r="AN486">
        <v>46</v>
      </c>
      <c r="AO486">
        <v>1</v>
      </c>
      <c r="AP486">
        <v>6</v>
      </c>
      <c r="AQ486">
        <v>4</v>
      </c>
      <c r="AR486">
        <v>5</v>
      </c>
      <c r="AS486">
        <v>6</v>
      </c>
      <c r="AT486">
        <v>5</v>
      </c>
      <c r="AU486">
        <v>6</v>
      </c>
      <c r="AV486">
        <v>6</v>
      </c>
      <c r="AW486">
        <v>3</v>
      </c>
      <c r="AX486">
        <v>3</v>
      </c>
      <c r="AY486" cm="1">
        <f t="array" ref="AY486">_xlfn.IFS(AZ486="Positive",1, AZ486="Negative",1, AZ486="Neutral",0)</f>
        <v>1</v>
      </c>
      <c r="AZ486" t="s">
        <v>199</v>
      </c>
      <c r="BA486">
        <v>16</v>
      </c>
      <c r="BB486">
        <v>0</v>
      </c>
      <c r="BC486" s="3">
        <v>7</v>
      </c>
      <c r="BD486" s="3">
        <v>0</v>
      </c>
      <c r="BE486" s="3">
        <v>3</v>
      </c>
      <c r="BF486" s="3">
        <v>1</v>
      </c>
      <c r="BG486" s="3">
        <v>5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 t="s">
        <v>399</v>
      </c>
      <c r="BT486" t="s">
        <v>475</v>
      </c>
      <c r="BU486" t="s">
        <v>400</v>
      </c>
      <c r="BV486" t="s">
        <v>476</v>
      </c>
    </row>
    <row r="487" spans="1:74" s="1" customFormat="1" hidden="1" x14ac:dyDescent="0.2">
      <c r="A487">
        <v>500</v>
      </c>
      <c r="B487">
        <v>40</v>
      </c>
      <c r="C487" t="s">
        <v>117</v>
      </c>
      <c r="D487"/>
      <c r="E487" t="s">
        <v>88</v>
      </c>
      <c r="F487">
        <v>15</v>
      </c>
      <c r="G487">
        <v>2001</v>
      </c>
      <c r="H487">
        <v>21</v>
      </c>
      <c r="I487" t="s">
        <v>69</v>
      </c>
      <c r="J487">
        <v>2</v>
      </c>
      <c r="K487" t="s">
        <v>673</v>
      </c>
      <c r="L487" t="s">
        <v>648</v>
      </c>
      <c r="M487">
        <v>5</v>
      </c>
      <c r="N487">
        <v>48</v>
      </c>
      <c r="O487" t="s">
        <v>393</v>
      </c>
      <c r="P487" t="s">
        <v>369</v>
      </c>
      <c r="Q487" t="s">
        <v>750</v>
      </c>
      <c r="R487" t="s">
        <v>718</v>
      </c>
      <c r="S487" t="s">
        <v>318</v>
      </c>
      <c r="T487" t="s">
        <v>418</v>
      </c>
      <c r="U487" t="s">
        <v>397</v>
      </c>
      <c r="V487" t="s">
        <v>374</v>
      </c>
      <c r="W487" t="s">
        <v>198</v>
      </c>
      <c r="X487" t="s">
        <v>199</v>
      </c>
      <c r="Y487" t="s">
        <v>274</v>
      </c>
      <c r="Z487">
        <v>6</v>
      </c>
      <c r="AA487">
        <v>6</v>
      </c>
      <c r="AB487">
        <v>5</v>
      </c>
      <c r="AC487">
        <v>5</v>
      </c>
      <c r="AD487">
        <v>3</v>
      </c>
      <c r="AE487">
        <v>2</v>
      </c>
      <c r="AF487">
        <v>1</v>
      </c>
      <c r="AG487">
        <v>4</v>
      </c>
      <c r="AH487">
        <v>5</v>
      </c>
      <c r="AI487">
        <v>1</v>
      </c>
      <c r="AJ487">
        <v>7</v>
      </c>
      <c r="AK487">
        <v>6</v>
      </c>
      <c r="AL487">
        <v>6</v>
      </c>
      <c r="AM487">
        <v>1</v>
      </c>
      <c r="AN487">
        <v>24</v>
      </c>
      <c r="AO487">
        <v>1</v>
      </c>
      <c r="AP487">
        <v>7</v>
      </c>
      <c r="AQ487">
        <v>5</v>
      </c>
      <c r="AR487">
        <v>5</v>
      </c>
      <c r="AS487">
        <v>6</v>
      </c>
      <c r="AT487">
        <v>5</v>
      </c>
      <c r="AU487">
        <v>6</v>
      </c>
      <c r="AV487">
        <v>7</v>
      </c>
      <c r="AW487">
        <v>6</v>
      </c>
      <c r="AX487">
        <v>3</v>
      </c>
      <c r="AY487" cm="1">
        <f t="array" ref="AY487">_xlfn.IFS(AZ487="Positive",1, AZ487="Negative",1, AZ487="Neutral",0)</f>
        <v>1</v>
      </c>
      <c r="AZ487" t="s">
        <v>199</v>
      </c>
      <c r="BA487">
        <v>9</v>
      </c>
      <c r="BB487">
        <v>2</v>
      </c>
      <c r="BC487" s="3">
        <v>4</v>
      </c>
      <c r="BD487" s="3">
        <v>2</v>
      </c>
      <c r="BE487" s="3">
        <v>2</v>
      </c>
      <c r="BF487" s="3">
        <v>0</v>
      </c>
      <c r="BG487" s="3">
        <v>1</v>
      </c>
      <c r="BH487">
        <v>0</v>
      </c>
      <c r="BI487">
        <v>0</v>
      </c>
      <c r="BJ487">
        <v>1</v>
      </c>
      <c r="BK487">
        <v>0</v>
      </c>
      <c r="BL487">
        <v>0</v>
      </c>
      <c r="BM487">
        <v>0</v>
      </c>
      <c r="BN487">
        <v>1</v>
      </c>
      <c r="BO487">
        <v>0</v>
      </c>
      <c r="BP487">
        <v>0</v>
      </c>
      <c r="BQ487">
        <v>0</v>
      </c>
      <c r="BR487">
        <v>0</v>
      </c>
      <c r="BS487" t="s">
        <v>323</v>
      </c>
      <c r="BT487">
        <v>2</v>
      </c>
      <c r="BU487" t="s">
        <v>479</v>
      </c>
      <c r="BV487" t="s">
        <v>340</v>
      </c>
    </row>
    <row r="488" spans="1:74" s="1" customFormat="1" hidden="1" x14ac:dyDescent="0.2">
      <c r="A488">
        <v>501</v>
      </c>
      <c r="B488">
        <v>41</v>
      </c>
      <c r="C488" t="s">
        <v>118</v>
      </c>
      <c r="D488"/>
      <c r="E488" t="s">
        <v>88</v>
      </c>
      <c r="F488">
        <v>27</v>
      </c>
      <c r="G488">
        <v>1998</v>
      </c>
      <c r="H488">
        <v>24</v>
      </c>
      <c r="I488" t="s">
        <v>69</v>
      </c>
      <c r="J488">
        <v>2</v>
      </c>
      <c r="K488" t="s">
        <v>656</v>
      </c>
      <c r="L488" t="s">
        <v>653</v>
      </c>
      <c r="M488">
        <v>8</v>
      </c>
      <c r="N488">
        <v>59</v>
      </c>
      <c r="O488" t="s">
        <v>339</v>
      </c>
      <c r="P488" t="s">
        <v>481</v>
      </c>
      <c r="Q488" t="s">
        <v>751</v>
      </c>
      <c r="R488" t="s">
        <v>724</v>
      </c>
      <c r="S488" t="s">
        <v>291</v>
      </c>
      <c r="T488" t="s">
        <v>341</v>
      </c>
      <c r="U488" t="s">
        <v>452</v>
      </c>
      <c r="V488" t="s">
        <v>483</v>
      </c>
      <c r="W488" t="s">
        <v>198</v>
      </c>
      <c r="X488" t="s">
        <v>199</v>
      </c>
      <c r="Y488" t="s">
        <v>274</v>
      </c>
      <c r="Z488">
        <v>6</v>
      </c>
      <c r="AA488">
        <v>5</v>
      </c>
      <c r="AB488">
        <v>6</v>
      </c>
      <c r="AC488">
        <v>6</v>
      </c>
      <c r="AD488">
        <v>1</v>
      </c>
      <c r="AE488">
        <v>1</v>
      </c>
      <c r="AF488">
        <v>2</v>
      </c>
      <c r="AG488">
        <v>5</v>
      </c>
      <c r="AH488">
        <v>5</v>
      </c>
      <c r="AI488">
        <v>1</v>
      </c>
      <c r="AJ488">
        <v>6</v>
      </c>
      <c r="AK488">
        <v>5</v>
      </c>
      <c r="AL488">
        <v>5</v>
      </c>
      <c r="AM488">
        <v>2</v>
      </c>
      <c r="AN488">
        <v>8</v>
      </c>
      <c r="AO488">
        <v>2</v>
      </c>
      <c r="AP488">
        <v>6</v>
      </c>
      <c r="AQ488">
        <v>5</v>
      </c>
      <c r="AR488">
        <v>6</v>
      </c>
      <c r="AS488">
        <v>6</v>
      </c>
      <c r="AT488">
        <v>6</v>
      </c>
      <c r="AU488">
        <v>6</v>
      </c>
      <c r="AV488">
        <v>6</v>
      </c>
      <c r="AW488">
        <v>6</v>
      </c>
      <c r="AX488">
        <v>3</v>
      </c>
      <c r="AY488" cm="1">
        <f t="array" ref="AY488">_xlfn.IFS(AZ488="Positive",1, AZ488="Negative",1, AZ488="Neutral",0)</f>
        <v>1</v>
      </c>
      <c r="AZ488" t="s">
        <v>199</v>
      </c>
      <c r="BA488">
        <v>11</v>
      </c>
      <c r="BB488">
        <v>0</v>
      </c>
      <c r="BC488" s="3">
        <v>8</v>
      </c>
      <c r="BD488" s="3">
        <v>0</v>
      </c>
      <c r="BE488" s="3">
        <v>1</v>
      </c>
      <c r="BF488" s="3">
        <v>1</v>
      </c>
      <c r="BG488" s="3">
        <v>1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 t="s">
        <v>295</v>
      </c>
      <c r="BT488" t="s">
        <v>480</v>
      </c>
      <c r="BU488" t="s">
        <v>299</v>
      </c>
      <c r="BV488" t="s">
        <v>482</v>
      </c>
    </row>
    <row r="489" spans="1:74" s="1" customFormat="1" hidden="1" x14ac:dyDescent="0.2">
      <c r="A489">
        <v>502</v>
      </c>
      <c r="B489">
        <v>42</v>
      </c>
      <c r="C489" t="s">
        <v>119</v>
      </c>
      <c r="D489"/>
      <c r="E489" t="s">
        <v>88</v>
      </c>
      <c r="F489">
        <v>17</v>
      </c>
      <c r="G489">
        <v>2001</v>
      </c>
      <c r="H489">
        <v>21</v>
      </c>
      <c r="I489" t="s">
        <v>64</v>
      </c>
      <c r="J489">
        <v>1</v>
      </c>
      <c r="K489" t="s">
        <v>674</v>
      </c>
      <c r="L489" t="s">
        <v>636</v>
      </c>
      <c r="M489">
        <v>10</v>
      </c>
      <c r="N489">
        <v>68</v>
      </c>
      <c r="O489" t="s">
        <v>485</v>
      </c>
      <c r="P489" t="s">
        <v>389</v>
      </c>
      <c r="Q489" t="s">
        <v>752</v>
      </c>
      <c r="R489" t="s">
        <v>705</v>
      </c>
      <c r="S489" t="s">
        <v>378</v>
      </c>
      <c r="T489" t="s">
        <v>487</v>
      </c>
      <c r="U489" t="s">
        <v>488</v>
      </c>
      <c r="V489" t="s">
        <v>392</v>
      </c>
      <c r="W489" t="s">
        <v>198</v>
      </c>
      <c r="X489" t="s">
        <v>199</v>
      </c>
      <c r="Y489" t="s">
        <v>274</v>
      </c>
      <c r="Z489">
        <v>6</v>
      </c>
      <c r="AA489">
        <v>5</v>
      </c>
      <c r="AB489">
        <v>6</v>
      </c>
      <c r="AC489">
        <v>5</v>
      </c>
      <c r="AD489">
        <v>5</v>
      </c>
      <c r="AE489">
        <v>6</v>
      </c>
      <c r="AF489">
        <v>3</v>
      </c>
      <c r="AG489">
        <v>3</v>
      </c>
      <c r="AH489">
        <v>4</v>
      </c>
      <c r="AI489">
        <v>2</v>
      </c>
      <c r="AJ489">
        <v>7</v>
      </c>
      <c r="AK489">
        <v>6</v>
      </c>
      <c r="AL489">
        <v>6</v>
      </c>
      <c r="AM489">
        <v>5</v>
      </c>
      <c r="AN489">
        <v>37</v>
      </c>
      <c r="AO489">
        <v>3</v>
      </c>
      <c r="AP489">
        <v>6</v>
      </c>
      <c r="AQ489">
        <v>5</v>
      </c>
      <c r="AR489">
        <v>5</v>
      </c>
      <c r="AS489">
        <v>4</v>
      </c>
      <c r="AT489">
        <v>5</v>
      </c>
      <c r="AU489">
        <v>4</v>
      </c>
      <c r="AV489">
        <v>5</v>
      </c>
      <c r="AW489">
        <v>5</v>
      </c>
      <c r="AX489">
        <v>3</v>
      </c>
      <c r="AY489" cm="1">
        <f t="array" ref="AY489">_xlfn.IFS(AZ489="Positive",1, AZ489="Negative",1, AZ489="Neutral",0)</f>
        <v>1</v>
      </c>
      <c r="AZ489" t="s">
        <v>199</v>
      </c>
      <c r="BA489">
        <v>22</v>
      </c>
      <c r="BB489">
        <v>4</v>
      </c>
      <c r="BC489" s="3">
        <v>12</v>
      </c>
      <c r="BD489" s="3">
        <v>2</v>
      </c>
      <c r="BE489" s="3">
        <v>3</v>
      </c>
      <c r="BF489" s="3">
        <v>4</v>
      </c>
      <c r="BG489" s="3">
        <v>1</v>
      </c>
      <c r="BH489">
        <v>0</v>
      </c>
      <c r="BI489">
        <v>0</v>
      </c>
      <c r="BJ489">
        <v>2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</v>
      </c>
      <c r="BR489">
        <v>1</v>
      </c>
      <c r="BS489" t="s">
        <v>388</v>
      </c>
      <c r="BT489" t="s">
        <v>484</v>
      </c>
      <c r="BU489" t="s">
        <v>434</v>
      </c>
      <c r="BV489" t="s">
        <v>486</v>
      </c>
    </row>
    <row r="490" spans="1:74" s="1" customFormat="1" x14ac:dyDescent="0.2">
      <c r="A490">
        <v>503</v>
      </c>
      <c r="B490">
        <v>43</v>
      </c>
      <c r="C490" t="s">
        <v>120</v>
      </c>
      <c r="D490"/>
      <c r="E490" t="s">
        <v>85</v>
      </c>
      <c r="F490">
        <v>3</v>
      </c>
      <c r="G490">
        <v>1998</v>
      </c>
      <c r="H490">
        <v>24</v>
      </c>
      <c r="I490" t="s">
        <v>69</v>
      </c>
      <c r="J490">
        <v>2</v>
      </c>
      <c r="K490" t="s">
        <v>642</v>
      </c>
      <c r="L490" t="s">
        <v>634</v>
      </c>
      <c r="M490">
        <v>1</v>
      </c>
      <c r="N490">
        <v>49</v>
      </c>
      <c r="O490" t="s">
        <v>456</v>
      </c>
      <c r="P490" t="s">
        <v>394</v>
      </c>
      <c r="Q490" t="s">
        <v>712</v>
      </c>
      <c r="R490" t="s">
        <v>747</v>
      </c>
      <c r="S490" t="s">
        <v>335</v>
      </c>
      <c r="T490" t="s">
        <v>491</v>
      </c>
      <c r="U490" t="s">
        <v>459</v>
      </c>
      <c r="V490" t="s">
        <v>398</v>
      </c>
      <c r="W490" t="s">
        <v>198</v>
      </c>
      <c r="X490" t="s">
        <v>199</v>
      </c>
      <c r="Y490" t="s">
        <v>274</v>
      </c>
      <c r="Z490">
        <v>7</v>
      </c>
      <c r="AA490">
        <v>7</v>
      </c>
      <c r="AB490">
        <v>6</v>
      </c>
      <c r="AC490">
        <v>4</v>
      </c>
      <c r="AD490">
        <v>2</v>
      </c>
      <c r="AE490">
        <v>6</v>
      </c>
      <c r="AF490">
        <v>6</v>
      </c>
      <c r="AG490">
        <v>6</v>
      </c>
      <c r="AH490">
        <v>5</v>
      </c>
      <c r="AI490">
        <v>1</v>
      </c>
      <c r="AJ490">
        <v>7</v>
      </c>
      <c r="AK490">
        <v>7</v>
      </c>
      <c r="AL490">
        <v>6</v>
      </c>
      <c r="AM490">
        <v>6</v>
      </c>
      <c r="AN490">
        <v>49</v>
      </c>
      <c r="AO490">
        <v>1</v>
      </c>
      <c r="AP490">
        <v>3</v>
      </c>
      <c r="AQ490">
        <v>7</v>
      </c>
      <c r="AR490">
        <v>4</v>
      </c>
      <c r="AS490">
        <v>3</v>
      </c>
      <c r="AT490">
        <v>4</v>
      </c>
      <c r="AU490">
        <v>4</v>
      </c>
      <c r="AV490">
        <v>3</v>
      </c>
      <c r="AW490">
        <v>6</v>
      </c>
      <c r="AX490">
        <v>2</v>
      </c>
      <c r="AY490" cm="1">
        <f t="array" ref="AY490">_xlfn.IFS(AZ490="Positive",1, AZ490="Negative",1, AZ490="Neutral",0)</f>
        <v>1</v>
      </c>
      <c r="AZ490" t="s">
        <v>199</v>
      </c>
      <c r="BA490">
        <v>0</v>
      </c>
      <c r="BB490">
        <v>7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>
        <v>0</v>
      </c>
      <c r="BI490">
        <v>0</v>
      </c>
      <c r="BJ490">
        <v>2</v>
      </c>
      <c r="BK490">
        <v>3</v>
      </c>
      <c r="BL490">
        <v>2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 t="s">
        <v>489</v>
      </c>
      <c r="BT490" t="s">
        <v>399</v>
      </c>
      <c r="BU490" t="s">
        <v>490</v>
      </c>
      <c r="BV490" t="s">
        <v>447</v>
      </c>
    </row>
    <row r="491" spans="1:74" s="1" customFormat="1" x14ac:dyDescent="0.2">
      <c r="A491">
        <v>504</v>
      </c>
      <c r="B491">
        <v>44</v>
      </c>
      <c r="C491" t="s">
        <v>121</v>
      </c>
      <c r="D491"/>
      <c r="E491" t="s">
        <v>80</v>
      </c>
      <c r="F491">
        <v>19</v>
      </c>
      <c r="G491">
        <v>1999</v>
      </c>
      <c r="H491">
        <v>23</v>
      </c>
      <c r="I491" t="s">
        <v>64</v>
      </c>
      <c r="J491">
        <v>1</v>
      </c>
      <c r="K491" t="s">
        <v>658</v>
      </c>
      <c r="L491" t="s">
        <v>634</v>
      </c>
      <c r="M491">
        <v>9</v>
      </c>
      <c r="N491">
        <v>52</v>
      </c>
      <c r="O491" t="s">
        <v>493</v>
      </c>
      <c r="P491" t="s">
        <v>315</v>
      </c>
      <c r="Q491" t="s">
        <v>729</v>
      </c>
      <c r="R491" t="s">
        <v>747</v>
      </c>
      <c r="S491" t="s">
        <v>349</v>
      </c>
      <c r="T491" t="s">
        <v>495</v>
      </c>
      <c r="U491" t="s">
        <v>496</v>
      </c>
      <c r="V491" t="s">
        <v>321</v>
      </c>
      <c r="W491" t="s">
        <v>198</v>
      </c>
      <c r="X491" t="s">
        <v>199</v>
      </c>
      <c r="Y491" t="s">
        <v>274</v>
      </c>
      <c r="Z491">
        <v>2</v>
      </c>
      <c r="AA491">
        <v>2</v>
      </c>
      <c r="AB491">
        <v>1</v>
      </c>
      <c r="AC491">
        <v>1</v>
      </c>
      <c r="AD491">
        <v>1</v>
      </c>
      <c r="AE491">
        <v>1</v>
      </c>
      <c r="AF491">
        <v>7</v>
      </c>
      <c r="AG491">
        <v>1</v>
      </c>
      <c r="AH491">
        <v>1</v>
      </c>
      <c r="AI491">
        <v>1</v>
      </c>
      <c r="AJ491">
        <v>7</v>
      </c>
      <c r="AK491">
        <v>7</v>
      </c>
      <c r="AL491">
        <v>7</v>
      </c>
      <c r="AM491">
        <v>4</v>
      </c>
      <c r="AN491">
        <v>240</v>
      </c>
      <c r="AO491">
        <v>2</v>
      </c>
      <c r="AP491">
        <v>7</v>
      </c>
      <c r="AQ491">
        <v>7</v>
      </c>
      <c r="AR491">
        <v>1</v>
      </c>
      <c r="AS491">
        <v>6</v>
      </c>
      <c r="AT491">
        <v>1</v>
      </c>
      <c r="AU491">
        <v>4</v>
      </c>
      <c r="AV491">
        <v>5</v>
      </c>
      <c r="AW491">
        <v>6</v>
      </c>
      <c r="AX491">
        <v>3</v>
      </c>
      <c r="AY491" cm="1">
        <f t="array" ref="AY491">_xlfn.IFS(AZ491="Positive",1, AZ491="Negative",1, AZ491="Neutral",0)</f>
        <v>1</v>
      </c>
      <c r="AZ491" t="s">
        <v>199</v>
      </c>
      <c r="BA491">
        <v>0</v>
      </c>
      <c r="BB491">
        <v>4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>
        <v>0</v>
      </c>
      <c r="BI491">
        <v>0</v>
      </c>
      <c r="BJ491">
        <v>3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1</v>
      </c>
      <c r="BS491" t="s">
        <v>322</v>
      </c>
      <c r="BT491" t="s">
        <v>492</v>
      </c>
      <c r="BU491" t="s">
        <v>326</v>
      </c>
      <c r="BV491" t="s">
        <v>494</v>
      </c>
    </row>
    <row r="492" spans="1:74" s="1" customFormat="1" x14ac:dyDescent="0.2">
      <c r="A492">
        <v>505</v>
      </c>
      <c r="B492">
        <v>45</v>
      </c>
      <c r="C492" t="s">
        <v>122</v>
      </c>
      <c r="D492"/>
      <c r="E492" t="s">
        <v>76</v>
      </c>
      <c r="F492">
        <v>4</v>
      </c>
      <c r="G492">
        <v>2000</v>
      </c>
      <c r="H492">
        <v>22</v>
      </c>
      <c r="I492" t="s">
        <v>64</v>
      </c>
      <c r="J492">
        <v>1</v>
      </c>
      <c r="K492" t="s">
        <v>652</v>
      </c>
      <c r="L492" t="s">
        <v>653</v>
      </c>
      <c r="M492">
        <v>6</v>
      </c>
      <c r="N492">
        <v>62</v>
      </c>
      <c r="O492" t="s">
        <v>497</v>
      </c>
      <c r="P492" t="s">
        <v>278</v>
      </c>
      <c r="Q492" t="s">
        <v>753</v>
      </c>
      <c r="R492" t="s">
        <v>724</v>
      </c>
      <c r="S492" t="s">
        <v>403</v>
      </c>
      <c r="T492" t="s">
        <v>319</v>
      </c>
      <c r="U492" t="s">
        <v>498</v>
      </c>
      <c r="V492" t="s">
        <v>284</v>
      </c>
      <c r="W492" t="s">
        <v>198</v>
      </c>
      <c r="X492" t="s">
        <v>199</v>
      </c>
      <c r="Y492" t="s">
        <v>274</v>
      </c>
      <c r="Z492">
        <v>3</v>
      </c>
      <c r="AA492">
        <v>3</v>
      </c>
      <c r="AB492">
        <v>4</v>
      </c>
      <c r="AC492">
        <v>3</v>
      </c>
      <c r="AD492">
        <v>2</v>
      </c>
      <c r="AE492">
        <v>3</v>
      </c>
      <c r="AF492">
        <v>5</v>
      </c>
      <c r="AG492">
        <v>4</v>
      </c>
      <c r="AH492">
        <v>4</v>
      </c>
      <c r="AI492">
        <v>2</v>
      </c>
      <c r="AJ492">
        <v>4</v>
      </c>
      <c r="AK492">
        <v>3</v>
      </c>
      <c r="AL492">
        <v>3</v>
      </c>
      <c r="AM492">
        <v>3</v>
      </c>
      <c r="AN492">
        <v>145</v>
      </c>
      <c r="AO492">
        <v>4</v>
      </c>
      <c r="AP492">
        <v>5</v>
      </c>
      <c r="AQ492">
        <v>5</v>
      </c>
      <c r="AR492">
        <v>5</v>
      </c>
      <c r="AS492">
        <v>5</v>
      </c>
      <c r="AT492">
        <v>6</v>
      </c>
      <c r="AU492">
        <v>5</v>
      </c>
      <c r="AV492">
        <v>6</v>
      </c>
      <c r="AW492">
        <v>5</v>
      </c>
      <c r="AX492">
        <v>2</v>
      </c>
      <c r="AY492" cm="1">
        <f t="array" ref="AY492">_xlfn.IFS(AZ492="Positive",1, AZ492="Negative",1, AZ492="Neutral",0)</f>
        <v>1</v>
      </c>
      <c r="AZ492" t="s">
        <v>199</v>
      </c>
      <c r="BA492">
        <v>0</v>
      </c>
      <c r="BB492">
        <v>4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>
        <v>0</v>
      </c>
      <c r="BI492">
        <v>2</v>
      </c>
      <c r="BJ492">
        <v>1</v>
      </c>
      <c r="BK492">
        <v>1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 t="s">
        <v>285</v>
      </c>
      <c r="BT492" t="s">
        <v>383</v>
      </c>
      <c r="BU492" t="s">
        <v>289</v>
      </c>
      <c r="BV492" t="s">
        <v>386</v>
      </c>
    </row>
    <row r="493" spans="1:74" s="1" customFormat="1" x14ac:dyDescent="0.2">
      <c r="A493">
        <v>506</v>
      </c>
      <c r="B493">
        <v>46</v>
      </c>
      <c r="C493" t="s">
        <v>123</v>
      </c>
      <c r="D493"/>
      <c r="E493" t="s">
        <v>68</v>
      </c>
      <c r="F493">
        <v>22</v>
      </c>
      <c r="G493">
        <v>2000</v>
      </c>
      <c r="H493">
        <v>22</v>
      </c>
      <c r="I493" t="s">
        <v>64</v>
      </c>
      <c r="J493">
        <v>1</v>
      </c>
      <c r="K493" t="s">
        <v>674</v>
      </c>
      <c r="L493" t="s">
        <v>675</v>
      </c>
      <c r="M493">
        <v>12</v>
      </c>
      <c r="N493">
        <v>69</v>
      </c>
      <c r="O493" t="s">
        <v>456</v>
      </c>
      <c r="P493" t="s">
        <v>315</v>
      </c>
      <c r="Q493" t="s">
        <v>752</v>
      </c>
      <c r="R493" t="s">
        <v>754</v>
      </c>
      <c r="S493" t="s">
        <v>499</v>
      </c>
      <c r="T493" t="s">
        <v>357</v>
      </c>
      <c r="U493" t="s">
        <v>459</v>
      </c>
      <c r="V493" t="s">
        <v>321</v>
      </c>
      <c r="W493" t="s">
        <v>198</v>
      </c>
      <c r="X493" t="s">
        <v>199</v>
      </c>
      <c r="Y493" t="s">
        <v>274</v>
      </c>
      <c r="Z493">
        <v>6</v>
      </c>
      <c r="AA493">
        <v>6</v>
      </c>
      <c r="AB493">
        <v>6</v>
      </c>
      <c r="AC493">
        <v>3</v>
      </c>
      <c r="AD493">
        <v>1</v>
      </c>
      <c r="AE493">
        <v>3</v>
      </c>
      <c r="AF493">
        <v>1</v>
      </c>
      <c r="AG493">
        <v>2</v>
      </c>
      <c r="AH493">
        <v>6</v>
      </c>
      <c r="AI493">
        <v>1</v>
      </c>
      <c r="AJ493">
        <v>6</v>
      </c>
      <c r="AK493">
        <v>6</v>
      </c>
      <c r="AL493">
        <v>6</v>
      </c>
      <c r="AM493">
        <v>4</v>
      </c>
      <c r="AN493">
        <v>3</v>
      </c>
      <c r="AO493">
        <v>4</v>
      </c>
      <c r="AP493">
        <v>6</v>
      </c>
      <c r="AQ493">
        <v>5</v>
      </c>
      <c r="AR493">
        <v>5</v>
      </c>
      <c r="AS493">
        <v>5</v>
      </c>
      <c r="AT493">
        <v>5</v>
      </c>
      <c r="AU493">
        <v>5</v>
      </c>
      <c r="AV493">
        <v>6</v>
      </c>
      <c r="AW493">
        <v>6</v>
      </c>
      <c r="AX493">
        <v>3</v>
      </c>
      <c r="AY493" cm="1">
        <f t="array" ref="AY493">_xlfn.IFS(AZ493="Positive",1, AZ493="Negative",1, AZ493="Neutral",0)</f>
        <v>1</v>
      </c>
      <c r="AZ493" t="s">
        <v>199</v>
      </c>
      <c r="BA493">
        <v>0</v>
      </c>
      <c r="BB493">
        <v>3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>
        <v>0</v>
      </c>
      <c r="BI493">
        <v>0</v>
      </c>
      <c r="BJ493">
        <v>2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1</v>
      </c>
      <c r="BS493" t="s">
        <v>414</v>
      </c>
      <c r="BT493" t="s">
        <v>313</v>
      </c>
      <c r="BU493" t="s">
        <v>417</v>
      </c>
      <c r="BV493" t="s">
        <v>317</v>
      </c>
    </row>
    <row r="494" spans="1:74" s="1" customFormat="1" hidden="1" x14ac:dyDescent="0.2">
      <c r="A494">
        <v>508</v>
      </c>
      <c r="B494">
        <v>48</v>
      </c>
      <c r="C494" t="s">
        <v>125</v>
      </c>
      <c r="D494"/>
      <c r="E494" t="s">
        <v>63</v>
      </c>
      <c r="F494">
        <v>6</v>
      </c>
      <c r="G494">
        <v>1999</v>
      </c>
      <c r="H494">
        <v>23</v>
      </c>
      <c r="I494" t="s">
        <v>64</v>
      </c>
      <c r="J494">
        <v>1</v>
      </c>
      <c r="K494" t="s">
        <v>657</v>
      </c>
      <c r="L494" t="s">
        <v>669</v>
      </c>
      <c r="M494">
        <v>5</v>
      </c>
      <c r="N494">
        <v>75</v>
      </c>
      <c r="O494">
        <v>7</v>
      </c>
      <c r="P494" t="s">
        <v>505</v>
      </c>
      <c r="Q494" t="s">
        <v>727</v>
      </c>
      <c r="R494" t="s">
        <v>745</v>
      </c>
      <c r="S494" t="s">
        <v>318</v>
      </c>
      <c r="T494" t="s">
        <v>507</v>
      </c>
      <c r="U494" t="s">
        <v>508</v>
      </c>
      <c r="V494" t="s">
        <v>509</v>
      </c>
      <c r="W494" t="s">
        <v>198</v>
      </c>
      <c r="X494" t="s">
        <v>199</v>
      </c>
      <c r="Y494" t="s">
        <v>274</v>
      </c>
      <c r="Z494">
        <v>7</v>
      </c>
      <c r="AA494">
        <v>7</v>
      </c>
      <c r="AB494">
        <v>7</v>
      </c>
      <c r="AC494">
        <v>7</v>
      </c>
      <c r="AD494">
        <v>4</v>
      </c>
      <c r="AE494">
        <v>7</v>
      </c>
      <c r="AF494">
        <v>1</v>
      </c>
      <c r="AG494">
        <v>1</v>
      </c>
      <c r="AH494">
        <v>7</v>
      </c>
      <c r="AI494">
        <v>1</v>
      </c>
      <c r="AJ494">
        <v>7</v>
      </c>
      <c r="AK494">
        <v>7</v>
      </c>
      <c r="AL494">
        <v>7</v>
      </c>
      <c r="AM494">
        <v>5</v>
      </c>
      <c r="AN494">
        <v>59</v>
      </c>
      <c r="AO494">
        <v>7</v>
      </c>
      <c r="AP494">
        <v>7</v>
      </c>
      <c r="AQ494">
        <v>7</v>
      </c>
      <c r="AR494">
        <v>7</v>
      </c>
      <c r="AS494">
        <v>1</v>
      </c>
      <c r="AT494">
        <v>7</v>
      </c>
      <c r="AU494">
        <v>1</v>
      </c>
      <c r="AV494">
        <v>7</v>
      </c>
      <c r="AW494">
        <v>7</v>
      </c>
      <c r="AX494">
        <v>3</v>
      </c>
      <c r="AY494" cm="1">
        <f t="array" ref="AY494">_xlfn.IFS(AZ494="Positive",1, AZ494="Negative",1, AZ494="Neutral",0)</f>
        <v>1</v>
      </c>
      <c r="AZ494" t="s">
        <v>199</v>
      </c>
      <c r="BA494">
        <v>15</v>
      </c>
      <c r="BB494">
        <v>3</v>
      </c>
      <c r="BC494" s="3">
        <v>9</v>
      </c>
      <c r="BD494" s="3">
        <v>0</v>
      </c>
      <c r="BE494" s="3">
        <v>1</v>
      </c>
      <c r="BF494" s="3">
        <v>5</v>
      </c>
      <c r="BG494" s="3">
        <v>0</v>
      </c>
      <c r="BH494">
        <v>0</v>
      </c>
      <c r="BI494">
        <v>0</v>
      </c>
      <c r="BJ494">
        <v>2</v>
      </c>
      <c r="BK494">
        <v>1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5</v>
      </c>
      <c r="BT494" t="s">
        <v>464</v>
      </c>
      <c r="BU494" t="s">
        <v>506</v>
      </c>
      <c r="BV494" t="s">
        <v>466</v>
      </c>
    </row>
    <row r="495" spans="1:74" s="1" customFormat="1" x14ac:dyDescent="0.2">
      <c r="A495">
        <v>509</v>
      </c>
      <c r="B495">
        <v>49</v>
      </c>
      <c r="C495" t="s">
        <v>126</v>
      </c>
      <c r="D495"/>
      <c r="E495" t="s">
        <v>73</v>
      </c>
      <c r="F495">
        <v>2</v>
      </c>
      <c r="G495">
        <v>1999</v>
      </c>
      <c r="H495">
        <v>23</v>
      </c>
      <c r="I495" t="s">
        <v>64</v>
      </c>
      <c r="J495">
        <v>1</v>
      </c>
      <c r="K495" t="s">
        <v>674</v>
      </c>
      <c r="L495" t="s">
        <v>677</v>
      </c>
      <c r="M495">
        <v>4</v>
      </c>
      <c r="N495">
        <v>56</v>
      </c>
      <c r="O495" t="s">
        <v>353</v>
      </c>
      <c r="P495" t="s">
        <v>361</v>
      </c>
      <c r="Q495" t="s">
        <v>752</v>
      </c>
      <c r="R495" t="s">
        <v>756</v>
      </c>
      <c r="S495" t="s">
        <v>396</v>
      </c>
      <c r="T495" t="s">
        <v>423</v>
      </c>
      <c r="U495" t="s">
        <v>358</v>
      </c>
      <c r="V495" t="s">
        <v>366</v>
      </c>
      <c r="W495" t="s">
        <v>198</v>
      </c>
      <c r="X495" t="s">
        <v>199</v>
      </c>
      <c r="Y495" t="s">
        <v>274</v>
      </c>
      <c r="Z495">
        <v>7</v>
      </c>
      <c r="AA495">
        <v>5</v>
      </c>
      <c r="AB495">
        <v>7</v>
      </c>
      <c r="AC495">
        <v>6</v>
      </c>
      <c r="AD495">
        <v>3</v>
      </c>
      <c r="AE495">
        <v>6</v>
      </c>
      <c r="AF495">
        <v>3</v>
      </c>
      <c r="AG495">
        <v>6</v>
      </c>
      <c r="AH495">
        <v>5</v>
      </c>
      <c r="AI495">
        <v>2</v>
      </c>
      <c r="AJ495">
        <v>6</v>
      </c>
      <c r="AK495">
        <v>7</v>
      </c>
      <c r="AL495">
        <v>6</v>
      </c>
      <c r="AM495">
        <v>5</v>
      </c>
      <c r="AN495">
        <v>6</v>
      </c>
      <c r="AO495">
        <v>5</v>
      </c>
      <c r="AP495">
        <v>6</v>
      </c>
      <c r="AQ495">
        <v>6</v>
      </c>
      <c r="AR495">
        <v>7</v>
      </c>
      <c r="AS495">
        <v>7</v>
      </c>
      <c r="AT495">
        <v>7</v>
      </c>
      <c r="AU495">
        <v>7</v>
      </c>
      <c r="AV495">
        <v>7</v>
      </c>
      <c r="AW495">
        <v>7</v>
      </c>
      <c r="AX495">
        <v>3</v>
      </c>
      <c r="AY495" cm="1">
        <f t="array" ref="AY495">_xlfn.IFS(AZ495="Positive",1, AZ495="Negative",1, AZ495="Neutral",0)</f>
        <v>1</v>
      </c>
      <c r="AZ495" t="s">
        <v>199</v>
      </c>
      <c r="BA495">
        <v>0</v>
      </c>
      <c r="BB495">
        <v>9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>
        <v>0</v>
      </c>
      <c r="BI495">
        <v>0</v>
      </c>
      <c r="BJ495">
        <v>2</v>
      </c>
      <c r="BK495">
        <v>2</v>
      </c>
      <c r="BL495">
        <v>5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 t="s">
        <v>510</v>
      </c>
      <c r="BT495" t="s">
        <v>489</v>
      </c>
      <c r="BU495" t="s">
        <v>511</v>
      </c>
      <c r="BV495" t="s">
        <v>512</v>
      </c>
    </row>
    <row r="496" spans="1:74" s="1" customFormat="1" hidden="1" x14ac:dyDescent="0.2">
      <c r="A496">
        <v>510</v>
      </c>
      <c r="B496">
        <v>50</v>
      </c>
      <c r="C496" t="s">
        <v>127</v>
      </c>
      <c r="D496"/>
      <c r="E496" t="s">
        <v>76</v>
      </c>
      <c r="F496">
        <v>7</v>
      </c>
      <c r="G496">
        <v>1999</v>
      </c>
      <c r="H496">
        <v>23</v>
      </c>
      <c r="I496" t="s">
        <v>69</v>
      </c>
      <c r="J496">
        <v>2</v>
      </c>
      <c r="K496" t="s">
        <v>678</v>
      </c>
      <c r="L496" t="s">
        <v>659</v>
      </c>
      <c r="M496">
        <v>17</v>
      </c>
      <c r="N496">
        <v>49</v>
      </c>
      <c r="O496" t="s">
        <v>314</v>
      </c>
      <c r="P496" t="s">
        <v>278</v>
      </c>
      <c r="Q496" t="s">
        <v>757</v>
      </c>
      <c r="R496" t="s">
        <v>730</v>
      </c>
      <c r="S496" t="s">
        <v>443</v>
      </c>
      <c r="T496" t="s">
        <v>491</v>
      </c>
      <c r="U496" t="s">
        <v>320</v>
      </c>
      <c r="V496" t="s">
        <v>284</v>
      </c>
      <c r="W496" t="s">
        <v>198</v>
      </c>
      <c r="X496" t="s">
        <v>199</v>
      </c>
      <c r="Y496" t="s">
        <v>274</v>
      </c>
      <c r="Z496">
        <v>6</v>
      </c>
      <c r="AA496">
        <v>6</v>
      </c>
      <c r="AB496">
        <v>5</v>
      </c>
      <c r="AC496">
        <v>5</v>
      </c>
      <c r="AD496">
        <v>3</v>
      </c>
      <c r="AE496">
        <v>2</v>
      </c>
      <c r="AF496">
        <v>7</v>
      </c>
      <c r="AG496">
        <v>4</v>
      </c>
      <c r="AH496">
        <v>4</v>
      </c>
      <c r="AI496">
        <v>1</v>
      </c>
      <c r="AJ496">
        <v>6</v>
      </c>
      <c r="AK496">
        <v>4</v>
      </c>
      <c r="AL496">
        <v>4</v>
      </c>
      <c r="AM496">
        <v>2</v>
      </c>
      <c r="AN496">
        <v>240</v>
      </c>
      <c r="AO496">
        <v>5</v>
      </c>
      <c r="AP496">
        <v>5</v>
      </c>
      <c r="AQ496">
        <v>6</v>
      </c>
      <c r="AR496">
        <v>4</v>
      </c>
      <c r="AS496">
        <v>5</v>
      </c>
      <c r="AT496">
        <v>5</v>
      </c>
      <c r="AU496">
        <v>4</v>
      </c>
      <c r="AV496">
        <v>5</v>
      </c>
      <c r="AW496">
        <v>5</v>
      </c>
      <c r="AX496">
        <v>2</v>
      </c>
      <c r="AY496" cm="1">
        <f t="array" ref="AY496">_xlfn.IFS(AZ496="Positive",1, AZ496="Negative",1, AZ496="Neutral",0)</f>
        <v>1</v>
      </c>
      <c r="AZ496" t="s">
        <v>199</v>
      </c>
      <c r="BA496">
        <v>10</v>
      </c>
      <c r="BB496">
        <v>2</v>
      </c>
      <c r="BC496" s="3">
        <v>6</v>
      </c>
      <c r="BD496" s="3">
        <v>0</v>
      </c>
      <c r="BE496" s="3">
        <v>1</v>
      </c>
      <c r="BF496" s="3">
        <v>2</v>
      </c>
      <c r="BG496" s="3">
        <v>1</v>
      </c>
      <c r="BH496">
        <v>0</v>
      </c>
      <c r="BI496">
        <v>0</v>
      </c>
      <c r="BJ496">
        <v>2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 t="s">
        <v>352</v>
      </c>
      <c r="BT496" t="s">
        <v>388</v>
      </c>
      <c r="BU496" t="s">
        <v>355</v>
      </c>
      <c r="BV496" t="s">
        <v>390</v>
      </c>
    </row>
    <row r="497" spans="1:74" s="1" customFormat="1" hidden="1" x14ac:dyDescent="0.2">
      <c r="A497">
        <v>511</v>
      </c>
      <c r="B497">
        <v>51</v>
      </c>
      <c r="C497" t="s">
        <v>128</v>
      </c>
      <c r="D497"/>
      <c r="E497" t="s">
        <v>63</v>
      </c>
      <c r="F497">
        <v>4</v>
      </c>
      <c r="G497">
        <v>2001</v>
      </c>
      <c r="H497">
        <v>21</v>
      </c>
      <c r="I497" t="s">
        <v>64</v>
      </c>
      <c r="J497">
        <v>1</v>
      </c>
      <c r="K497" t="s">
        <v>642</v>
      </c>
      <c r="L497" t="s">
        <v>679</v>
      </c>
      <c r="M497">
        <v>11</v>
      </c>
      <c r="N497">
        <v>62</v>
      </c>
      <c r="O497" t="s">
        <v>513</v>
      </c>
      <c r="P497" t="s">
        <v>405</v>
      </c>
      <c r="Q497" t="s">
        <v>712</v>
      </c>
      <c r="R497" t="s">
        <v>758</v>
      </c>
      <c r="S497" t="s">
        <v>514</v>
      </c>
      <c r="T497" t="s">
        <v>319</v>
      </c>
      <c r="U497" t="s">
        <v>515</v>
      </c>
      <c r="V497" t="s">
        <v>407</v>
      </c>
      <c r="W497" t="s">
        <v>198</v>
      </c>
      <c r="X497" t="s">
        <v>199</v>
      </c>
      <c r="Y497" t="s">
        <v>274</v>
      </c>
      <c r="Z497">
        <v>5</v>
      </c>
      <c r="AA497">
        <v>5</v>
      </c>
      <c r="AB497">
        <v>6</v>
      </c>
      <c r="AC497">
        <v>4</v>
      </c>
      <c r="AD497">
        <v>1</v>
      </c>
      <c r="AE497">
        <v>5</v>
      </c>
      <c r="AF497">
        <v>1</v>
      </c>
      <c r="AG497">
        <v>2</v>
      </c>
      <c r="AH497">
        <v>3</v>
      </c>
      <c r="AI497">
        <v>1</v>
      </c>
      <c r="AJ497">
        <v>6</v>
      </c>
      <c r="AK497">
        <v>5</v>
      </c>
      <c r="AL497">
        <v>5</v>
      </c>
      <c r="AM497">
        <v>1</v>
      </c>
      <c r="AN497">
        <v>8</v>
      </c>
      <c r="AO497">
        <v>1</v>
      </c>
      <c r="AP497">
        <v>7</v>
      </c>
      <c r="AQ497">
        <v>3</v>
      </c>
      <c r="AR497">
        <v>4</v>
      </c>
      <c r="AS497">
        <v>4</v>
      </c>
      <c r="AT497">
        <v>4</v>
      </c>
      <c r="AU497">
        <v>6</v>
      </c>
      <c r="AV497">
        <v>6</v>
      </c>
      <c r="AW497">
        <v>6</v>
      </c>
      <c r="AX497">
        <v>3</v>
      </c>
      <c r="AY497" cm="1">
        <f t="array" ref="AY497">_xlfn.IFS(AZ497="Positive",1, AZ497="Negative",1, AZ497="Neutral",0)</f>
        <v>1</v>
      </c>
      <c r="AZ497" t="s">
        <v>199</v>
      </c>
      <c r="BA497">
        <v>13</v>
      </c>
      <c r="BB497">
        <v>0</v>
      </c>
      <c r="BC497" s="3">
        <v>6</v>
      </c>
      <c r="BD497" s="3">
        <v>0</v>
      </c>
      <c r="BE497" s="3">
        <v>4</v>
      </c>
      <c r="BF497" s="3">
        <v>2</v>
      </c>
      <c r="BG497" s="3">
        <v>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 t="s">
        <v>463</v>
      </c>
      <c r="BT497" t="s">
        <v>275</v>
      </c>
      <c r="BU497" t="s">
        <v>465</v>
      </c>
      <c r="BV497" t="s">
        <v>334</v>
      </c>
    </row>
    <row r="498" spans="1:74" s="1" customFormat="1" x14ac:dyDescent="0.2">
      <c r="A498">
        <v>512</v>
      </c>
      <c r="B498">
        <v>52</v>
      </c>
      <c r="C498" t="s">
        <v>129</v>
      </c>
      <c r="D498"/>
      <c r="E498" t="s">
        <v>76</v>
      </c>
      <c r="F498">
        <v>28</v>
      </c>
      <c r="G498">
        <v>1997</v>
      </c>
      <c r="H498">
        <v>25</v>
      </c>
      <c r="I498" t="s">
        <v>69</v>
      </c>
      <c r="J498">
        <v>2</v>
      </c>
      <c r="K498" t="s">
        <v>656</v>
      </c>
      <c r="L498" t="s">
        <v>666</v>
      </c>
      <c r="M498">
        <v>6</v>
      </c>
      <c r="N498">
        <v>67</v>
      </c>
      <c r="O498" t="s">
        <v>338</v>
      </c>
      <c r="P498" t="s">
        <v>517</v>
      </c>
      <c r="Q498" t="s">
        <v>751</v>
      </c>
      <c r="R498" t="s">
        <v>740</v>
      </c>
      <c r="S498" t="s">
        <v>403</v>
      </c>
      <c r="T498" t="s">
        <v>431</v>
      </c>
      <c r="U498" t="s">
        <v>342</v>
      </c>
      <c r="V498" t="s">
        <v>519</v>
      </c>
      <c r="W498" t="s">
        <v>198</v>
      </c>
      <c r="X498" t="s">
        <v>199</v>
      </c>
      <c r="Y498" t="s">
        <v>274</v>
      </c>
      <c r="Z498">
        <v>5</v>
      </c>
      <c r="AA498">
        <v>6</v>
      </c>
      <c r="AB498">
        <v>6</v>
      </c>
      <c r="AC498">
        <v>2</v>
      </c>
      <c r="AD498">
        <v>1</v>
      </c>
      <c r="AE498">
        <v>1</v>
      </c>
      <c r="AF498">
        <v>1</v>
      </c>
      <c r="AG498">
        <v>3</v>
      </c>
      <c r="AH498">
        <v>3</v>
      </c>
      <c r="AI498">
        <v>1</v>
      </c>
      <c r="AJ498">
        <v>7</v>
      </c>
      <c r="AK498">
        <v>4</v>
      </c>
      <c r="AL498">
        <v>4</v>
      </c>
      <c r="AM498">
        <v>1</v>
      </c>
      <c r="AN498">
        <v>4</v>
      </c>
      <c r="AO498">
        <v>2</v>
      </c>
      <c r="AP498">
        <v>7</v>
      </c>
      <c r="AQ498">
        <v>5</v>
      </c>
      <c r="AR498">
        <v>2</v>
      </c>
      <c r="AS498">
        <v>3</v>
      </c>
      <c r="AT498">
        <v>2</v>
      </c>
      <c r="AU498">
        <v>3</v>
      </c>
      <c r="AV498">
        <v>5</v>
      </c>
      <c r="AW498">
        <v>4</v>
      </c>
      <c r="AX498">
        <v>3</v>
      </c>
      <c r="AY498" cm="1">
        <f t="array" ref="AY498">_xlfn.IFS(AZ498="Positive",1, AZ498="Negative",1, AZ498="Neutral",0)</f>
        <v>1</v>
      </c>
      <c r="AZ498" t="s">
        <v>199</v>
      </c>
      <c r="BA498">
        <v>0</v>
      </c>
      <c r="BB498">
        <v>3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>
        <v>0</v>
      </c>
      <c r="BI498">
        <v>0</v>
      </c>
      <c r="BJ498">
        <v>1</v>
      </c>
      <c r="BK498">
        <v>0</v>
      </c>
      <c r="BL498">
        <v>2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 t="s">
        <v>516</v>
      </c>
      <c r="BT498" t="s">
        <v>433</v>
      </c>
      <c r="BU498" t="s">
        <v>518</v>
      </c>
      <c r="BV498" t="s">
        <v>435</v>
      </c>
    </row>
    <row r="499" spans="1:74" s="1" customFormat="1" hidden="1" x14ac:dyDescent="0.2">
      <c r="A499">
        <v>513</v>
      </c>
      <c r="B499">
        <v>53</v>
      </c>
      <c r="C499" t="s">
        <v>130</v>
      </c>
      <c r="D499"/>
      <c r="E499" t="s">
        <v>97</v>
      </c>
      <c r="F499">
        <v>21</v>
      </c>
      <c r="G499">
        <v>1998</v>
      </c>
      <c r="H499">
        <v>24</v>
      </c>
      <c r="I499" t="s">
        <v>64</v>
      </c>
      <c r="J499">
        <v>1</v>
      </c>
      <c r="K499" t="s">
        <v>416</v>
      </c>
      <c r="L499" t="s">
        <v>680</v>
      </c>
      <c r="M499">
        <v>6</v>
      </c>
      <c r="N499">
        <v>53</v>
      </c>
      <c r="O499" t="s">
        <v>520</v>
      </c>
      <c r="P499">
        <v>5</v>
      </c>
      <c r="Q499" t="s">
        <v>723</v>
      </c>
      <c r="R499" t="s">
        <v>759</v>
      </c>
      <c r="S499" t="s">
        <v>403</v>
      </c>
      <c r="T499" t="s">
        <v>522</v>
      </c>
      <c r="U499" t="s">
        <v>523</v>
      </c>
      <c r="V499" t="s">
        <v>524</v>
      </c>
      <c r="W499" t="s">
        <v>198</v>
      </c>
      <c r="X499" t="s">
        <v>199</v>
      </c>
      <c r="Y499" t="s">
        <v>274</v>
      </c>
      <c r="Z499">
        <v>5</v>
      </c>
      <c r="AA499">
        <v>5</v>
      </c>
      <c r="AB499">
        <v>7</v>
      </c>
      <c r="AC499">
        <v>7</v>
      </c>
      <c r="AD499">
        <v>1</v>
      </c>
      <c r="AE499">
        <v>1</v>
      </c>
      <c r="AF499">
        <v>1</v>
      </c>
      <c r="AG499">
        <v>1</v>
      </c>
      <c r="AH499">
        <v>3</v>
      </c>
      <c r="AI499">
        <v>1</v>
      </c>
      <c r="AJ499">
        <v>7</v>
      </c>
      <c r="AK499">
        <v>7</v>
      </c>
      <c r="AL499">
        <v>4</v>
      </c>
      <c r="AM499">
        <v>7</v>
      </c>
      <c r="AN499">
        <v>60</v>
      </c>
      <c r="AO499">
        <v>1</v>
      </c>
      <c r="AP499">
        <v>7</v>
      </c>
      <c r="AQ499">
        <v>7</v>
      </c>
      <c r="AR499">
        <v>1</v>
      </c>
      <c r="AS499">
        <v>6</v>
      </c>
      <c r="AT499">
        <v>1</v>
      </c>
      <c r="AU499">
        <v>6</v>
      </c>
      <c r="AV499">
        <v>1</v>
      </c>
      <c r="AW499">
        <v>5</v>
      </c>
      <c r="AX499">
        <v>3</v>
      </c>
      <c r="AY499" cm="1">
        <f t="array" ref="AY499">_xlfn.IFS(AZ499="Positive",1, AZ499="Negative",1, AZ499="Neutral",0)</f>
        <v>1</v>
      </c>
      <c r="AZ499" t="s">
        <v>199</v>
      </c>
      <c r="BA499">
        <v>25</v>
      </c>
      <c r="BB499">
        <v>1</v>
      </c>
      <c r="BC499" s="3">
        <v>11</v>
      </c>
      <c r="BD499" s="3">
        <v>1</v>
      </c>
      <c r="BE499" s="3">
        <v>3</v>
      </c>
      <c r="BF499" s="3">
        <v>6</v>
      </c>
      <c r="BG499" s="3">
        <v>4</v>
      </c>
      <c r="BH499">
        <v>0</v>
      </c>
      <c r="BI499">
        <v>0</v>
      </c>
      <c r="BJ499">
        <v>1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4</v>
      </c>
      <c r="BT499">
        <v>1</v>
      </c>
      <c r="BU499" t="s">
        <v>370</v>
      </c>
      <c r="BV499" t="s">
        <v>521</v>
      </c>
    </row>
    <row r="500" spans="1:74" s="1" customFormat="1" hidden="1" x14ac:dyDescent="0.2">
      <c r="A500">
        <v>514</v>
      </c>
      <c r="B500">
        <v>54</v>
      </c>
      <c r="C500" t="s">
        <v>131</v>
      </c>
      <c r="D500"/>
      <c r="E500" t="s">
        <v>93</v>
      </c>
      <c r="F500">
        <v>22</v>
      </c>
      <c r="G500">
        <v>1998</v>
      </c>
      <c r="H500">
        <v>24</v>
      </c>
      <c r="I500" t="s">
        <v>64</v>
      </c>
      <c r="J500">
        <v>1</v>
      </c>
      <c r="K500" t="s">
        <v>456</v>
      </c>
      <c r="L500" t="s">
        <v>681</v>
      </c>
      <c r="M500">
        <v>9</v>
      </c>
      <c r="N500">
        <v>53</v>
      </c>
      <c r="O500" t="s">
        <v>525</v>
      </c>
      <c r="P500" t="s">
        <v>306</v>
      </c>
      <c r="Q500" t="s">
        <v>736</v>
      </c>
      <c r="R500" t="s">
        <v>760</v>
      </c>
      <c r="S500" t="s">
        <v>349</v>
      </c>
      <c r="T500" t="s">
        <v>522</v>
      </c>
      <c r="U500" t="s">
        <v>527</v>
      </c>
      <c r="V500" t="s">
        <v>528</v>
      </c>
      <c r="W500" t="s">
        <v>198</v>
      </c>
      <c r="X500" t="s">
        <v>199</v>
      </c>
      <c r="Y500" t="s">
        <v>274</v>
      </c>
      <c r="Z500">
        <v>7</v>
      </c>
      <c r="AA500">
        <v>7</v>
      </c>
      <c r="AB500">
        <v>7</v>
      </c>
      <c r="AC500">
        <v>7</v>
      </c>
      <c r="AD500">
        <v>1</v>
      </c>
      <c r="AE500">
        <v>6</v>
      </c>
      <c r="AF500">
        <v>4</v>
      </c>
      <c r="AG500">
        <v>2</v>
      </c>
      <c r="AH500">
        <v>7</v>
      </c>
      <c r="AI500">
        <v>1</v>
      </c>
      <c r="AJ500">
        <v>7</v>
      </c>
      <c r="AK500">
        <v>7</v>
      </c>
      <c r="AL500">
        <v>7</v>
      </c>
      <c r="AM500">
        <v>6</v>
      </c>
      <c r="AN500">
        <v>85</v>
      </c>
      <c r="AO500">
        <v>7</v>
      </c>
      <c r="AP500">
        <v>7</v>
      </c>
      <c r="AQ500">
        <v>7</v>
      </c>
      <c r="AR500">
        <v>7</v>
      </c>
      <c r="AS500">
        <v>7</v>
      </c>
      <c r="AT500">
        <v>7</v>
      </c>
      <c r="AU500">
        <v>4</v>
      </c>
      <c r="AV500">
        <v>7</v>
      </c>
      <c r="AW500">
        <v>7</v>
      </c>
      <c r="AX500">
        <v>3</v>
      </c>
      <c r="AY500" cm="1">
        <f t="array" ref="AY500">_xlfn.IFS(AZ500="Positive",1, AZ500="Negative",1, AZ500="Neutral",0)</f>
        <v>1</v>
      </c>
      <c r="AZ500" t="s">
        <v>199</v>
      </c>
      <c r="BA500">
        <v>5</v>
      </c>
      <c r="BB500">
        <v>3</v>
      </c>
      <c r="BC500" s="3">
        <v>2</v>
      </c>
      <c r="BD500" s="3">
        <v>0</v>
      </c>
      <c r="BE500" s="3">
        <v>1</v>
      </c>
      <c r="BF500" s="3">
        <v>0</v>
      </c>
      <c r="BG500" s="3">
        <v>2</v>
      </c>
      <c r="BH500">
        <v>0</v>
      </c>
      <c r="BI500">
        <v>0</v>
      </c>
      <c r="BJ500">
        <v>2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1</v>
      </c>
      <c r="BR500">
        <v>0</v>
      </c>
      <c r="BS500" t="s">
        <v>375</v>
      </c>
      <c r="BT500" t="s">
        <v>352</v>
      </c>
      <c r="BU500" t="s">
        <v>377</v>
      </c>
      <c r="BV500" t="s">
        <v>526</v>
      </c>
    </row>
    <row r="501" spans="1:74" s="1" customFormat="1" hidden="1" x14ac:dyDescent="0.2">
      <c r="A501">
        <v>515</v>
      </c>
      <c r="B501">
        <v>55</v>
      </c>
      <c r="C501" t="s">
        <v>132</v>
      </c>
      <c r="D501"/>
      <c r="E501" t="s">
        <v>80</v>
      </c>
      <c r="F501">
        <v>5</v>
      </c>
      <c r="G501">
        <v>1997</v>
      </c>
      <c r="H501">
        <v>25</v>
      </c>
      <c r="I501" t="s">
        <v>64</v>
      </c>
      <c r="J501">
        <v>1</v>
      </c>
      <c r="K501" t="s">
        <v>658</v>
      </c>
      <c r="L501" t="s">
        <v>632</v>
      </c>
      <c r="M501">
        <v>10</v>
      </c>
      <c r="N501">
        <v>62</v>
      </c>
      <c r="O501" t="s">
        <v>408</v>
      </c>
      <c r="P501" t="s">
        <v>354</v>
      </c>
      <c r="Q501" t="s">
        <v>729</v>
      </c>
      <c r="R501" t="s">
        <v>732</v>
      </c>
      <c r="S501" t="s">
        <v>378</v>
      </c>
      <c r="T501" t="s">
        <v>319</v>
      </c>
      <c r="U501" t="s">
        <v>412</v>
      </c>
      <c r="V501" t="s">
        <v>359</v>
      </c>
      <c r="W501" t="s">
        <v>198</v>
      </c>
      <c r="X501" t="s">
        <v>199</v>
      </c>
      <c r="Y501" t="s">
        <v>274</v>
      </c>
      <c r="Z501">
        <v>6</v>
      </c>
      <c r="AA501">
        <v>4</v>
      </c>
      <c r="AB501">
        <v>6</v>
      </c>
      <c r="AC501">
        <v>6</v>
      </c>
      <c r="AD501">
        <v>2</v>
      </c>
      <c r="AE501">
        <v>2</v>
      </c>
      <c r="AF501">
        <v>2</v>
      </c>
      <c r="AG501">
        <v>5</v>
      </c>
      <c r="AH501">
        <v>2</v>
      </c>
      <c r="AI501">
        <v>1</v>
      </c>
      <c r="AJ501">
        <v>6</v>
      </c>
      <c r="AK501">
        <v>5</v>
      </c>
      <c r="AL501">
        <v>6</v>
      </c>
      <c r="AM501">
        <v>5</v>
      </c>
      <c r="AN501">
        <v>45</v>
      </c>
      <c r="AO501">
        <v>5</v>
      </c>
      <c r="AP501">
        <v>7</v>
      </c>
      <c r="AQ501">
        <v>4</v>
      </c>
      <c r="AR501">
        <v>5</v>
      </c>
      <c r="AS501">
        <v>5</v>
      </c>
      <c r="AT501">
        <v>6</v>
      </c>
      <c r="AU501">
        <v>5</v>
      </c>
      <c r="AV501">
        <v>6</v>
      </c>
      <c r="AW501">
        <v>6</v>
      </c>
      <c r="AX501">
        <v>3</v>
      </c>
      <c r="AY501" cm="1">
        <f t="array" ref="AY501">_xlfn.IFS(AZ501="Positive",1, AZ501="Negative",1, AZ501="Neutral",0)</f>
        <v>1</v>
      </c>
      <c r="AZ501" t="s">
        <v>199</v>
      </c>
      <c r="BA501">
        <v>9</v>
      </c>
      <c r="BB501">
        <v>0</v>
      </c>
      <c r="BC501" s="3">
        <v>4</v>
      </c>
      <c r="BD501" s="3">
        <v>0</v>
      </c>
      <c r="BE501" s="3">
        <v>1</v>
      </c>
      <c r="BF501" s="3">
        <v>4</v>
      </c>
      <c r="BG501" s="3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 t="s">
        <v>382</v>
      </c>
      <c r="BT501">
        <v>3</v>
      </c>
      <c r="BU501" t="s">
        <v>385</v>
      </c>
      <c r="BV501" t="s">
        <v>309</v>
      </c>
    </row>
    <row r="502" spans="1:74" s="1" customFormat="1" hidden="1" x14ac:dyDescent="0.2">
      <c r="A502">
        <v>516</v>
      </c>
      <c r="B502">
        <v>56</v>
      </c>
      <c r="C502" t="s">
        <v>133</v>
      </c>
      <c r="D502"/>
      <c r="E502" t="s">
        <v>71</v>
      </c>
      <c r="F502">
        <v>16</v>
      </c>
      <c r="G502">
        <v>1999</v>
      </c>
      <c r="H502">
        <v>23</v>
      </c>
      <c r="I502" t="s">
        <v>69</v>
      </c>
      <c r="J502">
        <v>2</v>
      </c>
      <c r="K502" t="s">
        <v>661</v>
      </c>
      <c r="L502" t="s">
        <v>682</v>
      </c>
      <c r="M502">
        <v>10</v>
      </c>
      <c r="N502">
        <v>63</v>
      </c>
      <c r="O502" t="s">
        <v>529</v>
      </c>
      <c r="P502" t="s">
        <v>438</v>
      </c>
      <c r="Q502" t="s">
        <v>734</v>
      </c>
      <c r="R502" t="s">
        <v>761</v>
      </c>
      <c r="S502" t="s">
        <v>378</v>
      </c>
      <c r="T502" t="s">
        <v>477</v>
      </c>
      <c r="U502" t="s">
        <v>531</v>
      </c>
      <c r="V502" t="s">
        <v>441</v>
      </c>
      <c r="W502" t="s">
        <v>198</v>
      </c>
      <c r="X502" t="s">
        <v>199</v>
      </c>
      <c r="Y502" t="s">
        <v>274</v>
      </c>
      <c r="Z502">
        <v>7</v>
      </c>
      <c r="AA502">
        <v>7</v>
      </c>
      <c r="AB502">
        <v>7</v>
      </c>
      <c r="AC502">
        <v>2</v>
      </c>
      <c r="AD502">
        <v>1</v>
      </c>
      <c r="AE502">
        <v>1</v>
      </c>
      <c r="AF502">
        <v>4</v>
      </c>
      <c r="AG502">
        <v>1</v>
      </c>
      <c r="AH502">
        <v>7</v>
      </c>
      <c r="AI502">
        <v>1</v>
      </c>
      <c r="AJ502">
        <v>7</v>
      </c>
      <c r="AK502">
        <v>7</v>
      </c>
      <c r="AL502">
        <v>7</v>
      </c>
      <c r="AM502">
        <v>6</v>
      </c>
      <c r="AN502">
        <v>36</v>
      </c>
      <c r="AO502">
        <v>7</v>
      </c>
      <c r="AP502">
        <v>7</v>
      </c>
      <c r="AQ502">
        <v>7</v>
      </c>
      <c r="AR502">
        <v>5</v>
      </c>
      <c r="AS502">
        <v>7</v>
      </c>
      <c r="AT502">
        <v>6</v>
      </c>
      <c r="AU502">
        <v>7</v>
      </c>
      <c r="AV502">
        <v>7</v>
      </c>
      <c r="AW502">
        <v>7</v>
      </c>
      <c r="AX502">
        <v>3</v>
      </c>
      <c r="AY502" cm="1">
        <f t="array" ref="AY502">_xlfn.IFS(AZ502="Positive",1, AZ502="Negative",1, AZ502="Neutral",0)</f>
        <v>1</v>
      </c>
      <c r="AZ502" t="s">
        <v>199</v>
      </c>
      <c r="BA502">
        <v>8</v>
      </c>
      <c r="BB502">
        <v>8</v>
      </c>
      <c r="BC502" s="3">
        <v>4</v>
      </c>
      <c r="BD502" s="3">
        <v>0</v>
      </c>
      <c r="BE502" s="3">
        <v>1</v>
      </c>
      <c r="BF502" s="3">
        <v>1</v>
      </c>
      <c r="BG502" s="3">
        <v>2</v>
      </c>
      <c r="BH502">
        <v>1</v>
      </c>
      <c r="BI502">
        <v>0</v>
      </c>
      <c r="BJ502">
        <v>1</v>
      </c>
      <c r="BK502">
        <v>1</v>
      </c>
      <c r="BL502">
        <v>0</v>
      </c>
      <c r="BM502">
        <v>2</v>
      </c>
      <c r="BN502">
        <v>0</v>
      </c>
      <c r="BO502">
        <v>0</v>
      </c>
      <c r="BP502">
        <v>0</v>
      </c>
      <c r="BQ502">
        <v>1</v>
      </c>
      <c r="BR502">
        <v>2</v>
      </c>
      <c r="BS502" t="s">
        <v>285</v>
      </c>
      <c r="BT502" t="s">
        <v>414</v>
      </c>
      <c r="BU502" t="s">
        <v>289</v>
      </c>
      <c r="BV502" t="s">
        <v>530</v>
      </c>
    </row>
    <row r="503" spans="1:74" s="1" customFormat="1" x14ac:dyDescent="0.2">
      <c r="A503">
        <v>517</v>
      </c>
      <c r="B503">
        <v>57</v>
      </c>
      <c r="C503" t="s">
        <v>134</v>
      </c>
      <c r="D503"/>
      <c r="E503" t="s">
        <v>71</v>
      </c>
      <c r="F503">
        <v>2</v>
      </c>
      <c r="G503">
        <v>2000</v>
      </c>
      <c r="H503">
        <v>22</v>
      </c>
      <c r="I503" t="s">
        <v>64</v>
      </c>
      <c r="J503">
        <v>1</v>
      </c>
      <c r="K503" t="s">
        <v>683</v>
      </c>
      <c r="L503" t="s">
        <v>648</v>
      </c>
      <c r="M503">
        <v>7</v>
      </c>
      <c r="N503">
        <v>68</v>
      </c>
      <c r="O503" t="s">
        <v>532</v>
      </c>
      <c r="P503" t="s">
        <v>325</v>
      </c>
      <c r="Q503" t="s">
        <v>762</v>
      </c>
      <c r="R503" t="s">
        <v>718</v>
      </c>
      <c r="S503" t="s">
        <v>430</v>
      </c>
      <c r="T503" t="s">
        <v>487</v>
      </c>
      <c r="U503" t="s">
        <v>533</v>
      </c>
      <c r="V503" t="s">
        <v>331</v>
      </c>
      <c r="W503" t="s">
        <v>198</v>
      </c>
      <c r="X503" t="s">
        <v>199</v>
      </c>
      <c r="Y503" t="s">
        <v>274</v>
      </c>
      <c r="Z503">
        <v>7</v>
      </c>
      <c r="AA503">
        <v>2</v>
      </c>
      <c r="AB503">
        <v>1</v>
      </c>
      <c r="AC503">
        <v>1</v>
      </c>
      <c r="AD503">
        <v>1</v>
      </c>
      <c r="AE503">
        <v>1</v>
      </c>
      <c r="AF503">
        <v>7</v>
      </c>
      <c r="AG503">
        <v>3</v>
      </c>
      <c r="AH503">
        <v>3</v>
      </c>
      <c r="AI503">
        <v>1</v>
      </c>
      <c r="AJ503">
        <v>5</v>
      </c>
      <c r="AK503">
        <v>4</v>
      </c>
      <c r="AL503">
        <v>2</v>
      </c>
      <c r="AM503">
        <v>1</v>
      </c>
      <c r="AN503">
        <v>3</v>
      </c>
      <c r="AO503">
        <v>7</v>
      </c>
      <c r="AP503">
        <v>6</v>
      </c>
      <c r="AQ503">
        <v>2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3</v>
      </c>
      <c r="AY503" cm="1">
        <f t="array" ref="AY503">_xlfn.IFS(AZ503="Positive",1, AZ503="Negative",1, AZ503="Neutral",0)</f>
        <v>1</v>
      </c>
      <c r="AZ503" t="s">
        <v>199</v>
      </c>
      <c r="BA503">
        <v>0</v>
      </c>
      <c r="BB503">
        <v>6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>
        <v>0</v>
      </c>
      <c r="BI503">
        <v>0</v>
      </c>
      <c r="BJ503">
        <v>6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 t="s">
        <v>323</v>
      </c>
      <c r="BT503" t="s">
        <v>323</v>
      </c>
      <c r="BU503" t="s">
        <v>479</v>
      </c>
      <c r="BV503" t="s">
        <v>327</v>
      </c>
    </row>
    <row r="504" spans="1:74" s="1" customFormat="1" hidden="1" x14ac:dyDescent="0.2">
      <c r="A504">
        <v>518</v>
      </c>
      <c r="B504">
        <v>58</v>
      </c>
      <c r="C504" t="s">
        <v>135</v>
      </c>
      <c r="D504"/>
      <c r="E504" t="s">
        <v>97</v>
      </c>
      <c r="F504">
        <v>27</v>
      </c>
      <c r="G504">
        <v>2001</v>
      </c>
      <c r="H504">
        <v>21</v>
      </c>
      <c r="I504" t="s">
        <v>64</v>
      </c>
      <c r="J504">
        <v>1</v>
      </c>
      <c r="K504" t="s">
        <v>679</v>
      </c>
      <c r="L504" t="s">
        <v>668</v>
      </c>
      <c r="M504">
        <v>7</v>
      </c>
      <c r="N504">
        <v>56</v>
      </c>
      <c r="O504" t="s">
        <v>408</v>
      </c>
      <c r="P504" t="s">
        <v>277</v>
      </c>
      <c r="Q504" t="s">
        <v>763</v>
      </c>
      <c r="R504" t="s">
        <v>742</v>
      </c>
      <c r="S504" t="s">
        <v>430</v>
      </c>
      <c r="T504" t="s">
        <v>423</v>
      </c>
      <c r="U504" t="s">
        <v>412</v>
      </c>
      <c r="V504" t="s">
        <v>535</v>
      </c>
      <c r="W504" t="s">
        <v>198</v>
      </c>
      <c r="X504" t="s">
        <v>199</v>
      </c>
      <c r="Y504" t="s">
        <v>274</v>
      </c>
      <c r="Z504">
        <v>7</v>
      </c>
      <c r="AA504">
        <v>6</v>
      </c>
      <c r="AB504">
        <v>7</v>
      </c>
      <c r="AC504">
        <v>1</v>
      </c>
      <c r="AD504">
        <v>7</v>
      </c>
      <c r="AE504">
        <v>6</v>
      </c>
      <c r="AF504">
        <v>1</v>
      </c>
      <c r="AG504">
        <v>2</v>
      </c>
      <c r="AH504">
        <v>6</v>
      </c>
      <c r="AI504">
        <v>3</v>
      </c>
      <c r="AJ504">
        <v>7</v>
      </c>
      <c r="AK504">
        <v>6</v>
      </c>
      <c r="AL504">
        <v>7</v>
      </c>
      <c r="AM504">
        <v>6</v>
      </c>
      <c r="AN504">
        <v>240</v>
      </c>
      <c r="AO504">
        <v>5</v>
      </c>
      <c r="AP504">
        <v>7</v>
      </c>
      <c r="AQ504">
        <v>7</v>
      </c>
      <c r="AR504">
        <v>6</v>
      </c>
      <c r="AS504">
        <v>7</v>
      </c>
      <c r="AT504">
        <v>7</v>
      </c>
      <c r="AU504">
        <v>7</v>
      </c>
      <c r="AV504">
        <v>7</v>
      </c>
      <c r="AW504">
        <v>7</v>
      </c>
      <c r="AX504">
        <v>3</v>
      </c>
      <c r="AY504" cm="1">
        <f t="array" ref="AY504">_xlfn.IFS(AZ504="Positive",1, AZ504="Negative",1, AZ504="Neutral",0)</f>
        <v>1</v>
      </c>
      <c r="AZ504" t="s">
        <v>199</v>
      </c>
      <c r="BA504">
        <v>17</v>
      </c>
      <c r="BB504">
        <v>3</v>
      </c>
      <c r="BC504" s="3">
        <v>11</v>
      </c>
      <c r="BD504" s="3">
        <v>1</v>
      </c>
      <c r="BE504" s="3">
        <v>2</v>
      </c>
      <c r="BF504" s="3">
        <v>2</v>
      </c>
      <c r="BG504" s="3">
        <v>1</v>
      </c>
      <c r="BH504">
        <v>0</v>
      </c>
      <c r="BI504">
        <v>1</v>
      </c>
      <c r="BJ504">
        <v>2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 t="s">
        <v>475</v>
      </c>
      <c r="BT504" t="s">
        <v>323</v>
      </c>
      <c r="BU504" t="s">
        <v>534</v>
      </c>
      <c r="BV504" t="s">
        <v>327</v>
      </c>
    </row>
    <row r="505" spans="1:74" s="1" customFormat="1" x14ac:dyDescent="0.2">
      <c r="A505">
        <v>519</v>
      </c>
      <c r="B505">
        <v>59</v>
      </c>
      <c r="C505" t="s">
        <v>136</v>
      </c>
      <c r="D505"/>
      <c r="E505" t="s">
        <v>76</v>
      </c>
      <c r="F505">
        <v>1</v>
      </c>
      <c r="G505">
        <v>2000</v>
      </c>
      <c r="H505">
        <v>22</v>
      </c>
      <c r="I505" t="s">
        <v>64</v>
      </c>
      <c r="J505">
        <v>1</v>
      </c>
      <c r="K505" t="s">
        <v>639</v>
      </c>
      <c r="L505" t="s">
        <v>666</v>
      </c>
      <c r="M505">
        <v>7</v>
      </c>
      <c r="N505">
        <v>50</v>
      </c>
      <c r="O505" t="s">
        <v>315</v>
      </c>
      <c r="P505" t="s">
        <v>460</v>
      </c>
      <c r="Q505" t="s">
        <v>708</v>
      </c>
      <c r="R505" t="s">
        <v>740</v>
      </c>
      <c r="S505" t="s">
        <v>430</v>
      </c>
      <c r="T505" t="s">
        <v>538</v>
      </c>
      <c r="U505" t="s">
        <v>474</v>
      </c>
      <c r="V505" t="s">
        <v>462</v>
      </c>
      <c r="W505" t="s">
        <v>198</v>
      </c>
      <c r="X505" t="s">
        <v>199</v>
      </c>
      <c r="Y505" t="s">
        <v>274</v>
      </c>
      <c r="Z505">
        <v>4</v>
      </c>
      <c r="AA505">
        <v>4</v>
      </c>
      <c r="AB505">
        <v>5</v>
      </c>
      <c r="AC505">
        <v>2</v>
      </c>
      <c r="AD505">
        <v>2</v>
      </c>
      <c r="AE505">
        <v>4</v>
      </c>
      <c r="AF505">
        <v>3</v>
      </c>
      <c r="AG505">
        <v>5</v>
      </c>
      <c r="AH505">
        <v>7</v>
      </c>
      <c r="AI505">
        <v>1</v>
      </c>
      <c r="AJ505">
        <v>5</v>
      </c>
      <c r="AK505">
        <v>4</v>
      </c>
      <c r="AL505">
        <v>2</v>
      </c>
      <c r="AM505">
        <v>2</v>
      </c>
      <c r="AN505">
        <v>144</v>
      </c>
      <c r="AO505">
        <v>4</v>
      </c>
      <c r="AP505">
        <v>4</v>
      </c>
      <c r="AQ505">
        <v>4</v>
      </c>
      <c r="AR505">
        <v>4</v>
      </c>
      <c r="AS505">
        <v>4</v>
      </c>
      <c r="AT505">
        <v>4</v>
      </c>
      <c r="AU505">
        <v>4</v>
      </c>
      <c r="AV505">
        <v>4</v>
      </c>
      <c r="AW505">
        <v>5</v>
      </c>
      <c r="AX505">
        <v>2</v>
      </c>
      <c r="AY505" cm="1">
        <f t="array" ref="AY505">_xlfn.IFS(AZ505="Positive",1, AZ505="Negative",1, AZ505="Neutral",0)</f>
        <v>1</v>
      </c>
      <c r="AZ505" t="s">
        <v>199</v>
      </c>
      <c r="BA505">
        <v>0</v>
      </c>
      <c r="BB505">
        <v>6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>
        <v>0</v>
      </c>
      <c r="BI505">
        <v>0</v>
      </c>
      <c r="BJ505">
        <v>4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2</v>
      </c>
      <c r="BS505" t="s">
        <v>536</v>
      </c>
      <c r="BT505" t="s">
        <v>475</v>
      </c>
      <c r="BU505" t="s">
        <v>537</v>
      </c>
      <c r="BV505" t="s">
        <v>476</v>
      </c>
    </row>
    <row r="506" spans="1:74" s="1" customFormat="1" hidden="1" x14ac:dyDescent="0.2">
      <c r="A506">
        <v>521</v>
      </c>
      <c r="B506">
        <v>61</v>
      </c>
      <c r="C506" t="s">
        <v>138</v>
      </c>
      <c r="D506"/>
      <c r="E506" t="s">
        <v>88</v>
      </c>
      <c r="F506">
        <v>20</v>
      </c>
      <c r="G506">
        <v>1998</v>
      </c>
      <c r="H506">
        <v>24</v>
      </c>
      <c r="I506" t="s">
        <v>69</v>
      </c>
      <c r="J506">
        <v>2</v>
      </c>
      <c r="K506" t="s">
        <v>651</v>
      </c>
      <c r="L506" t="s">
        <v>653</v>
      </c>
      <c r="M506">
        <v>8</v>
      </c>
      <c r="N506">
        <v>54</v>
      </c>
      <c r="O506" t="s">
        <v>360</v>
      </c>
      <c r="P506" t="s">
        <v>542</v>
      </c>
      <c r="Q506" t="s">
        <v>721</v>
      </c>
      <c r="R506" t="s">
        <v>724</v>
      </c>
      <c r="S506" t="s">
        <v>291</v>
      </c>
      <c r="T506" t="s">
        <v>455</v>
      </c>
      <c r="U506" t="s">
        <v>365</v>
      </c>
      <c r="V506" t="s">
        <v>543</v>
      </c>
      <c r="W506" t="s">
        <v>198</v>
      </c>
      <c r="X506" t="s">
        <v>199</v>
      </c>
      <c r="Y506" t="s">
        <v>274</v>
      </c>
      <c r="Z506">
        <v>6</v>
      </c>
      <c r="AA506">
        <v>6</v>
      </c>
      <c r="AB506">
        <v>6</v>
      </c>
      <c r="AC506">
        <v>6</v>
      </c>
      <c r="AD506">
        <v>6</v>
      </c>
      <c r="AE506">
        <v>6</v>
      </c>
      <c r="AF506">
        <v>3</v>
      </c>
      <c r="AG506">
        <v>1</v>
      </c>
      <c r="AH506">
        <v>6</v>
      </c>
      <c r="AI506">
        <v>1</v>
      </c>
      <c r="AJ506">
        <v>7</v>
      </c>
      <c r="AK506">
        <v>7</v>
      </c>
      <c r="AL506">
        <v>7</v>
      </c>
      <c r="AM506">
        <v>2</v>
      </c>
      <c r="AN506">
        <v>84</v>
      </c>
      <c r="AO506">
        <v>1</v>
      </c>
      <c r="AP506">
        <v>7</v>
      </c>
      <c r="AQ506">
        <v>7</v>
      </c>
      <c r="AR506">
        <v>6</v>
      </c>
      <c r="AS506">
        <v>6</v>
      </c>
      <c r="AT506">
        <v>6</v>
      </c>
      <c r="AU506">
        <v>6</v>
      </c>
      <c r="AV506">
        <v>6</v>
      </c>
      <c r="AW506">
        <v>7</v>
      </c>
      <c r="AX506">
        <v>3</v>
      </c>
      <c r="AY506" cm="1">
        <f t="array" ref="AY506">_xlfn.IFS(AZ506="Positive",1, AZ506="Negative",1, AZ506="Neutral",0)</f>
        <v>1</v>
      </c>
      <c r="AZ506" t="s">
        <v>199</v>
      </c>
      <c r="BA506">
        <v>15</v>
      </c>
      <c r="BB506">
        <v>5</v>
      </c>
      <c r="BC506" s="3">
        <v>5</v>
      </c>
      <c r="BD506" s="3">
        <v>1</v>
      </c>
      <c r="BE506" s="3">
        <v>2</v>
      </c>
      <c r="BF506" s="3">
        <v>5</v>
      </c>
      <c r="BG506" s="3">
        <v>2</v>
      </c>
      <c r="BH506">
        <v>1</v>
      </c>
      <c r="BI506">
        <v>0</v>
      </c>
      <c r="BJ506">
        <v>3</v>
      </c>
      <c r="BK506">
        <v>0</v>
      </c>
      <c r="BL506">
        <v>0</v>
      </c>
      <c r="BM506">
        <v>1</v>
      </c>
      <c r="BN506">
        <v>0</v>
      </c>
      <c r="BO506">
        <v>0</v>
      </c>
      <c r="BP506">
        <v>0</v>
      </c>
      <c r="BQ506">
        <v>0</v>
      </c>
      <c r="BR506">
        <v>0</v>
      </c>
      <c r="BS506" t="s">
        <v>510</v>
      </c>
      <c r="BT506" t="s">
        <v>480</v>
      </c>
      <c r="BU506" t="s">
        <v>511</v>
      </c>
      <c r="BV506" t="s">
        <v>482</v>
      </c>
    </row>
    <row r="507" spans="1:74" s="1" customFormat="1" x14ac:dyDescent="0.2">
      <c r="A507">
        <v>522</v>
      </c>
      <c r="B507">
        <v>62</v>
      </c>
      <c r="C507" t="s">
        <v>139</v>
      </c>
      <c r="D507"/>
      <c r="E507" t="s">
        <v>80</v>
      </c>
      <c r="F507">
        <v>19</v>
      </c>
      <c r="G507">
        <v>1999</v>
      </c>
      <c r="H507">
        <v>23</v>
      </c>
      <c r="I507" t="s">
        <v>64</v>
      </c>
      <c r="J507">
        <v>1</v>
      </c>
      <c r="K507" t="s">
        <v>652</v>
      </c>
      <c r="L507" t="s">
        <v>677</v>
      </c>
      <c r="M507">
        <v>15</v>
      </c>
      <c r="N507">
        <v>56</v>
      </c>
      <c r="O507" t="s">
        <v>369</v>
      </c>
      <c r="P507" t="s">
        <v>456</v>
      </c>
      <c r="Q507" t="s">
        <v>753</v>
      </c>
      <c r="R507" t="s">
        <v>756</v>
      </c>
      <c r="S507" t="s">
        <v>363</v>
      </c>
      <c r="T507" t="s">
        <v>423</v>
      </c>
      <c r="U507" t="s">
        <v>544</v>
      </c>
      <c r="V507" t="s">
        <v>458</v>
      </c>
      <c r="W507" t="s">
        <v>198</v>
      </c>
      <c r="X507" t="s">
        <v>199</v>
      </c>
      <c r="Y507" t="s">
        <v>274</v>
      </c>
      <c r="Z507">
        <v>2</v>
      </c>
      <c r="AA507">
        <v>2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3</v>
      </c>
      <c r="AI507">
        <v>1</v>
      </c>
      <c r="AJ507">
        <v>7</v>
      </c>
      <c r="AK507">
        <v>7</v>
      </c>
      <c r="AL507">
        <v>7</v>
      </c>
      <c r="AM507">
        <v>3</v>
      </c>
      <c r="AN507">
        <v>240</v>
      </c>
      <c r="AO507">
        <v>6</v>
      </c>
      <c r="AP507">
        <v>7</v>
      </c>
      <c r="AQ507">
        <v>7</v>
      </c>
      <c r="AR507">
        <v>3</v>
      </c>
      <c r="AS507">
        <v>2</v>
      </c>
      <c r="AT507">
        <v>2</v>
      </c>
      <c r="AU507">
        <v>1</v>
      </c>
      <c r="AV507">
        <v>2</v>
      </c>
      <c r="AW507">
        <v>2</v>
      </c>
      <c r="AX507">
        <v>3</v>
      </c>
      <c r="AY507" cm="1">
        <f t="array" ref="AY507">_xlfn.IFS(AZ507="Positive",1, AZ507="Negative",1, AZ507="Neutral",0)</f>
        <v>1</v>
      </c>
      <c r="AZ507" t="s">
        <v>199</v>
      </c>
      <c r="BA507">
        <v>0</v>
      </c>
      <c r="BB507">
        <v>3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>
        <v>0</v>
      </c>
      <c r="BI507">
        <v>0</v>
      </c>
      <c r="BJ507">
        <v>3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 t="s">
        <v>322</v>
      </c>
      <c r="BT507" t="s">
        <v>313</v>
      </c>
      <c r="BU507" t="s">
        <v>326</v>
      </c>
      <c r="BV507" t="s">
        <v>317</v>
      </c>
    </row>
    <row r="508" spans="1:74" s="1" customFormat="1" hidden="1" x14ac:dyDescent="0.2">
      <c r="A508">
        <v>523</v>
      </c>
      <c r="B508">
        <v>63</v>
      </c>
      <c r="C508" t="s">
        <v>140</v>
      </c>
      <c r="D508"/>
      <c r="E508" t="s">
        <v>97</v>
      </c>
      <c r="F508">
        <v>21</v>
      </c>
      <c r="G508">
        <v>1997</v>
      </c>
      <c r="H508">
        <v>25</v>
      </c>
      <c r="I508" t="s">
        <v>64</v>
      </c>
      <c r="J508">
        <v>1</v>
      </c>
      <c r="K508" t="s">
        <v>658</v>
      </c>
      <c r="L508" t="s">
        <v>634</v>
      </c>
      <c r="M508">
        <v>15</v>
      </c>
      <c r="N508">
        <v>60</v>
      </c>
      <c r="O508" t="s">
        <v>463</v>
      </c>
      <c r="P508" t="s">
        <v>545</v>
      </c>
      <c r="Q508" t="s">
        <v>729</v>
      </c>
      <c r="R508" t="s">
        <v>747</v>
      </c>
      <c r="S508" t="s">
        <v>363</v>
      </c>
      <c r="T508" t="s">
        <v>444</v>
      </c>
      <c r="U508" t="s">
        <v>546</v>
      </c>
      <c r="V508" t="s">
        <v>547</v>
      </c>
      <c r="W508" t="s">
        <v>198</v>
      </c>
      <c r="X508" t="s">
        <v>199</v>
      </c>
      <c r="Y508" t="s">
        <v>274</v>
      </c>
      <c r="Z508">
        <v>6</v>
      </c>
      <c r="AA508">
        <v>6</v>
      </c>
      <c r="AB508">
        <v>6</v>
      </c>
      <c r="AC508">
        <v>6</v>
      </c>
      <c r="AD508">
        <v>1</v>
      </c>
      <c r="AE508">
        <v>1</v>
      </c>
      <c r="AF508">
        <v>3</v>
      </c>
      <c r="AG508">
        <v>6</v>
      </c>
      <c r="AH508">
        <v>6</v>
      </c>
      <c r="AI508">
        <v>1</v>
      </c>
      <c r="AJ508">
        <v>7</v>
      </c>
      <c r="AK508">
        <v>6</v>
      </c>
      <c r="AL508">
        <v>6</v>
      </c>
      <c r="AM508">
        <v>4</v>
      </c>
      <c r="AN508">
        <v>83</v>
      </c>
      <c r="AO508">
        <v>6</v>
      </c>
      <c r="AP508">
        <v>7</v>
      </c>
      <c r="AQ508">
        <v>7</v>
      </c>
      <c r="AR508">
        <v>2</v>
      </c>
      <c r="AS508">
        <v>6</v>
      </c>
      <c r="AT508">
        <v>2</v>
      </c>
      <c r="AU508">
        <v>2</v>
      </c>
      <c r="AV508">
        <v>6</v>
      </c>
      <c r="AW508">
        <v>2</v>
      </c>
      <c r="AX508">
        <v>3</v>
      </c>
      <c r="AY508" cm="1">
        <f t="array" ref="AY508">_xlfn.IFS(AZ508="Positive",1, AZ508="Negative",1, AZ508="Neutral",0)</f>
        <v>1</v>
      </c>
      <c r="AZ508" t="s">
        <v>199</v>
      </c>
      <c r="BA508">
        <v>5</v>
      </c>
      <c r="BB508">
        <v>6</v>
      </c>
      <c r="BC508" s="3">
        <v>3</v>
      </c>
      <c r="BD508" s="3">
        <v>0</v>
      </c>
      <c r="BE508" s="3">
        <v>0</v>
      </c>
      <c r="BF508" s="3">
        <v>1</v>
      </c>
      <c r="BG508" s="3">
        <v>1</v>
      </c>
      <c r="BH508">
        <v>0</v>
      </c>
      <c r="BI508">
        <v>0</v>
      </c>
      <c r="BJ508">
        <v>4</v>
      </c>
      <c r="BK508">
        <v>0</v>
      </c>
      <c r="BL508">
        <v>0</v>
      </c>
      <c r="BM508">
        <v>1</v>
      </c>
      <c r="BN508">
        <v>0</v>
      </c>
      <c r="BO508">
        <v>0</v>
      </c>
      <c r="BP508">
        <v>0</v>
      </c>
      <c r="BQ508">
        <v>1</v>
      </c>
      <c r="BR508">
        <v>0</v>
      </c>
      <c r="BS508" t="s">
        <v>322</v>
      </c>
      <c r="BT508" t="s">
        <v>399</v>
      </c>
      <c r="BU508" t="s">
        <v>326</v>
      </c>
      <c r="BV508" t="s">
        <v>447</v>
      </c>
    </row>
    <row r="509" spans="1:74" s="1" customFormat="1" hidden="1" x14ac:dyDescent="0.2">
      <c r="A509">
        <v>524</v>
      </c>
      <c r="B509">
        <v>64</v>
      </c>
      <c r="C509" t="s">
        <v>141</v>
      </c>
      <c r="D509"/>
      <c r="E509" t="s">
        <v>82</v>
      </c>
      <c r="F509">
        <v>5</v>
      </c>
      <c r="G509">
        <v>2000</v>
      </c>
      <c r="H509">
        <v>22</v>
      </c>
      <c r="I509" t="s">
        <v>64</v>
      </c>
      <c r="J509">
        <v>1</v>
      </c>
      <c r="K509" t="s">
        <v>678</v>
      </c>
      <c r="L509" t="s">
        <v>648</v>
      </c>
      <c r="M509">
        <v>14</v>
      </c>
      <c r="N509">
        <v>74</v>
      </c>
      <c r="O509" t="s">
        <v>542</v>
      </c>
      <c r="P509" t="s">
        <v>542</v>
      </c>
      <c r="Q509" t="s">
        <v>757</v>
      </c>
      <c r="R509" t="s">
        <v>718</v>
      </c>
      <c r="S509" t="s">
        <v>550</v>
      </c>
      <c r="T509" t="s">
        <v>551</v>
      </c>
      <c r="U509" t="s">
        <v>552</v>
      </c>
      <c r="V509" t="s">
        <v>543</v>
      </c>
      <c r="W509" t="s">
        <v>198</v>
      </c>
      <c r="X509" t="s">
        <v>199</v>
      </c>
      <c r="Y509" t="s">
        <v>274</v>
      </c>
      <c r="Z509">
        <v>4</v>
      </c>
      <c r="AA509">
        <v>4</v>
      </c>
      <c r="AB509">
        <v>5</v>
      </c>
      <c r="AC509">
        <v>6</v>
      </c>
      <c r="AD509">
        <v>1</v>
      </c>
      <c r="AE509">
        <v>2</v>
      </c>
      <c r="AF509">
        <v>7</v>
      </c>
      <c r="AG509">
        <v>4</v>
      </c>
      <c r="AH509">
        <v>5</v>
      </c>
      <c r="AI509">
        <v>3</v>
      </c>
      <c r="AJ509">
        <v>6</v>
      </c>
      <c r="AK509">
        <v>6</v>
      </c>
      <c r="AL509">
        <v>5</v>
      </c>
      <c r="AM509">
        <v>2</v>
      </c>
      <c r="AN509">
        <v>130</v>
      </c>
      <c r="AO509">
        <v>3</v>
      </c>
      <c r="AP509">
        <v>6</v>
      </c>
      <c r="AQ509">
        <v>5</v>
      </c>
      <c r="AR509">
        <v>3</v>
      </c>
      <c r="AS509">
        <v>4</v>
      </c>
      <c r="AT509">
        <v>4</v>
      </c>
      <c r="AU509">
        <v>4</v>
      </c>
      <c r="AV509">
        <v>5</v>
      </c>
      <c r="AW509">
        <v>5</v>
      </c>
      <c r="AX509">
        <v>3</v>
      </c>
      <c r="AY509" cm="1">
        <f t="array" ref="AY509">_xlfn.IFS(AZ509="Positive",1, AZ509="Negative",1, AZ509="Neutral",0)</f>
        <v>1</v>
      </c>
      <c r="AZ509" t="s">
        <v>199</v>
      </c>
      <c r="BA509">
        <v>12</v>
      </c>
      <c r="BB509">
        <v>2</v>
      </c>
      <c r="BC509" s="3">
        <v>6</v>
      </c>
      <c r="BD509" s="3">
        <v>0</v>
      </c>
      <c r="BE509" s="3">
        <v>1</v>
      </c>
      <c r="BF509" s="3">
        <v>5</v>
      </c>
      <c r="BG509" s="3">
        <v>0</v>
      </c>
      <c r="BH509">
        <v>0</v>
      </c>
      <c r="BI509">
        <v>0</v>
      </c>
      <c r="BJ509">
        <v>1</v>
      </c>
      <c r="BK509">
        <v>0</v>
      </c>
      <c r="BL509">
        <v>1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 t="s">
        <v>425</v>
      </c>
      <c r="BT509" t="s">
        <v>548</v>
      </c>
      <c r="BU509" t="s">
        <v>428</v>
      </c>
      <c r="BV509" t="s">
        <v>549</v>
      </c>
    </row>
    <row r="510" spans="1:74" s="1" customFormat="1" hidden="1" x14ac:dyDescent="0.2">
      <c r="A510">
        <v>525</v>
      </c>
      <c r="B510">
        <v>65</v>
      </c>
      <c r="C510" t="s">
        <v>142</v>
      </c>
      <c r="D510"/>
      <c r="E510" t="s">
        <v>93</v>
      </c>
      <c r="F510">
        <v>3</v>
      </c>
      <c r="G510">
        <v>1998</v>
      </c>
      <c r="H510">
        <v>24</v>
      </c>
      <c r="I510" t="s">
        <v>64</v>
      </c>
      <c r="J510">
        <v>1</v>
      </c>
      <c r="K510" t="s">
        <v>657</v>
      </c>
      <c r="L510" t="s">
        <v>660</v>
      </c>
      <c r="M510">
        <v>9</v>
      </c>
      <c r="N510">
        <v>79</v>
      </c>
      <c r="O510">
        <v>6</v>
      </c>
      <c r="P510" t="s">
        <v>554</v>
      </c>
      <c r="Q510" t="s">
        <v>727</v>
      </c>
      <c r="R510" t="s">
        <v>733</v>
      </c>
      <c r="S510" t="s">
        <v>349</v>
      </c>
      <c r="T510" t="s">
        <v>557</v>
      </c>
      <c r="U510" t="s">
        <v>436</v>
      </c>
      <c r="V510" t="s">
        <v>558</v>
      </c>
      <c r="W510" t="s">
        <v>198</v>
      </c>
      <c r="X510" t="s">
        <v>199</v>
      </c>
      <c r="Y510" t="s">
        <v>274</v>
      </c>
      <c r="Z510">
        <v>7</v>
      </c>
      <c r="AA510">
        <v>7</v>
      </c>
      <c r="AB510">
        <v>7</v>
      </c>
      <c r="AC510">
        <v>7</v>
      </c>
      <c r="AD510">
        <v>1</v>
      </c>
      <c r="AE510">
        <v>7</v>
      </c>
      <c r="AF510">
        <v>1</v>
      </c>
      <c r="AG510">
        <v>1</v>
      </c>
      <c r="AH510">
        <v>7</v>
      </c>
      <c r="AI510">
        <v>1</v>
      </c>
      <c r="AJ510">
        <v>7</v>
      </c>
      <c r="AK510">
        <v>7</v>
      </c>
      <c r="AL510">
        <v>7</v>
      </c>
      <c r="AM510">
        <v>2</v>
      </c>
      <c r="AN510">
        <v>85</v>
      </c>
      <c r="AO510">
        <v>1</v>
      </c>
      <c r="AP510">
        <v>7</v>
      </c>
      <c r="AQ510">
        <v>7</v>
      </c>
      <c r="AR510">
        <v>7</v>
      </c>
      <c r="AS510">
        <v>1</v>
      </c>
      <c r="AT510">
        <v>7</v>
      </c>
      <c r="AU510">
        <v>1</v>
      </c>
      <c r="AV510">
        <v>7</v>
      </c>
      <c r="AW510">
        <v>7</v>
      </c>
      <c r="AX510">
        <v>3</v>
      </c>
      <c r="AY510" cm="1">
        <f t="array" ref="AY510">_xlfn.IFS(AZ510="Positive",1, AZ510="Negative",1, AZ510="Neutral",0)</f>
        <v>1</v>
      </c>
      <c r="AZ510" t="s">
        <v>199</v>
      </c>
      <c r="BA510">
        <v>20</v>
      </c>
      <c r="BB510">
        <v>3</v>
      </c>
      <c r="BC510" s="3">
        <v>11</v>
      </c>
      <c r="BD510" s="3">
        <v>0</v>
      </c>
      <c r="BE510" s="3">
        <v>1</v>
      </c>
      <c r="BF510" s="3">
        <v>6</v>
      </c>
      <c r="BG510" s="3">
        <v>2</v>
      </c>
      <c r="BH510">
        <v>0</v>
      </c>
      <c r="BI510">
        <v>0</v>
      </c>
      <c r="BJ510">
        <v>3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 t="s">
        <v>553</v>
      </c>
      <c r="BT510" t="s">
        <v>536</v>
      </c>
      <c r="BU510" t="s">
        <v>555</v>
      </c>
      <c r="BV510" t="s">
        <v>556</v>
      </c>
    </row>
    <row r="511" spans="1:74" s="1" customFormat="1" hidden="1" x14ac:dyDescent="0.2">
      <c r="A511">
        <v>526</v>
      </c>
      <c r="B511">
        <v>66</v>
      </c>
      <c r="C511" t="s">
        <v>143</v>
      </c>
      <c r="D511"/>
      <c r="E511" t="s">
        <v>80</v>
      </c>
      <c r="F511">
        <v>13</v>
      </c>
      <c r="G511">
        <v>2002</v>
      </c>
      <c r="H511">
        <v>20</v>
      </c>
      <c r="I511" t="s">
        <v>69</v>
      </c>
      <c r="J511">
        <v>2</v>
      </c>
      <c r="K511" t="s">
        <v>644</v>
      </c>
      <c r="L511" t="s">
        <v>685</v>
      </c>
      <c r="M511">
        <v>14</v>
      </c>
      <c r="N511">
        <v>71</v>
      </c>
      <c r="O511" t="s">
        <v>389</v>
      </c>
      <c r="P511" t="s">
        <v>460</v>
      </c>
      <c r="Q511" t="s">
        <v>714</v>
      </c>
      <c r="R511" t="s">
        <v>765</v>
      </c>
      <c r="S511" t="s">
        <v>550</v>
      </c>
      <c r="T511" t="s">
        <v>329</v>
      </c>
      <c r="U511" t="s">
        <v>391</v>
      </c>
      <c r="V511" t="s">
        <v>462</v>
      </c>
      <c r="W511" t="s">
        <v>198</v>
      </c>
      <c r="X511" t="s">
        <v>199</v>
      </c>
      <c r="Y511" t="s">
        <v>274</v>
      </c>
      <c r="Z511">
        <v>2</v>
      </c>
      <c r="AA511">
        <v>2</v>
      </c>
      <c r="AB511">
        <v>2</v>
      </c>
      <c r="AC511">
        <v>2</v>
      </c>
      <c r="AD511">
        <v>1</v>
      </c>
      <c r="AE511">
        <v>2</v>
      </c>
      <c r="AF511">
        <v>3</v>
      </c>
      <c r="AG511">
        <v>2</v>
      </c>
      <c r="AH511">
        <v>2</v>
      </c>
      <c r="AI511">
        <v>1</v>
      </c>
      <c r="AJ511">
        <v>7</v>
      </c>
      <c r="AK511">
        <v>7</v>
      </c>
      <c r="AL511">
        <v>7</v>
      </c>
      <c r="AM511">
        <v>1</v>
      </c>
      <c r="AN511">
        <v>6</v>
      </c>
      <c r="AO511">
        <v>1</v>
      </c>
      <c r="AP511">
        <v>7</v>
      </c>
      <c r="AQ511">
        <v>7</v>
      </c>
      <c r="AR511">
        <v>7</v>
      </c>
      <c r="AS511">
        <v>4</v>
      </c>
      <c r="AT511">
        <v>3</v>
      </c>
      <c r="AU511">
        <v>5</v>
      </c>
      <c r="AV511">
        <v>5</v>
      </c>
      <c r="AW511">
        <v>7</v>
      </c>
      <c r="AX511">
        <v>3</v>
      </c>
      <c r="AY511" cm="1">
        <f t="array" ref="AY511">_xlfn.IFS(AZ511="Positive",1, AZ511="Negative",1, AZ511="Neutral",0)</f>
        <v>1</v>
      </c>
      <c r="AZ511" t="s">
        <v>199</v>
      </c>
      <c r="BA511">
        <v>6</v>
      </c>
      <c r="BB511">
        <v>2</v>
      </c>
      <c r="BC511" s="3">
        <v>4</v>
      </c>
      <c r="BD511" s="3">
        <v>2</v>
      </c>
      <c r="BE511" s="3">
        <v>0</v>
      </c>
      <c r="BF511" s="3">
        <v>0</v>
      </c>
      <c r="BG511" s="3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1</v>
      </c>
      <c r="BS511" t="s">
        <v>463</v>
      </c>
      <c r="BT511" t="s">
        <v>352</v>
      </c>
      <c r="BU511" t="s">
        <v>465</v>
      </c>
      <c r="BV511" t="s">
        <v>526</v>
      </c>
    </row>
    <row r="512" spans="1:74" s="1" customFormat="1" hidden="1" x14ac:dyDescent="0.2">
      <c r="A512">
        <v>527</v>
      </c>
      <c r="B512">
        <v>67</v>
      </c>
      <c r="C512" t="s">
        <v>144</v>
      </c>
      <c r="D512"/>
      <c r="E512" t="s">
        <v>82</v>
      </c>
      <c r="F512">
        <v>19</v>
      </c>
      <c r="G512">
        <v>2001</v>
      </c>
      <c r="H512">
        <v>21</v>
      </c>
      <c r="I512" t="s">
        <v>64</v>
      </c>
      <c r="J512">
        <v>1</v>
      </c>
      <c r="K512" t="s">
        <v>661</v>
      </c>
      <c r="L512" t="s">
        <v>647</v>
      </c>
      <c r="M512">
        <v>5</v>
      </c>
      <c r="N512">
        <v>58</v>
      </c>
      <c r="O512" t="s">
        <v>287</v>
      </c>
      <c r="P512" t="s">
        <v>315</v>
      </c>
      <c r="Q512" t="s">
        <v>734</v>
      </c>
      <c r="R512" t="s">
        <v>717</v>
      </c>
      <c r="S512" t="s">
        <v>318</v>
      </c>
      <c r="T512" t="s">
        <v>364</v>
      </c>
      <c r="U512" t="s">
        <v>293</v>
      </c>
      <c r="V512" t="s">
        <v>321</v>
      </c>
      <c r="W512" t="s">
        <v>198</v>
      </c>
      <c r="X512" t="s">
        <v>199</v>
      </c>
      <c r="Y512" t="s">
        <v>274</v>
      </c>
      <c r="Z512">
        <v>7</v>
      </c>
      <c r="AA512">
        <v>5</v>
      </c>
      <c r="AB512">
        <v>7</v>
      </c>
      <c r="AC512">
        <v>7</v>
      </c>
      <c r="AD512">
        <v>1</v>
      </c>
      <c r="AE512">
        <v>1</v>
      </c>
      <c r="AF512">
        <v>1</v>
      </c>
      <c r="AG512">
        <v>4</v>
      </c>
      <c r="AH512">
        <v>4</v>
      </c>
      <c r="AI512">
        <v>1</v>
      </c>
      <c r="AJ512">
        <v>6</v>
      </c>
      <c r="AK512">
        <v>4</v>
      </c>
      <c r="AL512">
        <v>5</v>
      </c>
      <c r="AM512">
        <v>4</v>
      </c>
      <c r="AN512">
        <v>2</v>
      </c>
      <c r="AO512">
        <v>1</v>
      </c>
      <c r="AP512">
        <v>7</v>
      </c>
      <c r="AQ512">
        <v>4</v>
      </c>
      <c r="AR512">
        <v>7</v>
      </c>
      <c r="AS512">
        <v>4</v>
      </c>
      <c r="AT512">
        <v>7</v>
      </c>
      <c r="AU512">
        <v>7</v>
      </c>
      <c r="AV512">
        <v>7</v>
      </c>
      <c r="AW512">
        <v>7</v>
      </c>
      <c r="AX512">
        <v>3</v>
      </c>
      <c r="AY512" cm="1">
        <f t="array" ref="AY512">_xlfn.IFS(AZ512="Positive",1, AZ512="Negative",1, AZ512="Neutral",0)</f>
        <v>1</v>
      </c>
      <c r="AZ512" t="s">
        <v>199</v>
      </c>
      <c r="BA512">
        <v>16</v>
      </c>
      <c r="BB512">
        <v>3</v>
      </c>
      <c r="BC512" s="3">
        <v>8</v>
      </c>
      <c r="BD512" s="3">
        <v>1</v>
      </c>
      <c r="BE512" s="3">
        <v>2</v>
      </c>
      <c r="BF512" s="3">
        <v>3</v>
      </c>
      <c r="BG512" s="3">
        <v>2</v>
      </c>
      <c r="BH512">
        <v>0</v>
      </c>
      <c r="BI512">
        <v>0</v>
      </c>
      <c r="BJ512">
        <v>3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4</v>
      </c>
      <c r="BT512" t="s">
        <v>275</v>
      </c>
      <c r="BU512" t="s">
        <v>370</v>
      </c>
      <c r="BV512" t="s">
        <v>334</v>
      </c>
    </row>
    <row r="513" spans="1:74" s="1" customFormat="1" x14ac:dyDescent="0.2">
      <c r="A513">
        <v>528</v>
      </c>
      <c r="B513">
        <v>68</v>
      </c>
      <c r="C513" t="s">
        <v>145</v>
      </c>
      <c r="D513"/>
      <c r="E513" t="s">
        <v>68</v>
      </c>
      <c r="F513">
        <v>26</v>
      </c>
      <c r="G513">
        <v>1998</v>
      </c>
      <c r="H513">
        <v>24</v>
      </c>
      <c r="I513" t="s">
        <v>64</v>
      </c>
      <c r="J513">
        <v>1</v>
      </c>
      <c r="K513" t="s">
        <v>676</v>
      </c>
      <c r="L513" t="s">
        <v>686</v>
      </c>
      <c r="M513">
        <v>7</v>
      </c>
      <c r="N513">
        <v>67</v>
      </c>
      <c r="O513" t="s">
        <v>438</v>
      </c>
      <c r="P513" t="s">
        <v>353</v>
      </c>
      <c r="Q513" t="s">
        <v>755</v>
      </c>
      <c r="R513" t="s">
        <v>766</v>
      </c>
      <c r="S513" t="s">
        <v>430</v>
      </c>
      <c r="T513" t="s">
        <v>431</v>
      </c>
      <c r="U513" t="s">
        <v>561</v>
      </c>
      <c r="V513" t="s">
        <v>437</v>
      </c>
      <c r="W513" t="s">
        <v>198</v>
      </c>
      <c r="X513" t="s">
        <v>199</v>
      </c>
      <c r="Y513" t="s">
        <v>274</v>
      </c>
      <c r="Z513">
        <v>5</v>
      </c>
      <c r="AA513">
        <v>4</v>
      </c>
      <c r="AB513">
        <v>7</v>
      </c>
      <c r="AC513">
        <v>5</v>
      </c>
      <c r="AD513">
        <v>1</v>
      </c>
      <c r="AE513">
        <v>1</v>
      </c>
      <c r="AF513">
        <v>1</v>
      </c>
      <c r="AG513">
        <v>1</v>
      </c>
      <c r="AH513">
        <v>6</v>
      </c>
      <c r="AI513">
        <v>7</v>
      </c>
      <c r="AJ513">
        <v>7</v>
      </c>
      <c r="AK513">
        <v>7</v>
      </c>
      <c r="AL513">
        <v>7</v>
      </c>
      <c r="AM513">
        <v>4</v>
      </c>
      <c r="AN513">
        <v>173</v>
      </c>
      <c r="AO513">
        <v>2</v>
      </c>
      <c r="AP513">
        <v>7</v>
      </c>
      <c r="AQ513">
        <v>7</v>
      </c>
      <c r="AR513">
        <v>6</v>
      </c>
      <c r="AS513">
        <v>6</v>
      </c>
      <c r="AT513">
        <v>6</v>
      </c>
      <c r="AU513">
        <v>6</v>
      </c>
      <c r="AV513">
        <v>6</v>
      </c>
      <c r="AW513">
        <v>6</v>
      </c>
      <c r="AX513">
        <v>3</v>
      </c>
      <c r="AY513" cm="1">
        <f t="array" ref="AY513">_xlfn.IFS(AZ513="Positive",1, AZ513="Negative",1, AZ513="Neutral",0)</f>
        <v>1</v>
      </c>
      <c r="AZ513" t="s">
        <v>199</v>
      </c>
      <c r="BA513">
        <v>0</v>
      </c>
      <c r="BB513">
        <v>3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>
        <v>0</v>
      </c>
      <c r="BI513">
        <v>0</v>
      </c>
      <c r="BJ513">
        <v>3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 t="s">
        <v>305</v>
      </c>
      <c r="BT513" t="s">
        <v>559</v>
      </c>
      <c r="BU513" t="s">
        <v>308</v>
      </c>
      <c r="BV513" t="s">
        <v>560</v>
      </c>
    </row>
    <row r="514" spans="1:74" s="1" customFormat="1" hidden="1" x14ac:dyDescent="0.2">
      <c r="A514">
        <v>529</v>
      </c>
      <c r="B514">
        <v>69</v>
      </c>
      <c r="C514" t="s">
        <v>146</v>
      </c>
      <c r="D514"/>
      <c r="E514" t="s">
        <v>97</v>
      </c>
      <c r="F514">
        <v>16</v>
      </c>
      <c r="G514">
        <v>2000</v>
      </c>
      <c r="H514">
        <v>22</v>
      </c>
      <c r="I514" t="s">
        <v>69</v>
      </c>
      <c r="J514">
        <v>2</v>
      </c>
      <c r="K514" t="s">
        <v>687</v>
      </c>
      <c r="L514" t="s">
        <v>688</v>
      </c>
      <c r="M514">
        <v>13</v>
      </c>
      <c r="N514">
        <v>66</v>
      </c>
      <c r="O514">
        <v>5</v>
      </c>
      <c r="P514" t="s">
        <v>562</v>
      </c>
      <c r="Q514" t="s">
        <v>767</v>
      </c>
      <c r="R514" t="s">
        <v>768</v>
      </c>
      <c r="S514" t="s">
        <v>328</v>
      </c>
      <c r="T514" t="s">
        <v>282</v>
      </c>
      <c r="U514" t="s">
        <v>563</v>
      </c>
      <c r="V514" t="s">
        <v>564</v>
      </c>
      <c r="W514" t="s">
        <v>198</v>
      </c>
      <c r="X514" t="s">
        <v>199</v>
      </c>
      <c r="Y514" t="s">
        <v>274</v>
      </c>
      <c r="Z514">
        <v>7</v>
      </c>
      <c r="AA514">
        <v>7</v>
      </c>
      <c r="AB514">
        <v>6</v>
      </c>
      <c r="AC514">
        <v>7</v>
      </c>
      <c r="AD514">
        <v>4</v>
      </c>
      <c r="AE514">
        <v>5</v>
      </c>
      <c r="AF514">
        <v>4</v>
      </c>
      <c r="AG514">
        <v>6</v>
      </c>
      <c r="AH514">
        <v>7</v>
      </c>
      <c r="AI514">
        <v>1</v>
      </c>
      <c r="AJ514">
        <v>7</v>
      </c>
      <c r="AK514">
        <v>6</v>
      </c>
      <c r="AL514">
        <v>2</v>
      </c>
      <c r="AM514">
        <v>4</v>
      </c>
      <c r="AN514">
        <v>54</v>
      </c>
      <c r="AO514">
        <v>1</v>
      </c>
      <c r="AP514">
        <v>7</v>
      </c>
      <c r="AQ514">
        <v>4</v>
      </c>
      <c r="AR514">
        <v>5</v>
      </c>
      <c r="AS514">
        <v>5</v>
      </c>
      <c r="AT514">
        <v>5</v>
      </c>
      <c r="AU514">
        <v>5</v>
      </c>
      <c r="AV514">
        <v>5</v>
      </c>
      <c r="AW514">
        <v>7</v>
      </c>
      <c r="AX514">
        <v>3</v>
      </c>
      <c r="AY514" cm="1">
        <f t="array" ref="AY514">_xlfn.IFS(AZ514="Positive",1, AZ514="Negative",1, AZ514="Neutral",0)</f>
        <v>1</v>
      </c>
      <c r="AZ514" t="s">
        <v>199</v>
      </c>
      <c r="BA514">
        <v>1</v>
      </c>
      <c r="BB514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 t="s">
        <v>313</v>
      </c>
      <c r="BT514" t="s">
        <v>295</v>
      </c>
      <c r="BU514" t="s">
        <v>316</v>
      </c>
      <c r="BV514" t="s">
        <v>473</v>
      </c>
    </row>
    <row r="515" spans="1:74" s="1" customFormat="1" hidden="1" x14ac:dyDescent="0.2">
      <c r="A515">
        <v>530</v>
      </c>
      <c r="B515">
        <v>70</v>
      </c>
      <c r="C515" t="s">
        <v>147</v>
      </c>
      <c r="D515"/>
      <c r="E515" t="s">
        <v>85</v>
      </c>
      <c r="F515">
        <v>28</v>
      </c>
      <c r="G515">
        <v>1997</v>
      </c>
      <c r="H515">
        <v>25</v>
      </c>
      <c r="I515" t="s">
        <v>64</v>
      </c>
      <c r="J515">
        <v>1</v>
      </c>
      <c r="K515" t="s">
        <v>661</v>
      </c>
      <c r="L515" t="s">
        <v>632</v>
      </c>
      <c r="M515">
        <v>5</v>
      </c>
      <c r="N515">
        <v>64</v>
      </c>
      <c r="O515" t="s">
        <v>442</v>
      </c>
      <c r="P515" t="s">
        <v>539</v>
      </c>
      <c r="Q515" t="s">
        <v>734</v>
      </c>
      <c r="R515" t="s">
        <v>732</v>
      </c>
      <c r="S515" t="s">
        <v>318</v>
      </c>
      <c r="T515" t="s">
        <v>540</v>
      </c>
      <c r="U515" t="s">
        <v>445</v>
      </c>
      <c r="V515" t="s">
        <v>541</v>
      </c>
      <c r="W515" t="s">
        <v>198</v>
      </c>
      <c r="X515" t="s">
        <v>199</v>
      </c>
      <c r="Y515" t="s">
        <v>274</v>
      </c>
      <c r="Z515">
        <v>6</v>
      </c>
      <c r="AA515">
        <v>6</v>
      </c>
      <c r="AB515">
        <v>6</v>
      </c>
      <c r="AC515">
        <v>6</v>
      </c>
      <c r="AD515">
        <v>6</v>
      </c>
      <c r="AE515">
        <v>6</v>
      </c>
      <c r="AF515">
        <v>6</v>
      </c>
      <c r="AG515">
        <v>6</v>
      </c>
      <c r="AH515">
        <v>6</v>
      </c>
      <c r="AI515">
        <v>1</v>
      </c>
      <c r="AJ515">
        <v>7</v>
      </c>
      <c r="AK515">
        <v>7</v>
      </c>
      <c r="AL515">
        <v>7</v>
      </c>
      <c r="AM515">
        <v>4</v>
      </c>
      <c r="AN515">
        <v>3</v>
      </c>
      <c r="AO515">
        <v>2</v>
      </c>
      <c r="AP515">
        <v>7</v>
      </c>
      <c r="AQ515">
        <v>7</v>
      </c>
      <c r="AR515">
        <v>7</v>
      </c>
      <c r="AS515">
        <v>7</v>
      </c>
      <c r="AT515">
        <v>7</v>
      </c>
      <c r="AU515">
        <v>7</v>
      </c>
      <c r="AV515">
        <v>7</v>
      </c>
      <c r="AW515">
        <v>7</v>
      </c>
      <c r="AX515">
        <v>3</v>
      </c>
      <c r="AY515" cm="1">
        <f t="array" ref="AY515">_xlfn.IFS(AZ515="Positive",1, AZ515="Negative",1, AZ515="Neutral",0)</f>
        <v>1</v>
      </c>
      <c r="AZ515" t="s">
        <v>199</v>
      </c>
      <c r="BA515">
        <v>4</v>
      </c>
      <c r="BB515">
        <v>2</v>
      </c>
      <c r="BC515" s="3">
        <v>1</v>
      </c>
      <c r="BD515" s="3">
        <v>0</v>
      </c>
      <c r="BE515" s="3">
        <v>1</v>
      </c>
      <c r="BF515" s="3">
        <v>0</v>
      </c>
      <c r="BG515" s="3">
        <v>2</v>
      </c>
      <c r="BH515">
        <v>0</v>
      </c>
      <c r="BI515">
        <v>0</v>
      </c>
      <c r="BJ515">
        <v>1</v>
      </c>
      <c r="BK515">
        <v>1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4</v>
      </c>
      <c r="BT515" t="s">
        <v>453</v>
      </c>
      <c r="BU515" t="s">
        <v>370</v>
      </c>
      <c r="BV515" t="s">
        <v>454</v>
      </c>
    </row>
    <row r="516" spans="1:74" s="1" customFormat="1" hidden="1" x14ac:dyDescent="0.2">
      <c r="A516">
        <v>531</v>
      </c>
      <c r="B516">
        <v>71</v>
      </c>
      <c r="C516" t="s">
        <v>148</v>
      </c>
      <c r="D516"/>
      <c r="E516" t="s">
        <v>85</v>
      </c>
      <c r="F516">
        <v>20</v>
      </c>
      <c r="G516">
        <v>2002</v>
      </c>
      <c r="H516">
        <v>20</v>
      </c>
      <c r="I516" t="s">
        <v>64</v>
      </c>
      <c r="J516">
        <v>1</v>
      </c>
      <c r="K516" t="s">
        <v>637</v>
      </c>
      <c r="L516" t="s">
        <v>677</v>
      </c>
      <c r="M516">
        <v>5</v>
      </c>
      <c r="N516">
        <v>67</v>
      </c>
      <c r="O516" t="s">
        <v>513</v>
      </c>
      <c r="P516" t="s">
        <v>325</v>
      </c>
      <c r="Q516" t="s">
        <v>706</v>
      </c>
      <c r="R516" t="s">
        <v>756</v>
      </c>
      <c r="S516" t="s">
        <v>318</v>
      </c>
      <c r="T516" t="s">
        <v>431</v>
      </c>
      <c r="U516" t="s">
        <v>515</v>
      </c>
      <c r="V516" t="s">
        <v>331</v>
      </c>
      <c r="W516" t="s">
        <v>198</v>
      </c>
      <c r="X516" t="s">
        <v>199</v>
      </c>
      <c r="Y516" t="s">
        <v>274</v>
      </c>
      <c r="Z516">
        <v>4</v>
      </c>
      <c r="AA516">
        <v>5</v>
      </c>
      <c r="AB516">
        <v>5</v>
      </c>
      <c r="AC516">
        <v>1</v>
      </c>
      <c r="AD516">
        <v>1</v>
      </c>
      <c r="AE516">
        <v>4</v>
      </c>
      <c r="AF516">
        <v>4</v>
      </c>
      <c r="AG516">
        <v>3</v>
      </c>
      <c r="AH516">
        <v>5</v>
      </c>
      <c r="AI516">
        <v>2</v>
      </c>
      <c r="AJ516">
        <v>6</v>
      </c>
      <c r="AK516">
        <v>3</v>
      </c>
      <c r="AL516">
        <v>4</v>
      </c>
      <c r="AM516">
        <v>4</v>
      </c>
      <c r="AN516">
        <v>127</v>
      </c>
      <c r="AO516">
        <v>4</v>
      </c>
      <c r="AP516">
        <v>5</v>
      </c>
      <c r="AQ516">
        <v>4</v>
      </c>
      <c r="AR516">
        <v>2</v>
      </c>
      <c r="AS516">
        <v>1</v>
      </c>
      <c r="AT516">
        <v>2</v>
      </c>
      <c r="AU516">
        <v>1</v>
      </c>
      <c r="AV516">
        <v>1</v>
      </c>
      <c r="AW516">
        <v>4</v>
      </c>
      <c r="AX516">
        <v>2</v>
      </c>
      <c r="AY516" cm="1">
        <f t="array" ref="AY516">_xlfn.IFS(AZ516="Positive",1, AZ516="Negative",1, AZ516="Neutral",0)</f>
        <v>1</v>
      </c>
      <c r="AZ516" t="s">
        <v>199</v>
      </c>
      <c r="BA516">
        <v>11</v>
      </c>
      <c r="BB516">
        <v>4</v>
      </c>
      <c r="BC516" s="3">
        <v>7</v>
      </c>
      <c r="BD516" s="3">
        <v>0</v>
      </c>
      <c r="BE516" s="3">
        <v>2</v>
      </c>
      <c r="BF516" s="3">
        <v>1</v>
      </c>
      <c r="BG516" s="3">
        <v>1</v>
      </c>
      <c r="BH516">
        <v>1</v>
      </c>
      <c r="BI516">
        <v>0</v>
      </c>
      <c r="BJ516">
        <v>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2</v>
      </c>
      <c r="BS516" t="s">
        <v>322</v>
      </c>
      <c r="BT516" t="s">
        <v>453</v>
      </c>
      <c r="BU516" t="s">
        <v>326</v>
      </c>
      <c r="BV516" t="s">
        <v>454</v>
      </c>
    </row>
    <row r="517" spans="1:74" s="1" customFormat="1" x14ac:dyDescent="0.2">
      <c r="A517">
        <v>532</v>
      </c>
      <c r="B517">
        <v>72</v>
      </c>
      <c r="C517" t="s">
        <v>149</v>
      </c>
      <c r="D517"/>
      <c r="E517" t="s">
        <v>71</v>
      </c>
      <c r="F517">
        <v>26</v>
      </c>
      <c r="G517">
        <v>1999</v>
      </c>
      <c r="H517">
        <v>23</v>
      </c>
      <c r="I517" t="s">
        <v>64</v>
      </c>
      <c r="J517">
        <v>1</v>
      </c>
      <c r="K517" t="s">
        <v>416</v>
      </c>
      <c r="L517" t="s">
        <v>660</v>
      </c>
      <c r="M517">
        <v>6</v>
      </c>
      <c r="N517">
        <v>63</v>
      </c>
      <c r="O517" t="s">
        <v>565</v>
      </c>
      <c r="P517">
        <v>6</v>
      </c>
      <c r="Q517" t="s">
        <v>723</v>
      </c>
      <c r="R517" t="s">
        <v>733</v>
      </c>
      <c r="S517" t="s">
        <v>403</v>
      </c>
      <c r="T517" t="s">
        <v>477</v>
      </c>
      <c r="U517" t="s">
        <v>566</v>
      </c>
      <c r="V517" t="s">
        <v>471</v>
      </c>
      <c r="W517" t="s">
        <v>198</v>
      </c>
      <c r="X517" t="s">
        <v>199</v>
      </c>
      <c r="Y517" t="s">
        <v>274</v>
      </c>
      <c r="Z517">
        <v>6</v>
      </c>
      <c r="AA517">
        <v>6</v>
      </c>
      <c r="AB517">
        <v>6</v>
      </c>
      <c r="AC517">
        <v>6</v>
      </c>
      <c r="AD517">
        <v>1</v>
      </c>
      <c r="AE517">
        <v>4</v>
      </c>
      <c r="AF517">
        <v>4</v>
      </c>
      <c r="AG517">
        <v>1</v>
      </c>
      <c r="AH517">
        <v>6</v>
      </c>
      <c r="AI517">
        <v>1</v>
      </c>
      <c r="AJ517">
        <v>7</v>
      </c>
      <c r="AK517">
        <v>7</v>
      </c>
      <c r="AL517">
        <v>7</v>
      </c>
      <c r="AM517">
        <v>6</v>
      </c>
      <c r="AN517">
        <v>72</v>
      </c>
      <c r="AO517">
        <v>5</v>
      </c>
      <c r="AP517">
        <v>7</v>
      </c>
      <c r="AQ517">
        <v>7</v>
      </c>
      <c r="AR517">
        <v>6</v>
      </c>
      <c r="AS517">
        <v>6</v>
      </c>
      <c r="AT517">
        <v>6</v>
      </c>
      <c r="AU517">
        <v>6</v>
      </c>
      <c r="AV517">
        <v>6</v>
      </c>
      <c r="AW517">
        <v>6</v>
      </c>
      <c r="AX517">
        <v>3</v>
      </c>
      <c r="AY517" cm="1">
        <f t="array" ref="AY517">_xlfn.IFS(AZ517="Positive",1, AZ517="Negative",1, AZ517="Neutral",0)</f>
        <v>1</v>
      </c>
      <c r="AZ517" t="s">
        <v>199</v>
      </c>
      <c r="BA517">
        <v>0</v>
      </c>
      <c r="BB517">
        <v>4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>
        <v>0</v>
      </c>
      <c r="BI517">
        <v>0</v>
      </c>
      <c r="BJ517">
        <v>2</v>
      </c>
      <c r="BK517">
        <v>2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 t="s">
        <v>296</v>
      </c>
      <c r="BT517" t="s">
        <v>367</v>
      </c>
      <c r="BU517" t="s">
        <v>362</v>
      </c>
      <c r="BV517" t="s">
        <v>371</v>
      </c>
    </row>
    <row r="518" spans="1:74" s="1" customFormat="1" x14ac:dyDescent="0.2">
      <c r="A518">
        <v>533</v>
      </c>
      <c r="B518">
        <v>73</v>
      </c>
      <c r="C518" t="s">
        <v>150</v>
      </c>
      <c r="D518"/>
      <c r="E518" t="s">
        <v>71</v>
      </c>
      <c r="F518">
        <v>30</v>
      </c>
      <c r="G518">
        <v>2000</v>
      </c>
      <c r="H518">
        <v>22</v>
      </c>
      <c r="I518" t="s">
        <v>69</v>
      </c>
      <c r="J518">
        <v>2</v>
      </c>
      <c r="K518" t="s">
        <v>416</v>
      </c>
      <c r="L518" t="s">
        <v>679</v>
      </c>
      <c r="M518">
        <v>7</v>
      </c>
      <c r="N518">
        <v>47</v>
      </c>
      <c r="O518" t="s">
        <v>568</v>
      </c>
      <c r="P518">
        <v>6</v>
      </c>
      <c r="Q518" t="s">
        <v>723</v>
      </c>
      <c r="R518" t="s">
        <v>758</v>
      </c>
      <c r="S518" t="s">
        <v>430</v>
      </c>
      <c r="T518" t="s">
        <v>401</v>
      </c>
      <c r="U518" t="s">
        <v>570</v>
      </c>
      <c r="V518" t="s">
        <v>471</v>
      </c>
      <c r="W518" t="s">
        <v>198</v>
      </c>
      <c r="X518" t="s">
        <v>199</v>
      </c>
      <c r="Y518" t="s">
        <v>274</v>
      </c>
      <c r="Z518">
        <v>6</v>
      </c>
      <c r="AA518">
        <v>6</v>
      </c>
      <c r="AB518">
        <v>7</v>
      </c>
      <c r="AC518">
        <v>7</v>
      </c>
      <c r="AD518">
        <v>3</v>
      </c>
      <c r="AE518">
        <v>6</v>
      </c>
      <c r="AF518">
        <v>1</v>
      </c>
      <c r="AG518">
        <v>1</v>
      </c>
      <c r="AH518">
        <v>5</v>
      </c>
      <c r="AI518">
        <v>2</v>
      </c>
      <c r="AJ518">
        <v>5</v>
      </c>
      <c r="AK518">
        <v>5</v>
      </c>
      <c r="AL518">
        <v>2</v>
      </c>
      <c r="AM518">
        <v>1</v>
      </c>
      <c r="AN518">
        <v>132</v>
      </c>
      <c r="AO518">
        <v>1</v>
      </c>
      <c r="AP518">
        <v>6</v>
      </c>
      <c r="AQ518">
        <v>5</v>
      </c>
      <c r="AR518">
        <v>7</v>
      </c>
      <c r="AS518">
        <v>7</v>
      </c>
      <c r="AT518">
        <v>7</v>
      </c>
      <c r="AU518">
        <v>7</v>
      </c>
      <c r="AV518">
        <v>7</v>
      </c>
      <c r="AW518">
        <v>7</v>
      </c>
      <c r="AX518">
        <v>3</v>
      </c>
      <c r="AY518" cm="1">
        <f t="array" ref="AY518">_xlfn.IFS(AZ518="Positive",1, AZ518="Negative",1, AZ518="Neutral",0)</f>
        <v>1</v>
      </c>
      <c r="AZ518" t="s">
        <v>199</v>
      </c>
      <c r="BA518">
        <v>0</v>
      </c>
      <c r="BB518">
        <v>3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>
        <v>0</v>
      </c>
      <c r="BI518">
        <v>0</v>
      </c>
      <c r="BJ518">
        <v>0</v>
      </c>
      <c r="BK518">
        <v>1</v>
      </c>
      <c r="BL518">
        <v>2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 t="s">
        <v>567</v>
      </c>
      <c r="BT518" t="s">
        <v>484</v>
      </c>
      <c r="BU518" t="s">
        <v>569</v>
      </c>
      <c r="BV518" t="s">
        <v>486</v>
      </c>
    </row>
    <row r="519" spans="1:74" s="1" customFormat="1" hidden="1" x14ac:dyDescent="0.2">
      <c r="A519">
        <v>534</v>
      </c>
      <c r="B519">
        <v>74</v>
      </c>
      <c r="C519" t="s">
        <v>151</v>
      </c>
      <c r="D519"/>
      <c r="E519" t="s">
        <v>73</v>
      </c>
      <c r="F519">
        <v>27</v>
      </c>
      <c r="G519">
        <v>2000</v>
      </c>
      <c r="H519">
        <v>22</v>
      </c>
      <c r="I519" t="s">
        <v>69</v>
      </c>
      <c r="J519">
        <v>2</v>
      </c>
      <c r="K519" t="s">
        <v>644</v>
      </c>
      <c r="L519" t="s">
        <v>647</v>
      </c>
      <c r="M519">
        <v>4</v>
      </c>
      <c r="N519">
        <v>61</v>
      </c>
      <c r="O519" t="s">
        <v>384</v>
      </c>
      <c r="P519" t="s">
        <v>361</v>
      </c>
      <c r="Q519" t="s">
        <v>714</v>
      </c>
      <c r="R519" t="s">
        <v>717</v>
      </c>
      <c r="S519" t="s">
        <v>396</v>
      </c>
      <c r="T519" t="s">
        <v>292</v>
      </c>
      <c r="U519" t="s">
        <v>387</v>
      </c>
      <c r="V519" t="s">
        <v>366</v>
      </c>
      <c r="W519" t="s">
        <v>198</v>
      </c>
      <c r="X519" t="s">
        <v>199</v>
      </c>
      <c r="Y519" t="s">
        <v>274</v>
      </c>
      <c r="Z519">
        <v>7</v>
      </c>
      <c r="AA519">
        <v>6</v>
      </c>
      <c r="AB519">
        <v>7</v>
      </c>
      <c r="AC519">
        <v>7</v>
      </c>
      <c r="AD519">
        <v>7</v>
      </c>
      <c r="AE519">
        <v>7</v>
      </c>
      <c r="AF519">
        <v>2</v>
      </c>
      <c r="AG519">
        <v>1</v>
      </c>
      <c r="AH519">
        <v>7</v>
      </c>
      <c r="AI519">
        <v>1</v>
      </c>
      <c r="AJ519">
        <v>7</v>
      </c>
      <c r="AK519">
        <v>7</v>
      </c>
      <c r="AL519">
        <v>6</v>
      </c>
      <c r="AM519">
        <v>7</v>
      </c>
      <c r="AN519">
        <v>92</v>
      </c>
      <c r="AO519">
        <v>1</v>
      </c>
      <c r="AP519">
        <v>7</v>
      </c>
      <c r="AQ519">
        <v>7</v>
      </c>
      <c r="AR519">
        <v>7</v>
      </c>
      <c r="AS519">
        <v>7</v>
      </c>
      <c r="AT519">
        <v>7</v>
      </c>
      <c r="AU519">
        <v>6</v>
      </c>
      <c r="AV519">
        <v>5</v>
      </c>
      <c r="AW519">
        <v>7</v>
      </c>
      <c r="AX519">
        <v>3</v>
      </c>
      <c r="AY519" cm="1">
        <f t="array" ref="AY519">_xlfn.IFS(AZ519="Positive",1, AZ519="Negative",1, AZ519="Neutral",0)</f>
        <v>1</v>
      </c>
      <c r="AZ519" t="s">
        <v>199</v>
      </c>
      <c r="BA519">
        <v>5</v>
      </c>
      <c r="BB519">
        <v>6</v>
      </c>
      <c r="BC519" s="3">
        <v>2</v>
      </c>
      <c r="BD519" s="3">
        <v>0</v>
      </c>
      <c r="BE519" s="3">
        <v>2</v>
      </c>
      <c r="BF519" s="3">
        <v>0</v>
      </c>
      <c r="BG519" s="3">
        <v>1</v>
      </c>
      <c r="BH519">
        <v>0</v>
      </c>
      <c r="BI519">
        <v>0</v>
      </c>
      <c r="BJ519">
        <v>5</v>
      </c>
      <c r="BK519">
        <v>1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 t="s">
        <v>414</v>
      </c>
      <c r="BT519" t="s">
        <v>475</v>
      </c>
      <c r="BU519" t="s">
        <v>417</v>
      </c>
      <c r="BV519" t="s">
        <v>476</v>
      </c>
    </row>
    <row r="520" spans="1:74" s="1" customFormat="1" hidden="1" x14ac:dyDescent="0.2">
      <c r="A520">
        <v>535</v>
      </c>
      <c r="B520">
        <v>75</v>
      </c>
      <c r="C520" t="s">
        <v>152</v>
      </c>
      <c r="D520"/>
      <c r="E520" t="s">
        <v>88</v>
      </c>
      <c r="F520">
        <v>27</v>
      </c>
      <c r="G520">
        <v>2000</v>
      </c>
      <c r="H520">
        <v>22</v>
      </c>
      <c r="I520" t="s">
        <v>69</v>
      </c>
      <c r="J520">
        <v>2</v>
      </c>
      <c r="K520" t="s">
        <v>652</v>
      </c>
      <c r="L520" t="s">
        <v>689</v>
      </c>
      <c r="M520">
        <v>11</v>
      </c>
      <c r="N520">
        <v>43</v>
      </c>
      <c r="O520" t="s">
        <v>571</v>
      </c>
      <c r="P520" t="s">
        <v>572</v>
      </c>
      <c r="Q520" t="s">
        <v>753</v>
      </c>
      <c r="R520" t="s">
        <v>769</v>
      </c>
      <c r="S520" t="s">
        <v>514</v>
      </c>
      <c r="T520" t="s">
        <v>336</v>
      </c>
      <c r="U520" t="s">
        <v>573</v>
      </c>
      <c r="V520" t="s">
        <v>574</v>
      </c>
      <c r="W520" t="s">
        <v>198</v>
      </c>
      <c r="X520" t="s">
        <v>199</v>
      </c>
      <c r="Y520" t="s">
        <v>274</v>
      </c>
      <c r="Z520">
        <v>2</v>
      </c>
      <c r="AA520">
        <v>2</v>
      </c>
      <c r="AB520">
        <v>7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2</v>
      </c>
      <c r="AI520">
        <v>1</v>
      </c>
      <c r="AJ520">
        <v>3</v>
      </c>
      <c r="AK520">
        <v>1</v>
      </c>
      <c r="AL520">
        <v>1</v>
      </c>
      <c r="AM520">
        <v>1</v>
      </c>
      <c r="AN520">
        <v>48</v>
      </c>
      <c r="AO520">
        <v>3</v>
      </c>
      <c r="AP520">
        <v>6</v>
      </c>
      <c r="AQ520">
        <v>2</v>
      </c>
      <c r="AR520">
        <v>1</v>
      </c>
      <c r="AS520">
        <v>1</v>
      </c>
      <c r="AT520">
        <v>3</v>
      </c>
      <c r="AU520">
        <v>2</v>
      </c>
      <c r="AV520">
        <v>3</v>
      </c>
      <c r="AW520">
        <v>1</v>
      </c>
      <c r="AX520">
        <v>3</v>
      </c>
      <c r="AY520" cm="1">
        <f t="array" ref="AY520">_xlfn.IFS(AZ520="Positive",1, AZ520="Negative",1, AZ520="Neutral",0)</f>
        <v>1</v>
      </c>
      <c r="AZ520" t="s">
        <v>199</v>
      </c>
      <c r="BA520">
        <v>5</v>
      </c>
      <c r="BB520">
        <v>4</v>
      </c>
      <c r="BC520" s="3">
        <v>3</v>
      </c>
      <c r="BD520" s="3">
        <v>0</v>
      </c>
      <c r="BE520" s="3">
        <v>1</v>
      </c>
      <c r="BF520" s="3">
        <v>0</v>
      </c>
      <c r="BG520" s="3">
        <v>1</v>
      </c>
      <c r="BH520">
        <v>0</v>
      </c>
      <c r="BI520">
        <v>0</v>
      </c>
      <c r="BJ520">
        <v>2</v>
      </c>
      <c r="BK520">
        <v>1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</v>
      </c>
      <c r="BR520">
        <v>0</v>
      </c>
      <c r="BS520" t="s">
        <v>399</v>
      </c>
      <c r="BT520">
        <v>3</v>
      </c>
      <c r="BU520" t="s">
        <v>400</v>
      </c>
      <c r="BV520" t="s">
        <v>309</v>
      </c>
    </row>
    <row r="521" spans="1:74" s="1" customFormat="1" x14ac:dyDescent="0.2">
      <c r="A521">
        <v>536</v>
      </c>
      <c r="B521">
        <v>76</v>
      </c>
      <c r="C521" t="s">
        <v>153</v>
      </c>
      <c r="D521"/>
      <c r="E521" t="s">
        <v>82</v>
      </c>
      <c r="F521">
        <v>15</v>
      </c>
      <c r="G521">
        <v>1999</v>
      </c>
      <c r="H521">
        <v>23</v>
      </c>
      <c r="I521" t="s">
        <v>64</v>
      </c>
      <c r="J521">
        <v>1</v>
      </c>
      <c r="K521" t="s">
        <v>658</v>
      </c>
      <c r="L521" t="s">
        <v>669</v>
      </c>
      <c r="M521">
        <v>11</v>
      </c>
      <c r="N521">
        <v>57</v>
      </c>
      <c r="O521" t="s">
        <v>346</v>
      </c>
      <c r="P521" t="s">
        <v>369</v>
      </c>
      <c r="Q521" t="s">
        <v>729</v>
      </c>
      <c r="R521" t="s">
        <v>745</v>
      </c>
      <c r="S521" t="s">
        <v>514</v>
      </c>
      <c r="T521" t="s">
        <v>575</v>
      </c>
      <c r="U521" t="s">
        <v>350</v>
      </c>
      <c r="V521" t="s">
        <v>374</v>
      </c>
      <c r="W521" t="s">
        <v>198</v>
      </c>
      <c r="X521" t="s">
        <v>199</v>
      </c>
      <c r="Y521" t="s">
        <v>274</v>
      </c>
      <c r="Z521">
        <v>3</v>
      </c>
      <c r="AA521">
        <v>5</v>
      </c>
      <c r="AB521">
        <v>6</v>
      </c>
      <c r="AC521">
        <v>4</v>
      </c>
      <c r="AD521">
        <v>1</v>
      </c>
      <c r="AE521">
        <v>5</v>
      </c>
      <c r="AF521">
        <v>1</v>
      </c>
      <c r="AG521">
        <v>6</v>
      </c>
      <c r="AH521">
        <v>6</v>
      </c>
      <c r="AI521">
        <v>3</v>
      </c>
      <c r="AJ521">
        <v>5</v>
      </c>
      <c r="AK521">
        <v>4</v>
      </c>
      <c r="AL521">
        <v>4</v>
      </c>
      <c r="AM521">
        <v>5</v>
      </c>
      <c r="AN521">
        <v>144</v>
      </c>
      <c r="AO521">
        <v>6</v>
      </c>
      <c r="AP521">
        <v>4</v>
      </c>
      <c r="AQ521">
        <v>4</v>
      </c>
      <c r="AR521">
        <v>5</v>
      </c>
      <c r="AS521">
        <v>4</v>
      </c>
      <c r="AT521">
        <v>6</v>
      </c>
      <c r="AU521">
        <v>6</v>
      </c>
      <c r="AV521">
        <v>6</v>
      </c>
      <c r="AW521">
        <v>2</v>
      </c>
      <c r="AX521">
        <v>2</v>
      </c>
      <c r="AY521" cm="1">
        <f t="array" ref="AY521">_xlfn.IFS(AZ521="Positive",1, AZ521="Negative",1, AZ521="Neutral",0)</f>
        <v>1</v>
      </c>
      <c r="AZ521" t="s">
        <v>199</v>
      </c>
      <c r="BA521">
        <v>0</v>
      </c>
      <c r="BB521">
        <v>5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>
        <v>0</v>
      </c>
      <c r="BI521">
        <v>0</v>
      </c>
      <c r="BJ521">
        <v>3</v>
      </c>
      <c r="BK521">
        <v>1</v>
      </c>
      <c r="BL521">
        <v>1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 t="s">
        <v>467</v>
      </c>
      <c r="BT521" t="s">
        <v>484</v>
      </c>
      <c r="BU521" t="s">
        <v>469</v>
      </c>
      <c r="BV521" t="s">
        <v>486</v>
      </c>
    </row>
    <row r="522" spans="1:74" s="1" customFormat="1" hidden="1" x14ac:dyDescent="0.2">
      <c r="A522">
        <v>537</v>
      </c>
      <c r="B522">
        <v>77</v>
      </c>
      <c r="C522" t="s">
        <v>154</v>
      </c>
      <c r="D522"/>
      <c r="E522" t="s">
        <v>73</v>
      </c>
      <c r="F522">
        <v>8</v>
      </c>
      <c r="G522">
        <v>2000</v>
      </c>
      <c r="H522">
        <v>22</v>
      </c>
      <c r="I522" t="s">
        <v>64</v>
      </c>
      <c r="J522">
        <v>1</v>
      </c>
      <c r="K522" t="s">
        <v>690</v>
      </c>
      <c r="L522" t="s">
        <v>650</v>
      </c>
      <c r="M522">
        <v>11</v>
      </c>
      <c r="N522">
        <v>56</v>
      </c>
      <c r="O522" t="s">
        <v>278</v>
      </c>
      <c r="P522" t="s">
        <v>307</v>
      </c>
      <c r="Q522" t="s">
        <v>770</v>
      </c>
      <c r="R522" t="s">
        <v>720</v>
      </c>
      <c r="S522" t="s">
        <v>514</v>
      </c>
      <c r="T522" t="s">
        <v>423</v>
      </c>
      <c r="U522" t="s">
        <v>380</v>
      </c>
      <c r="V522" t="s">
        <v>312</v>
      </c>
      <c r="W522" t="s">
        <v>198</v>
      </c>
      <c r="X522" t="s">
        <v>199</v>
      </c>
      <c r="Y522" t="s">
        <v>274</v>
      </c>
      <c r="Z522">
        <v>3</v>
      </c>
      <c r="AA522">
        <v>3</v>
      </c>
      <c r="AB522">
        <v>5</v>
      </c>
      <c r="AC522">
        <v>3</v>
      </c>
      <c r="AD522">
        <v>1</v>
      </c>
      <c r="AE522">
        <v>1</v>
      </c>
      <c r="AF522">
        <v>5</v>
      </c>
      <c r="AG522">
        <v>7</v>
      </c>
      <c r="AH522">
        <v>5</v>
      </c>
      <c r="AI522">
        <v>4</v>
      </c>
      <c r="AJ522">
        <v>5</v>
      </c>
      <c r="AK522">
        <v>4</v>
      </c>
      <c r="AL522">
        <v>4</v>
      </c>
      <c r="AM522">
        <v>1</v>
      </c>
      <c r="AN522">
        <v>39</v>
      </c>
      <c r="AO522">
        <v>2</v>
      </c>
      <c r="AP522">
        <v>6</v>
      </c>
      <c r="AQ522">
        <v>5</v>
      </c>
      <c r="AR522">
        <v>2</v>
      </c>
      <c r="AS522">
        <v>5</v>
      </c>
      <c r="AT522">
        <v>3</v>
      </c>
      <c r="AU522">
        <v>4</v>
      </c>
      <c r="AV522">
        <v>4</v>
      </c>
      <c r="AW522">
        <v>2</v>
      </c>
      <c r="AX522">
        <v>3</v>
      </c>
      <c r="AY522" cm="1">
        <f t="array" ref="AY522">_xlfn.IFS(AZ522="Positive",1, AZ522="Negative",1, AZ522="Neutral",0)</f>
        <v>1</v>
      </c>
      <c r="AZ522" t="s">
        <v>199</v>
      </c>
      <c r="BA522">
        <v>14</v>
      </c>
      <c r="BB522">
        <v>3</v>
      </c>
      <c r="BC522" s="3">
        <v>8</v>
      </c>
      <c r="BD522" s="3">
        <v>1</v>
      </c>
      <c r="BE522" s="3">
        <v>2</v>
      </c>
      <c r="BF522" s="3">
        <v>2</v>
      </c>
      <c r="BG522" s="3">
        <v>1</v>
      </c>
      <c r="BH522">
        <v>0</v>
      </c>
      <c r="BI522">
        <v>0</v>
      </c>
      <c r="BJ522">
        <v>2</v>
      </c>
      <c r="BK522">
        <v>1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 t="s">
        <v>313</v>
      </c>
      <c r="BT522" t="s">
        <v>576</v>
      </c>
      <c r="BU522" t="s">
        <v>316</v>
      </c>
      <c r="BV522" t="s">
        <v>577</v>
      </c>
    </row>
    <row r="523" spans="1:74" s="1" customFormat="1" x14ac:dyDescent="0.2">
      <c r="A523">
        <v>538</v>
      </c>
      <c r="B523">
        <v>78</v>
      </c>
      <c r="C523" t="s">
        <v>155</v>
      </c>
      <c r="D523"/>
      <c r="E523" t="s">
        <v>93</v>
      </c>
      <c r="F523">
        <v>7</v>
      </c>
      <c r="G523">
        <v>1999</v>
      </c>
      <c r="H523">
        <v>23</v>
      </c>
      <c r="I523" t="s">
        <v>64</v>
      </c>
      <c r="J523">
        <v>1</v>
      </c>
      <c r="K523" t="s">
        <v>664</v>
      </c>
      <c r="L523" t="s">
        <v>691</v>
      </c>
      <c r="M523">
        <v>4</v>
      </c>
      <c r="N523">
        <v>76</v>
      </c>
      <c r="O523" t="s">
        <v>562</v>
      </c>
      <c r="P523" t="s">
        <v>278</v>
      </c>
      <c r="Q523" t="s">
        <v>738</v>
      </c>
      <c r="R523" t="s">
        <v>771</v>
      </c>
      <c r="S523" t="s">
        <v>396</v>
      </c>
      <c r="T523" t="s">
        <v>580</v>
      </c>
      <c r="U523" t="s">
        <v>581</v>
      </c>
      <c r="V523" t="s">
        <v>284</v>
      </c>
      <c r="W523" t="s">
        <v>198</v>
      </c>
      <c r="X523" t="s">
        <v>199</v>
      </c>
      <c r="Y523" t="s">
        <v>274</v>
      </c>
      <c r="Z523">
        <v>7</v>
      </c>
      <c r="AA523">
        <v>7</v>
      </c>
      <c r="AB523">
        <v>6</v>
      </c>
      <c r="AC523">
        <v>4</v>
      </c>
      <c r="AD523">
        <v>1</v>
      </c>
      <c r="AE523">
        <v>6</v>
      </c>
      <c r="AF523">
        <v>2</v>
      </c>
      <c r="AG523">
        <v>1</v>
      </c>
      <c r="AH523">
        <v>7</v>
      </c>
      <c r="AI523">
        <v>1</v>
      </c>
      <c r="AJ523">
        <v>7</v>
      </c>
      <c r="AK523">
        <v>6</v>
      </c>
      <c r="AL523">
        <v>6</v>
      </c>
      <c r="AM523">
        <v>5</v>
      </c>
      <c r="AN523">
        <v>7</v>
      </c>
      <c r="AO523">
        <v>4</v>
      </c>
      <c r="AP523">
        <v>7</v>
      </c>
      <c r="AQ523">
        <v>4</v>
      </c>
      <c r="AR523">
        <v>2</v>
      </c>
      <c r="AS523">
        <v>3</v>
      </c>
      <c r="AT523">
        <v>3</v>
      </c>
      <c r="AU523">
        <v>4</v>
      </c>
      <c r="AV523">
        <v>6</v>
      </c>
      <c r="AW523">
        <v>7</v>
      </c>
      <c r="AX523">
        <v>3</v>
      </c>
      <c r="AY523" cm="1">
        <f t="array" ref="AY523">_xlfn.IFS(AZ523="Positive",1, AZ523="Negative",1, AZ523="Neutral",0)</f>
        <v>1</v>
      </c>
      <c r="AZ523" t="s">
        <v>199</v>
      </c>
      <c r="BA523">
        <v>0</v>
      </c>
      <c r="BB523">
        <v>3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>
        <v>0</v>
      </c>
      <c r="BI523">
        <v>0</v>
      </c>
      <c r="BJ523">
        <v>3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 t="s">
        <v>305</v>
      </c>
      <c r="BT523" t="s">
        <v>578</v>
      </c>
      <c r="BU523" t="s">
        <v>308</v>
      </c>
      <c r="BV523" t="s">
        <v>579</v>
      </c>
    </row>
    <row r="524" spans="1:74" s="1" customFormat="1" hidden="1" x14ac:dyDescent="0.2">
      <c r="A524">
        <v>539</v>
      </c>
      <c r="B524">
        <v>79</v>
      </c>
      <c r="C524" t="s">
        <v>156</v>
      </c>
      <c r="D524"/>
      <c r="E524" t="s">
        <v>93</v>
      </c>
      <c r="F524">
        <v>7</v>
      </c>
      <c r="G524">
        <v>1999</v>
      </c>
      <c r="H524">
        <v>23</v>
      </c>
      <c r="I524" t="s">
        <v>69</v>
      </c>
      <c r="J524">
        <v>2</v>
      </c>
      <c r="K524" t="s">
        <v>637</v>
      </c>
      <c r="L524" t="s">
        <v>679</v>
      </c>
      <c r="M524">
        <v>10</v>
      </c>
      <c r="N524">
        <v>62</v>
      </c>
      <c r="O524" t="s">
        <v>460</v>
      </c>
      <c r="P524" t="s">
        <v>288</v>
      </c>
      <c r="Q524" t="s">
        <v>706</v>
      </c>
      <c r="R524" t="s">
        <v>758</v>
      </c>
      <c r="S524" t="s">
        <v>378</v>
      </c>
      <c r="T524" t="s">
        <v>319</v>
      </c>
      <c r="U524" t="s">
        <v>582</v>
      </c>
      <c r="V524" t="s">
        <v>294</v>
      </c>
      <c r="W524" t="s">
        <v>198</v>
      </c>
      <c r="X524" t="s">
        <v>199</v>
      </c>
      <c r="Y524" t="s">
        <v>274</v>
      </c>
      <c r="Z524">
        <v>7</v>
      </c>
      <c r="AA524">
        <v>5</v>
      </c>
      <c r="AB524">
        <v>7</v>
      </c>
      <c r="AC524">
        <v>7</v>
      </c>
      <c r="AD524">
        <v>7</v>
      </c>
      <c r="AE524">
        <v>7</v>
      </c>
      <c r="AF524">
        <v>1</v>
      </c>
      <c r="AG524">
        <v>3</v>
      </c>
      <c r="AH524">
        <v>6</v>
      </c>
      <c r="AI524">
        <v>1</v>
      </c>
      <c r="AJ524">
        <v>7</v>
      </c>
      <c r="AK524">
        <v>7</v>
      </c>
      <c r="AL524">
        <v>7</v>
      </c>
      <c r="AM524">
        <v>3</v>
      </c>
      <c r="AN524">
        <v>16</v>
      </c>
      <c r="AO524">
        <v>3</v>
      </c>
      <c r="AP524">
        <v>7</v>
      </c>
      <c r="AQ524">
        <v>7</v>
      </c>
      <c r="AR524">
        <v>4</v>
      </c>
      <c r="AS524">
        <v>7</v>
      </c>
      <c r="AT524">
        <v>7</v>
      </c>
      <c r="AU524">
        <v>7</v>
      </c>
      <c r="AV524">
        <v>7</v>
      </c>
      <c r="AW524">
        <v>7</v>
      </c>
      <c r="AX524">
        <v>3</v>
      </c>
      <c r="AY524" cm="1">
        <f t="array" ref="AY524">_xlfn.IFS(AZ524="Positive",1, AZ524="Negative",1, AZ524="Neutral",0)</f>
        <v>1</v>
      </c>
      <c r="AZ524" t="s">
        <v>199</v>
      </c>
      <c r="BA524">
        <v>16</v>
      </c>
      <c r="BB524">
        <v>0</v>
      </c>
      <c r="BC524" s="3">
        <v>9</v>
      </c>
      <c r="BD524" s="3">
        <v>0</v>
      </c>
      <c r="BE524" s="3">
        <v>3</v>
      </c>
      <c r="BF524" s="3">
        <v>3</v>
      </c>
      <c r="BG524" s="3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 t="s">
        <v>567</v>
      </c>
      <c r="BT524">
        <v>2</v>
      </c>
      <c r="BU524" t="s">
        <v>569</v>
      </c>
      <c r="BV524" t="s">
        <v>340</v>
      </c>
    </row>
    <row r="525" spans="1:74" s="1" customFormat="1" hidden="1" x14ac:dyDescent="0.2">
      <c r="A525">
        <v>540</v>
      </c>
      <c r="B525">
        <v>80</v>
      </c>
      <c r="C525" t="s">
        <v>157</v>
      </c>
      <c r="D525"/>
      <c r="E525" t="s">
        <v>73</v>
      </c>
      <c r="F525">
        <v>10</v>
      </c>
      <c r="G525">
        <v>1999</v>
      </c>
      <c r="H525">
        <v>23</v>
      </c>
      <c r="I525" t="s">
        <v>64</v>
      </c>
      <c r="J525">
        <v>1</v>
      </c>
      <c r="K525" t="s">
        <v>651</v>
      </c>
      <c r="L525" t="s">
        <v>692</v>
      </c>
      <c r="M525">
        <v>11</v>
      </c>
      <c r="N525">
        <v>72</v>
      </c>
      <c r="O525" t="s">
        <v>408</v>
      </c>
      <c r="P525" t="s">
        <v>583</v>
      </c>
      <c r="Q525" t="s">
        <v>721</v>
      </c>
      <c r="R525" t="s">
        <v>772</v>
      </c>
      <c r="S525" t="s">
        <v>514</v>
      </c>
      <c r="T525" t="s">
        <v>379</v>
      </c>
      <c r="U525" t="s">
        <v>412</v>
      </c>
      <c r="V525" t="s">
        <v>584</v>
      </c>
      <c r="W525" t="s">
        <v>198</v>
      </c>
      <c r="X525" t="s">
        <v>199</v>
      </c>
      <c r="Y525" t="s">
        <v>274</v>
      </c>
      <c r="Z525">
        <v>7</v>
      </c>
      <c r="AA525">
        <v>7</v>
      </c>
      <c r="AB525">
        <v>7</v>
      </c>
      <c r="AC525">
        <v>7</v>
      </c>
      <c r="AD525">
        <v>1</v>
      </c>
      <c r="AE525">
        <v>5</v>
      </c>
      <c r="AF525">
        <v>7</v>
      </c>
      <c r="AG525">
        <v>2</v>
      </c>
      <c r="AH525">
        <v>6</v>
      </c>
      <c r="AI525">
        <v>1</v>
      </c>
      <c r="AJ525">
        <v>7</v>
      </c>
      <c r="AK525">
        <v>5</v>
      </c>
      <c r="AL525">
        <v>7</v>
      </c>
      <c r="AM525">
        <v>7</v>
      </c>
      <c r="AN525">
        <v>61</v>
      </c>
      <c r="AO525">
        <v>3</v>
      </c>
      <c r="AP525">
        <v>7</v>
      </c>
      <c r="AQ525">
        <v>7</v>
      </c>
      <c r="AR525">
        <v>6</v>
      </c>
      <c r="AS525">
        <v>6</v>
      </c>
      <c r="AT525">
        <v>6</v>
      </c>
      <c r="AU525">
        <v>6</v>
      </c>
      <c r="AV525">
        <v>6</v>
      </c>
      <c r="AW525">
        <v>6</v>
      </c>
      <c r="AX525">
        <v>3</v>
      </c>
      <c r="AY525" cm="1">
        <f t="array" ref="AY525">_xlfn.IFS(AZ525="Positive",1, AZ525="Negative",1, AZ525="Neutral",0)</f>
        <v>1</v>
      </c>
      <c r="AZ525" t="s">
        <v>199</v>
      </c>
      <c r="BA525">
        <v>2</v>
      </c>
      <c r="BB525">
        <v>0</v>
      </c>
      <c r="BC525" s="3">
        <v>2</v>
      </c>
      <c r="BD525" s="3">
        <v>0</v>
      </c>
      <c r="BE525" s="3">
        <v>0</v>
      </c>
      <c r="BF525" s="3">
        <v>0</v>
      </c>
      <c r="BG525" s="3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4</v>
      </c>
      <c r="BT525" t="s">
        <v>492</v>
      </c>
      <c r="BU525" t="s">
        <v>370</v>
      </c>
      <c r="BV525" t="s">
        <v>494</v>
      </c>
    </row>
    <row r="526" spans="1:74" s="1" customFormat="1" hidden="1" x14ac:dyDescent="0.2">
      <c r="A526">
        <v>541</v>
      </c>
      <c r="B526">
        <v>81</v>
      </c>
      <c r="C526" t="s">
        <v>158</v>
      </c>
      <c r="D526"/>
      <c r="E526" t="s">
        <v>97</v>
      </c>
      <c r="F526">
        <v>10</v>
      </c>
      <c r="G526">
        <v>2000</v>
      </c>
      <c r="H526">
        <v>22</v>
      </c>
      <c r="I526" t="s">
        <v>69</v>
      </c>
      <c r="J526">
        <v>2</v>
      </c>
      <c r="K526" t="s">
        <v>517</v>
      </c>
      <c r="L526" t="s">
        <v>693</v>
      </c>
      <c r="M526">
        <v>2</v>
      </c>
      <c r="N526">
        <v>49</v>
      </c>
      <c r="O526" t="s">
        <v>585</v>
      </c>
      <c r="P526" t="s">
        <v>277</v>
      </c>
      <c r="Q526" t="s">
        <v>744</v>
      </c>
      <c r="R526" t="s">
        <v>773</v>
      </c>
      <c r="S526" t="s">
        <v>281</v>
      </c>
      <c r="T526" t="s">
        <v>491</v>
      </c>
      <c r="U526" t="s">
        <v>587</v>
      </c>
      <c r="V526" t="s">
        <v>535</v>
      </c>
      <c r="W526" t="s">
        <v>198</v>
      </c>
      <c r="X526" t="s">
        <v>199</v>
      </c>
      <c r="Y526" t="s">
        <v>274</v>
      </c>
      <c r="Z526">
        <v>6</v>
      </c>
      <c r="AA526">
        <v>5</v>
      </c>
      <c r="AB526">
        <v>6</v>
      </c>
      <c r="AC526">
        <v>6</v>
      </c>
      <c r="AD526">
        <v>2</v>
      </c>
      <c r="AE526">
        <v>3</v>
      </c>
      <c r="AF526">
        <v>6</v>
      </c>
      <c r="AG526">
        <v>1</v>
      </c>
      <c r="AH526">
        <v>5</v>
      </c>
      <c r="AI526">
        <v>1</v>
      </c>
      <c r="AJ526">
        <v>7</v>
      </c>
      <c r="AK526">
        <v>7</v>
      </c>
      <c r="AL526">
        <v>7</v>
      </c>
      <c r="AM526">
        <v>4</v>
      </c>
      <c r="AN526">
        <v>9</v>
      </c>
      <c r="AO526">
        <v>6</v>
      </c>
      <c r="AP526">
        <v>7</v>
      </c>
      <c r="AQ526">
        <v>6</v>
      </c>
      <c r="AR526">
        <v>6</v>
      </c>
      <c r="AS526">
        <v>6</v>
      </c>
      <c r="AT526">
        <v>6</v>
      </c>
      <c r="AU526">
        <v>6</v>
      </c>
      <c r="AV526">
        <v>6</v>
      </c>
      <c r="AW526">
        <v>6</v>
      </c>
      <c r="AX526">
        <v>3</v>
      </c>
      <c r="AY526" cm="1">
        <f t="array" ref="AY526">_xlfn.IFS(AZ526="Positive",1, AZ526="Negative",1, AZ526="Neutral",0)</f>
        <v>1</v>
      </c>
      <c r="AZ526" t="s">
        <v>199</v>
      </c>
      <c r="BA526">
        <v>6</v>
      </c>
      <c r="BB526">
        <v>3</v>
      </c>
      <c r="BC526" s="3">
        <v>5</v>
      </c>
      <c r="BD526" s="3">
        <v>0</v>
      </c>
      <c r="BE526" s="3">
        <v>1</v>
      </c>
      <c r="BF526" s="3">
        <v>0</v>
      </c>
      <c r="BG526" s="3">
        <v>0</v>
      </c>
      <c r="BH526">
        <v>0</v>
      </c>
      <c r="BI526">
        <v>0</v>
      </c>
      <c r="BJ526">
        <v>3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 t="s">
        <v>492</v>
      </c>
      <c r="BT526" t="s">
        <v>345</v>
      </c>
      <c r="BU526" t="s">
        <v>586</v>
      </c>
      <c r="BV526" t="s">
        <v>348</v>
      </c>
    </row>
    <row r="527" spans="1:74" s="1" customFormat="1" hidden="1" x14ac:dyDescent="0.2">
      <c r="A527">
        <v>542</v>
      </c>
      <c r="B527">
        <v>82</v>
      </c>
      <c r="C527" t="s">
        <v>159</v>
      </c>
      <c r="D527"/>
      <c r="E527" t="s">
        <v>78</v>
      </c>
      <c r="F527">
        <v>11</v>
      </c>
      <c r="G527">
        <v>2000</v>
      </c>
      <c r="H527">
        <v>22</v>
      </c>
      <c r="I527" t="s">
        <v>69</v>
      </c>
      <c r="J527">
        <v>2</v>
      </c>
      <c r="K527" t="s">
        <v>694</v>
      </c>
      <c r="L527" t="s">
        <v>660</v>
      </c>
      <c r="M527">
        <v>16</v>
      </c>
      <c r="N527">
        <v>55</v>
      </c>
      <c r="O527" t="s">
        <v>572</v>
      </c>
      <c r="P527" t="s">
        <v>338</v>
      </c>
      <c r="Q527" t="s">
        <v>774</v>
      </c>
      <c r="R527" t="s">
        <v>733</v>
      </c>
      <c r="S527" t="s">
        <v>588</v>
      </c>
      <c r="T527" t="s">
        <v>404</v>
      </c>
      <c r="U527" t="s">
        <v>589</v>
      </c>
      <c r="V527" t="s">
        <v>504</v>
      </c>
      <c r="W527" t="s">
        <v>198</v>
      </c>
      <c r="X527" t="s">
        <v>199</v>
      </c>
      <c r="Y527" t="s">
        <v>274</v>
      </c>
      <c r="Z527">
        <v>3</v>
      </c>
      <c r="AA527">
        <v>3</v>
      </c>
      <c r="AB527">
        <v>5</v>
      </c>
      <c r="AC527">
        <v>4</v>
      </c>
      <c r="AD527">
        <v>3</v>
      </c>
      <c r="AE527">
        <v>4</v>
      </c>
      <c r="AF527">
        <v>2</v>
      </c>
      <c r="AG527">
        <v>5</v>
      </c>
      <c r="AH527">
        <v>3</v>
      </c>
      <c r="AI527">
        <v>2</v>
      </c>
      <c r="AJ527">
        <v>5</v>
      </c>
      <c r="AK527">
        <v>3</v>
      </c>
      <c r="AL527">
        <v>2</v>
      </c>
      <c r="AM527">
        <v>3</v>
      </c>
      <c r="AN527">
        <v>156</v>
      </c>
      <c r="AO527">
        <v>4</v>
      </c>
      <c r="AP527">
        <v>5</v>
      </c>
      <c r="AQ527">
        <v>6</v>
      </c>
      <c r="AR527">
        <v>3</v>
      </c>
      <c r="AS527">
        <v>3</v>
      </c>
      <c r="AT527">
        <v>3</v>
      </c>
      <c r="AU527">
        <v>2</v>
      </c>
      <c r="AV527">
        <v>4</v>
      </c>
      <c r="AW527">
        <v>2</v>
      </c>
      <c r="AX527">
        <v>2</v>
      </c>
      <c r="AY527" cm="1">
        <f t="array" ref="AY527">_xlfn.IFS(AZ527="Positive",1, AZ527="Negative",1, AZ527="Neutral",0)</f>
        <v>1</v>
      </c>
      <c r="AZ527" t="s">
        <v>199</v>
      </c>
      <c r="BA527">
        <v>12</v>
      </c>
      <c r="BB527">
        <v>0</v>
      </c>
      <c r="BC527" s="3">
        <v>10</v>
      </c>
      <c r="BD527" s="3">
        <v>0</v>
      </c>
      <c r="BE527" s="3">
        <v>2</v>
      </c>
      <c r="BF527" s="3">
        <v>0</v>
      </c>
      <c r="BG527" s="3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 t="s">
        <v>295</v>
      </c>
      <c r="BT527" t="s">
        <v>367</v>
      </c>
      <c r="BU527" t="s">
        <v>299</v>
      </c>
      <c r="BV527" t="s">
        <v>371</v>
      </c>
    </row>
    <row r="528" spans="1:74" s="1" customFormat="1" hidden="1" x14ac:dyDescent="0.2">
      <c r="A528">
        <v>543</v>
      </c>
      <c r="B528">
        <v>83</v>
      </c>
      <c r="C528" t="s">
        <v>160</v>
      </c>
      <c r="D528"/>
      <c r="E528" t="s">
        <v>68</v>
      </c>
      <c r="F528">
        <v>23</v>
      </c>
      <c r="G528">
        <v>1998</v>
      </c>
      <c r="H528">
        <v>24</v>
      </c>
      <c r="I528" t="s">
        <v>69</v>
      </c>
      <c r="J528">
        <v>2</v>
      </c>
      <c r="K528" t="s">
        <v>694</v>
      </c>
      <c r="L528" t="s">
        <v>662</v>
      </c>
      <c r="M528">
        <v>10</v>
      </c>
      <c r="N528">
        <v>68</v>
      </c>
      <c r="O528" t="s">
        <v>565</v>
      </c>
      <c r="P528" t="s">
        <v>314</v>
      </c>
      <c r="Q528" t="s">
        <v>774</v>
      </c>
      <c r="R528" t="s">
        <v>735</v>
      </c>
      <c r="S528" t="s">
        <v>378</v>
      </c>
      <c r="T528" t="s">
        <v>487</v>
      </c>
      <c r="U528" t="s">
        <v>566</v>
      </c>
      <c r="V528" t="s">
        <v>351</v>
      </c>
      <c r="W528" t="s">
        <v>198</v>
      </c>
      <c r="X528" t="s">
        <v>199</v>
      </c>
      <c r="Y528" t="s">
        <v>274</v>
      </c>
      <c r="Z528">
        <v>7</v>
      </c>
      <c r="AA528">
        <v>7</v>
      </c>
      <c r="AB528">
        <v>7</v>
      </c>
      <c r="AC528">
        <v>7</v>
      </c>
      <c r="AD528">
        <v>7</v>
      </c>
      <c r="AE528">
        <v>7</v>
      </c>
      <c r="AF528">
        <v>1</v>
      </c>
      <c r="AG528">
        <v>1</v>
      </c>
      <c r="AH528">
        <v>7</v>
      </c>
      <c r="AI528">
        <v>1</v>
      </c>
      <c r="AJ528">
        <v>7</v>
      </c>
      <c r="AK528">
        <v>7</v>
      </c>
      <c r="AL528">
        <v>6</v>
      </c>
      <c r="AM528">
        <v>1</v>
      </c>
      <c r="AN528">
        <v>192</v>
      </c>
      <c r="AO528">
        <v>1</v>
      </c>
      <c r="AP528">
        <v>7</v>
      </c>
      <c r="AQ528">
        <v>7</v>
      </c>
      <c r="AR528">
        <v>7</v>
      </c>
      <c r="AS528">
        <v>7</v>
      </c>
      <c r="AT528">
        <v>7</v>
      </c>
      <c r="AU528">
        <v>7</v>
      </c>
      <c r="AV528">
        <v>7</v>
      </c>
      <c r="AW528">
        <v>7</v>
      </c>
      <c r="AX528">
        <v>3</v>
      </c>
      <c r="AY528" cm="1">
        <f t="array" ref="AY528">_xlfn.IFS(AZ528="Positive",1, AZ528="Negative",1, AZ528="Neutral",0)</f>
        <v>1</v>
      </c>
      <c r="AZ528" t="s">
        <v>199</v>
      </c>
      <c r="BA528">
        <v>17</v>
      </c>
      <c r="BB528">
        <v>3</v>
      </c>
      <c r="BC528" s="3">
        <v>11</v>
      </c>
      <c r="BD528" s="3">
        <v>1</v>
      </c>
      <c r="BE528" s="3">
        <v>2</v>
      </c>
      <c r="BF528" s="3">
        <v>0</v>
      </c>
      <c r="BG528" s="3">
        <v>3</v>
      </c>
      <c r="BH528">
        <v>0</v>
      </c>
      <c r="BI528">
        <v>0</v>
      </c>
      <c r="BJ528">
        <v>3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 t="s">
        <v>295</v>
      </c>
      <c r="BT528">
        <v>4</v>
      </c>
      <c r="BU528" t="s">
        <v>299</v>
      </c>
      <c r="BV528" t="s">
        <v>590</v>
      </c>
    </row>
    <row r="529" spans="1:74" s="1" customFormat="1" x14ac:dyDescent="0.2">
      <c r="A529">
        <v>544</v>
      </c>
      <c r="B529">
        <v>84</v>
      </c>
      <c r="C529" t="s">
        <v>161</v>
      </c>
      <c r="D529"/>
      <c r="E529" t="s">
        <v>71</v>
      </c>
      <c r="F529">
        <v>7</v>
      </c>
      <c r="G529">
        <v>2001</v>
      </c>
      <c r="H529">
        <v>21</v>
      </c>
      <c r="I529" t="s">
        <v>69</v>
      </c>
      <c r="J529">
        <v>2</v>
      </c>
      <c r="K529" t="s">
        <v>667</v>
      </c>
      <c r="L529" t="s">
        <v>689</v>
      </c>
      <c r="M529">
        <v>12</v>
      </c>
      <c r="N529">
        <v>46</v>
      </c>
      <c r="O529" t="s">
        <v>481</v>
      </c>
      <c r="P529" t="s">
        <v>369</v>
      </c>
      <c r="Q529" t="s">
        <v>741</v>
      </c>
      <c r="R529" t="s">
        <v>769</v>
      </c>
      <c r="S529" t="s">
        <v>499</v>
      </c>
      <c r="T529" t="s">
        <v>457</v>
      </c>
      <c r="U529" t="s">
        <v>593</v>
      </c>
      <c r="V529" t="s">
        <v>374</v>
      </c>
      <c r="W529" t="s">
        <v>198</v>
      </c>
      <c r="X529" t="s">
        <v>199</v>
      </c>
      <c r="Y529" t="s">
        <v>274</v>
      </c>
      <c r="Z529">
        <v>2</v>
      </c>
      <c r="AA529">
        <v>2</v>
      </c>
      <c r="AB529">
        <v>3</v>
      </c>
      <c r="AC529">
        <v>2</v>
      </c>
      <c r="AD529">
        <v>1</v>
      </c>
      <c r="AE529">
        <v>1</v>
      </c>
      <c r="AF529">
        <v>1</v>
      </c>
      <c r="AG529">
        <v>6</v>
      </c>
      <c r="AH529">
        <v>2</v>
      </c>
      <c r="AI529">
        <v>1</v>
      </c>
      <c r="AJ529">
        <v>7</v>
      </c>
      <c r="AK529">
        <v>4</v>
      </c>
      <c r="AL529">
        <v>6</v>
      </c>
      <c r="AM529">
        <v>3</v>
      </c>
      <c r="AN529">
        <v>18</v>
      </c>
      <c r="AO529">
        <v>5</v>
      </c>
      <c r="AP529">
        <v>6</v>
      </c>
      <c r="AQ529">
        <v>2</v>
      </c>
      <c r="AR529">
        <v>1</v>
      </c>
      <c r="AS529">
        <v>3</v>
      </c>
      <c r="AT529">
        <v>1</v>
      </c>
      <c r="AU529">
        <v>2</v>
      </c>
      <c r="AV529">
        <v>4</v>
      </c>
      <c r="AW529">
        <v>3</v>
      </c>
      <c r="AX529">
        <v>3</v>
      </c>
      <c r="AY529" cm="1">
        <f t="array" ref="AY529">_xlfn.IFS(AZ529="Positive",1, AZ529="Negative",1, AZ529="Neutral",0)</f>
        <v>1</v>
      </c>
      <c r="AZ529" t="s">
        <v>199</v>
      </c>
      <c r="BA529">
        <v>0</v>
      </c>
      <c r="BB529">
        <v>3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>
        <v>0</v>
      </c>
      <c r="BI529">
        <v>0</v>
      </c>
      <c r="BJ529">
        <v>1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2</v>
      </c>
      <c r="BS529" t="s">
        <v>464</v>
      </c>
      <c r="BT529" t="s">
        <v>516</v>
      </c>
      <c r="BU529" t="s">
        <v>591</v>
      </c>
      <c r="BV529" t="s">
        <v>592</v>
      </c>
    </row>
    <row r="530" spans="1:74" s="1" customFormat="1" hidden="1" x14ac:dyDescent="0.2">
      <c r="A530">
        <v>545</v>
      </c>
      <c r="B530">
        <v>85</v>
      </c>
      <c r="C530" t="s">
        <v>162</v>
      </c>
      <c r="D530"/>
      <c r="E530" t="s">
        <v>97</v>
      </c>
      <c r="F530">
        <v>9</v>
      </c>
      <c r="G530">
        <v>1999</v>
      </c>
      <c r="H530">
        <v>23</v>
      </c>
      <c r="I530" t="s">
        <v>64</v>
      </c>
      <c r="J530">
        <v>1</v>
      </c>
      <c r="K530" t="s">
        <v>661</v>
      </c>
      <c r="L530" t="s">
        <v>647</v>
      </c>
      <c r="M530">
        <v>7</v>
      </c>
      <c r="N530">
        <v>75</v>
      </c>
      <c r="O530" t="s">
        <v>542</v>
      </c>
      <c r="P530" t="s">
        <v>542</v>
      </c>
      <c r="Q530" t="s">
        <v>734</v>
      </c>
      <c r="R530" t="s">
        <v>717</v>
      </c>
      <c r="S530" t="s">
        <v>430</v>
      </c>
      <c r="T530" t="s">
        <v>507</v>
      </c>
      <c r="U530" t="s">
        <v>552</v>
      </c>
      <c r="V530" t="s">
        <v>543</v>
      </c>
      <c r="W530" t="s">
        <v>198</v>
      </c>
      <c r="X530" t="s">
        <v>199</v>
      </c>
      <c r="Y530" t="s">
        <v>274</v>
      </c>
      <c r="Z530">
        <v>7</v>
      </c>
      <c r="AA530">
        <v>7</v>
      </c>
      <c r="AB530">
        <v>7</v>
      </c>
      <c r="AC530">
        <v>7</v>
      </c>
      <c r="AD530">
        <v>6</v>
      </c>
      <c r="AE530">
        <v>2</v>
      </c>
      <c r="AF530">
        <v>3</v>
      </c>
      <c r="AG530">
        <v>4</v>
      </c>
      <c r="AH530">
        <v>6</v>
      </c>
      <c r="AI530">
        <v>1</v>
      </c>
      <c r="AJ530">
        <v>7</v>
      </c>
      <c r="AK530">
        <v>7</v>
      </c>
      <c r="AL530">
        <v>5</v>
      </c>
      <c r="AM530">
        <v>1</v>
      </c>
      <c r="AN530">
        <v>5</v>
      </c>
      <c r="AO530">
        <v>2</v>
      </c>
      <c r="AP530">
        <v>7</v>
      </c>
      <c r="AQ530">
        <v>6</v>
      </c>
      <c r="AR530">
        <v>7</v>
      </c>
      <c r="AS530">
        <v>5</v>
      </c>
      <c r="AT530">
        <v>7</v>
      </c>
      <c r="AU530">
        <v>6</v>
      </c>
      <c r="AV530">
        <v>7</v>
      </c>
      <c r="AW530">
        <v>7</v>
      </c>
      <c r="AX530">
        <v>3</v>
      </c>
      <c r="AY530" cm="1">
        <f t="array" ref="AY530">_xlfn.IFS(AZ530="Positive",1, AZ530="Negative",1, AZ530="Neutral",0)</f>
        <v>1</v>
      </c>
      <c r="AZ530" t="s">
        <v>199</v>
      </c>
      <c r="BA530">
        <v>9</v>
      </c>
      <c r="BB530">
        <v>4</v>
      </c>
      <c r="BC530" s="3">
        <v>3</v>
      </c>
      <c r="BD530" s="3">
        <v>0</v>
      </c>
      <c r="BE530" s="3">
        <v>3</v>
      </c>
      <c r="BF530" s="3">
        <v>0</v>
      </c>
      <c r="BG530" s="3">
        <v>3</v>
      </c>
      <c r="BH530">
        <v>0</v>
      </c>
      <c r="BI530">
        <v>0</v>
      </c>
      <c r="BJ530">
        <v>4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 t="s">
        <v>567</v>
      </c>
      <c r="BT530" t="s">
        <v>475</v>
      </c>
      <c r="BU530" t="s">
        <v>569</v>
      </c>
      <c r="BV530" t="s">
        <v>476</v>
      </c>
    </row>
    <row r="531" spans="1:74" s="1" customFormat="1" hidden="1" x14ac:dyDescent="0.2">
      <c r="A531">
        <v>546</v>
      </c>
      <c r="B531">
        <v>86</v>
      </c>
      <c r="C531" t="s">
        <v>163</v>
      </c>
      <c r="D531"/>
      <c r="E531" t="s">
        <v>71</v>
      </c>
      <c r="F531">
        <v>10</v>
      </c>
      <c r="G531">
        <v>2000</v>
      </c>
      <c r="H531">
        <v>22</v>
      </c>
      <c r="I531" t="s">
        <v>164</v>
      </c>
      <c r="J531">
        <v>3</v>
      </c>
      <c r="K531" t="s">
        <v>694</v>
      </c>
      <c r="L531" t="s">
        <v>688</v>
      </c>
      <c r="M531">
        <v>5</v>
      </c>
      <c r="N531">
        <v>63</v>
      </c>
      <c r="O531" t="s">
        <v>353</v>
      </c>
      <c r="P531" t="s">
        <v>307</v>
      </c>
      <c r="Q531" t="s">
        <v>774</v>
      </c>
      <c r="R531" t="s">
        <v>768</v>
      </c>
      <c r="S531" t="s">
        <v>318</v>
      </c>
      <c r="T531" t="s">
        <v>477</v>
      </c>
      <c r="U531" t="s">
        <v>358</v>
      </c>
      <c r="V531" t="s">
        <v>312</v>
      </c>
      <c r="W531" t="s">
        <v>198</v>
      </c>
      <c r="X531" t="s">
        <v>199</v>
      </c>
      <c r="Y531" t="s">
        <v>274</v>
      </c>
      <c r="Z531">
        <v>7</v>
      </c>
      <c r="AA531">
        <v>7</v>
      </c>
      <c r="AB531">
        <v>7</v>
      </c>
      <c r="AC531">
        <v>7</v>
      </c>
      <c r="AD531">
        <v>7</v>
      </c>
      <c r="AE531">
        <v>7</v>
      </c>
      <c r="AF531">
        <v>7</v>
      </c>
      <c r="AG531">
        <v>5</v>
      </c>
      <c r="AH531">
        <v>7</v>
      </c>
      <c r="AI531">
        <v>1</v>
      </c>
      <c r="AJ531">
        <v>7</v>
      </c>
      <c r="AK531">
        <v>7</v>
      </c>
      <c r="AL531">
        <v>7</v>
      </c>
      <c r="AM531">
        <v>5</v>
      </c>
      <c r="AN531">
        <v>107</v>
      </c>
      <c r="AO531">
        <v>7</v>
      </c>
      <c r="AP531">
        <v>7</v>
      </c>
      <c r="AQ531">
        <v>7</v>
      </c>
      <c r="AR531">
        <v>6</v>
      </c>
      <c r="AS531">
        <v>6</v>
      </c>
      <c r="AT531">
        <v>6</v>
      </c>
      <c r="AU531">
        <v>6</v>
      </c>
      <c r="AV531">
        <v>6</v>
      </c>
      <c r="AW531">
        <v>7</v>
      </c>
      <c r="AX531">
        <v>3</v>
      </c>
      <c r="AY531" cm="1">
        <f t="array" ref="AY531">_xlfn.IFS(AZ531="Positive",1, AZ531="Negative",1, AZ531="Neutral",0)</f>
        <v>1</v>
      </c>
      <c r="AZ531" t="s">
        <v>199</v>
      </c>
      <c r="BA531">
        <v>3</v>
      </c>
      <c r="BB531">
        <v>4</v>
      </c>
      <c r="BC531" s="3">
        <v>0</v>
      </c>
      <c r="BD531" s="3">
        <v>0</v>
      </c>
      <c r="BE531" s="3">
        <v>1</v>
      </c>
      <c r="BF531" s="3">
        <v>0</v>
      </c>
      <c r="BG531" s="3">
        <v>2</v>
      </c>
      <c r="BH531">
        <v>0</v>
      </c>
      <c r="BI531">
        <v>0</v>
      </c>
      <c r="BJ531">
        <v>2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1</v>
      </c>
      <c r="BS531" t="s">
        <v>295</v>
      </c>
      <c r="BT531" t="s">
        <v>480</v>
      </c>
      <c r="BU531" t="s">
        <v>299</v>
      </c>
      <c r="BV531" t="s">
        <v>482</v>
      </c>
    </row>
    <row r="532" spans="1:74" s="1" customFormat="1" hidden="1" x14ac:dyDescent="0.2">
      <c r="A532">
        <v>547</v>
      </c>
      <c r="B532">
        <v>87</v>
      </c>
      <c r="C532" t="s">
        <v>165</v>
      </c>
      <c r="D532"/>
      <c r="E532" t="s">
        <v>68</v>
      </c>
      <c r="F532">
        <v>8</v>
      </c>
      <c r="G532">
        <v>1999</v>
      </c>
      <c r="H532">
        <v>23</v>
      </c>
      <c r="I532" t="s">
        <v>64</v>
      </c>
      <c r="J532">
        <v>1</v>
      </c>
      <c r="K532" t="s">
        <v>678</v>
      </c>
      <c r="L532" t="s">
        <v>654</v>
      </c>
      <c r="M532">
        <v>14</v>
      </c>
      <c r="N532">
        <v>57</v>
      </c>
      <c r="O532">
        <v>7</v>
      </c>
      <c r="P532">
        <v>7</v>
      </c>
      <c r="Q532" t="s">
        <v>757</v>
      </c>
      <c r="R532" t="s">
        <v>728</v>
      </c>
      <c r="S532" t="s">
        <v>550</v>
      </c>
      <c r="T532" t="s">
        <v>575</v>
      </c>
      <c r="U532" t="s">
        <v>508</v>
      </c>
      <c r="V532" t="s">
        <v>594</v>
      </c>
      <c r="W532" t="s">
        <v>198</v>
      </c>
      <c r="X532" t="s">
        <v>199</v>
      </c>
      <c r="Y532" t="s">
        <v>274</v>
      </c>
      <c r="Z532">
        <v>7</v>
      </c>
      <c r="AA532">
        <v>7</v>
      </c>
      <c r="AB532">
        <v>7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7</v>
      </c>
      <c r="AI532">
        <v>1</v>
      </c>
      <c r="AJ532">
        <v>7</v>
      </c>
      <c r="AK532">
        <v>7</v>
      </c>
      <c r="AL532">
        <v>7</v>
      </c>
      <c r="AM532">
        <v>1</v>
      </c>
      <c r="AN532">
        <v>3</v>
      </c>
      <c r="AO532">
        <v>1</v>
      </c>
      <c r="AP532">
        <v>7</v>
      </c>
      <c r="AQ532">
        <v>4</v>
      </c>
      <c r="AR532">
        <v>7</v>
      </c>
      <c r="AS532">
        <v>7</v>
      </c>
      <c r="AT532">
        <v>7</v>
      </c>
      <c r="AU532">
        <v>7</v>
      </c>
      <c r="AV532">
        <v>7</v>
      </c>
      <c r="AW532">
        <v>7</v>
      </c>
      <c r="AX532">
        <v>3</v>
      </c>
      <c r="AY532" cm="1">
        <f t="array" ref="AY532">_xlfn.IFS(AZ532="Positive",1, AZ532="Negative",1, AZ532="Neutral",0)</f>
        <v>1</v>
      </c>
      <c r="AZ532" t="s">
        <v>199</v>
      </c>
      <c r="BA532">
        <v>3</v>
      </c>
      <c r="BB532">
        <v>4</v>
      </c>
      <c r="BC532" s="3">
        <v>1</v>
      </c>
      <c r="BD532" s="3">
        <v>1</v>
      </c>
      <c r="BE532" s="3">
        <v>1</v>
      </c>
      <c r="BF532" s="3">
        <v>0</v>
      </c>
      <c r="BG532" s="3">
        <v>0</v>
      </c>
      <c r="BH532">
        <v>0</v>
      </c>
      <c r="BI532">
        <v>0</v>
      </c>
      <c r="BJ532">
        <v>3</v>
      </c>
      <c r="BK532">
        <v>1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 t="s">
        <v>405</v>
      </c>
      <c r="BT532" t="s">
        <v>276</v>
      </c>
      <c r="BU532" t="s">
        <v>406</v>
      </c>
      <c r="BV532" t="s">
        <v>280</v>
      </c>
    </row>
    <row r="533" spans="1:74" s="1" customFormat="1" hidden="1" x14ac:dyDescent="0.2">
      <c r="A533">
        <v>548</v>
      </c>
      <c r="B533">
        <v>88</v>
      </c>
      <c r="C533" t="s">
        <v>166</v>
      </c>
      <c r="D533"/>
      <c r="E533" t="s">
        <v>82</v>
      </c>
      <c r="F533">
        <v>1</v>
      </c>
      <c r="G533">
        <v>2000</v>
      </c>
      <c r="H533">
        <v>22</v>
      </c>
      <c r="I533" t="s">
        <v>64</v>
      </c>
      <c r="J533">
        <v>1</v>
      </c>
      <c r="K533" t="s">
        <v>644</v>
      </c>
      <c r="L533" t="s">
        <v>679</v>
      </c>
      <c r="M533">
        <v>11</v>
      </c>
      <c r="N533">
        <v>59</v>
      </c>
      <c r="O533" t="s">
        <v>394</v>
      </c>
      <c r="P533" t="s">
        <v>481</v>
      </c>
      <c r="Q533" t="s">
        <v>714</v>
      </c>
      <c r="R533" t="s">
        <v>758</v>
      </c>
      <c r="S533" t="s">
        <v>514</v>
      </c>
      <c r="T533" t="s">
        <v>341</v>
      </c>
      <c r="U533" t="s">
        <v>478</v>
      </c>
      <c r="V533" t="s">
        <v>483</v>
      </c>
      <c r="W533" t="s">
        <v>198</v>
      </c>
      <c r="X533" t="s">
        <v>199</v>
      </c>
      <c r="Y533" t="s">
        <v>274</v>
      </c>
      <c r="Z533">
        <v>2</v>
      </c>
      <c r="AA533">
        <v>2</v>
      </c>
      <c r="AB533">
        <v>4</v>
      </c>
      <c r="AC533">
        <v>1</v>
      </c>
      <c r="AD533">
        <v>1</v>
      </c>
      <c r="AE533">
        <v>1</v>
      </c>
      <c r="AF533">
        <v>1</v>
      </c>
      <c r="AG533">
        <v>3</v>
      </c>
      <c r="AH533">
        <v>2</v>
      </c>
      <c r="AI533">
        <v>1</v>
      </c>
      <c r="AJ533">
        <v>5</v>
      </c>
      <c r="AK533">
        <v>2</v>
      </c>
      <c r="AL533">
        <v>1</v>
      </c>
      <c r="AM533">
        <v>1</v>
      </c>
      <c r="AN533">
        <v>31</v>
      </c>
      <c r="AO533">
        <v>3</v>
      </c>
      <c r="AP533">
        <v>6</v>
      </c>
      <c r="AQ533">
        <v>2</v>
      </c>
      <c r="AR533">
        <v>3</v>
      </c>
      <c r="AS533">
        <v>3</v>
      </c>
      <c r="AT533">
        <v>4</v>
      </c>
      <c r="AU533">
        <v>4</v>
      </c>
      <c r="AV533">
        <v>1</v>
      </c>
      <c r="AW533">
        <v>2</v>
      </c>
      <c r="AX533">
        <v>3</v>
      </c>
      <c r="AY533" cm="1">
        <f t="array" ref="AY533">_xlfn.IFS(AZ533="Positive",1, AZ533="Negative",1, AZ533="Neutral",0)</f>
        <v>1</v>
      </c>
      <c r="AZ533" t="s">
        <v>199</v>
      </c>
      <c r="BA533">
        <v>6</v>
      </c>
      <c r="BB533">
        <v>3</v>
      </c>
      <c r="BC533" s="3">
        <v>3</v>
      </c>
      <c r="BD533" s="3">
        <v>0</v>
      </c>
      <c r="BE533" s="3">
        <v>1</v>
      </c>
      <c r="BF533" s="3">
        <v>0</v>
      </c>
      <c r="BG533" s="3">
        <v>2</v>
      </c>
      <c r="BH533">
        <v>0</v>
      </c>
      <c r="BI533">
        <v>0</v>
      </c>
      <c r="BJ533">
        <v>2</v>
      </c>
      <c r="BK533">
        <v>0</v>
      </c>
      <c r="BL533">
        <v>1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 t="s">
        <v>296</v>
      </c>
      <c r="BT533" t="s">
        <v>595</v>
      </c>
      <c r="BU533" t="s">
        <v>362</v>
      </c>
      <c r="BV533" t="s">
        <v>596</v>
      </c>
    </row>
    <row r="534" spans="1:74" s="1" customFormat="1" x14ac:dyDescent="0.2">
      <c r="A534">
        <v>549</v>
      </c>
      <c r="B534">
        <v>89</v>
      </c>
      <c r="C534" t="s">
        <v>167</v>
      </c>
      <c r="D534"/>
      <c r="E534" t="s">
        <v>88</v>
      </c>
      <c r="F534">
        <v>1</v>
      </c>
      <c r="G534">
        <v>2000</v>
      </c>
      <c r="H534">
        <v>22</v>
      </c>
      <c r="I534" t="s">
        <v>64</v>
      </c>
      <c r="J534">
        <v>1</v>
      </c>
      <c r="K534" t="s">
        <v>655</v>
      </c>
      <c r="L534" t="s">
        <v>647</v>
      </c>
      <c r="M534">
        <v>4</v>
      </c>
      <c r="N534">
        <v>69</v>
      </c>
      <c r="O534" t="s">
        <v>325</v>
      </c>
      <c r="P534" t="s">
        <v>307</v>
      </c>
      <c r="Q534" t="s">
        <v>725</v>
      </c>
      <c r="R534" t="s">
        <v>717</v>
      </c>
      <c r="S534" t="s">
        <v>396</v>
      </c>
      <c r="T534" t="s">
        <v>357</v>
      </c>
      <c r="U534" t="s">
        <v>597</v>
      </c>
      <c r="V534" t="s">
        <v>312</v>
      </c>
      <c r="W534" t="s">
        <v>198</v>
      </c>
      <c r="X534" t="s">
        <v>199</v>
      </c>
      <c r="Y534" t="s">
        <v>274</v>
      </c>
      <c r="Z534">
        <v>5</v>
      </c>
      <c r="AA534">
        <v>5</v>
      </c>
      <c r="AB534">
        <v>7</v>
      </c>
      <c r="AC534">
        <v>5</v>
      </c>
      <c r="AD534">
        <v>6</v>
      </c>
      <c r="AE534">
        <v>4</v>
      </c>
      <c r="AF534">
        <v>1</v>
      </c>
      <c r="AG534">
        <v>1</v>
      </c>
      <c r="AH534">
        <v>6</v>
      </c>
      <c r="AI534">
        <v>1</v>
      </c>
      <c r="AJ534">
        <v>7</v>
      </c>
      <c r="AK534">
        <v>6</v>
      </c>
      <c r="AL534">
        <v>7</v>
      </c>
      <c r="AM534">
        <v>6</v>
      </c>
      <c r="AN534">
        <v>71</v>
      </c>
      <c r="AO534">
        <v>2</v>
      </c>
      <c r="AP534">
        <v>6</v>
      </c>
      <c r="AQ534">
        <v>6</v>
      </c>
      <c r="AR534">
        <v>4</v>
      </c>
      <c r="AS534">
        <v>4</v>
      </c>
      <c r="AT534">
        <v>5</v>
      </c>
      <c r="AU534">
        <v>4</v>
      </c>
      <c r="AV534">
        <v>6</v>
      </c>
      <c r="AW534">
        <v>5</v>
      </c>
      <c r="AX534">
        <v>3</v>
      </c>
      <c r="AY534" cm="1">
        <f t="array" ref="AY534">_xlfn.IFS(AZ534="Positive",1, AZ534="Negative",1, AZ534="Neutral",0)</f>
        <v>1</v>
      </c>
      <c r="AZ534" t="s">
        <v>199</v>
      </c>
      <c r="BA534">
        <v>0</v>
      </c>
      <c r="BB534">
        <v>2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>
        <v>0</v>
      </c>
      <c r="BI534">
        <v>0</v>
      </c>
      <c r="BJ534">
        <v>2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 t="s">
        <v>567</v>
      </c>
      <c r="BT534" t="s">
        <v>475</v>
      </c>
      <c r="BU534" t="s">
        <v>569</v>
      </c>
      <c r="BV534" t="s">
        <v>476</v>
      </c>
    </row>
    <row r="535" spans="1:74" s="1" customFormat="1" x14ac:dyDescent="0.2">
      <c r="A535">
        <v>550</v>
      </c>
      <c r="B535">
        <v>90</v>
      </c>
      <c r="C535" t="s">
        <v>168</v>
      </c>
      <c r="D535"/>
      <c r="E535" t="s">
        <v>88</v>
      </c>
      <c r="F535">
        <v>18</v>
      </c>
      <c r="G535">
        <v>1999</v>
      </c>
      <c r="H535">
        <v>23</v>
      </c>
      <c r="I535" t="s">
        <v>64</v>
      </c>
      <c r="J535">
        <v>1</v>
      </c>
      <c r="K535" t="s">
        <v>637</v>
      </c>
      <c r="L535" t="s">
        <v>647</v>
      </c>
      <c r="M535">
        <v>16</v>
      </c>
      <c r="N535">
        <v>53</v>
      </c>
      <c r="O535" t="s">
        <v>598</v>
      </c>
      <c r="P535" t="s">
        <v>481</v>
      </c>
      <c r="Q535" t="s">
        <v>706</v>
      </c>
      <c r="R535" t="s">
        <v>717</v>
      </c>
      <c r="S535" t="s">
        <v>588</v>
      </c>
      <c r="T535" t="s">
        <v>522</v>
      </c>
      <c r="U535" t="s">
        <v>599</v>
      </c>
      <c r="V535" t="s">
        <v>483</v>
      </c>
      <c r="W535" t="s">
        <v>198</v>
      </c>
      <c r="X535" t="s">
        <v>199</v>
      </c>
      <c r="Y535" t="s">
        <v>274</v>
      </c>
      <c r="Z535">
        <v>5</v>
      </c>
      <c r="AA535">
        <v>1</v>
      </c>
      <c r="AB535">
        <v>6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5</v>
      </c>
      <c r="AI535">
        <v>1</v>
      </c>
      <c r="AJ535">
        <v>6</v>
      </c>
      <c r="AK535">
        <v>6</v>
      </c>
      <c r="AL535">
        <v>7</v>
      </c>
      <c r="AM535">
        <v>1</v>
      </c>
      <c r="AN535">
        <v>24</v>
      </c>
      <c r="AO535">
        <v>1</v>
      </c>
      <c r="AP535">
        <v>4</v>
      </c>
      <c r="AQ535">
        <v>4</v>
      </c>
      <c r="AR535">
        <v>6</v>
      </c>
      <c r="AS535">
        <v>6</v>
      </c>
      <c r="AT535">
        <v>6</v>
      </c>
      <c r="AU535">
        <v>6</v>
      </c>
      <c r="AV535">
        <v>5</v>
      </c>
      <c r="AW535">
        <v>6</v>
      </c>
      <c r="AX535">
        <v>2</v>
      </c>
      <c r="AY535" cm="1">
        <f t="array" ref="AY535">_xlfn.IFS(AZ535="Positive",1, AZ535="Negative",1, AZ535="Neutral",0)</f>
        <v>1</v>
      </c>
      <c r="AZ535" t="s">
        <v>199</v>
      </c>
      <c r="BA535">
        <v>0</v>
      </c>
      <c r="BB535">
        <v>1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>
        <v>0</v>
      </c>
      <c r="BI535">
        <v>0</v>
      </c>
      <c r="BJ535">
        <v>0</v>
      </c>
      <c r="BK535">
        <v>0</v>
      </c>
      <c r="BL535">
        <v>1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 t="s">
        <v>285</v>
      </c>
      <c r="BT535" t="s">
        <v>548</v>
      </c>
      <c r="BU535" t="s">
        <v>289</v>
      </c>
      <c r="BV535" t="s">
        <v>549</v>
      </c>
    </row>
    <row r="536" spans="1:74" s="1" customFormat="1" hidden="1" x14ac:dyDescent="0.2">
      <c r="A536">
        <v>551</v>
      </c>
      <c r="B536">
        <v>91</v>
      </c>
      <c r="C536" t="s">
        <v>169</v>
      </c>
      <c r="D536"/>
      <c r="E536" t="s">
        <v>88</v>
      </c>
      <c r="F536">
        <v>15</v>
      </c>
      <c r="G536">
        <v>1999</v>
      </c>
      <c r="H536">
        <v>23</v>
      </c>
      <c r="I536" t="s">
        <v>69</v>
      </c>
      <c r="J536">
        <v>2</v>
      </c>
      <c r="K536" t="s">
        <v>642</v>
      </c>
      <c r="L536" t="s">
        <v>634</v>
      </c>
      <c r="M536">
        <v>19</v>
      </c>
      <c r="N536">
        <v>66</v>
      </c>
      <c r="O536" t="s">
        <v>600</v>
      </c>
      <c r="P536">
        <v>5</v>
      </c>
      <c r="Q536" t="s">
        <v>712</v>
      </c>
      <c r="R536" t="s">
        <v>747</v>
      </c>
      <c r="S536" t="s">
        <v>356</v>
      </c>
      <c r="T536" t="s">
        <v>282</v>
      </c>
      <c r="U536" t="s">
        <v>601</v>
      </c>
      <c r="V536" t="s">
        <v>524</v>
      </c>
      <c r="W536" t="s">
        <v>198</v>
      </c>
      <c r="X536" t="s">
        <v>199</v>
      </c>
      <c r="Y536" t="s">
        <v>274</v>
      </c>
      <c r="Z536">
        <v>4</v>
      </c>
      <c r="AA536">
        <v>4</v>
      </c>
      <c r="AB536">
        <v>5</v>
      </c>
      <c r="AC536">
        <v>2</v>
      </c>
      <c r="AD536">
        <v>1</v>
      </c>
      <c r="AE536">
        <v>5</v>
      </c>
      <c r="AF536">
        <v>5</v>
      </c>
      <c r="AG536">
        <v>4</v>
      </c>
      <c r="AH536">
        <v>3</v>
      </c>
      <c r="AI536">
        <v>5</v>
      </c>
      <c r="AJ536">
        <v>2</v>
      </c>
      <c r="AK536">
        <v>2</v>
      </c>
      <c r="AL536">
        <v>2</v>
      </c>
      <c r="AM536">
        <v>2</v>
      </c>
      <c r="AN536">
        <v>72</v>
      </c>
      <c r="AO536">
        <v>4</v>
      </c>
      <c r="AP536">
        <v>6</v>
      </c>
      <c r="AQ536">
        <v>3</v>
      </c>
      <c r="AR536">
        <v>4</v>
      </c>
      <c r="AS536">
        <v>4</v>
      </c>
      <c r="AT536">
        <v>4</v>
      </c>
      <c r="AU536">
        <v>6</v>
      </c>
      <c r="AV536">
        <v>6</v>
      </c>
      <c r="AW536">
        <v>2</v>
      </c>
      <c r="AX536">
        <v>3</v>
      </c>
      <c r="AY536" cm="1">
        <f t="array" ref="AY536">_xlfn.IFS(AZ536="Positive",1, AZ536="Negative",1, AZ536="Neutral",0)</f>
        <v>1</v>
      </c>
      <c r="AZ536" t="s">
        <v>199</v>
      </c>
      <c r="BA536">
        <v>2</v>
      </c>
      <c r="BB536">
        <v>4</v>
      </c>
      <c r="BC536" s="3">
        <v>1</v>
      </c>
      <c r="BD536" s="3">
        <v>0</v>
      </c>
      <c r="BE536" s="3">
        <v>1</v>
      </c>
      <c r="BF536" s="3">
        <v>0</v>
      </c>
      <c r="BG536" s="3">
        <v>0</v>
      </c>
      <c r="BH536">
        <v>0</v>
      </c>
      <c r="BI536">
        <v>0</v>
      </c>
      <c r="BJ536">
        <v>3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1</v>
      </c>
      <c r="BR536">
        <v>0</v>
      </c>
      <c r="BS536" t="s">
        <v>492</v>
      </c>
      <c r="BT536" t="s">
        <v>489</v>
      </c>
      <c r="BU536" t="s">
        <v>586</v>
      </c>
      <c r="BV536" t="s">
        <v>512</v>
      </c>
    </row>
    <row r="537" spans="1:74" s="1" customFormat="1" hidden="1" x14ac:dyDescent="0.2">
      <c r="A537">
        <v>552</v>
      </c>
      <c r="B537">
        <v>92</v>
      </c>
      <c r="C537" t="s">
        <v>170</v>
      </c>
      <c r="D537"/>
      <c r="E537" t="s">
        <v>68</v>
      </c>
      <c r="F537">
        <v>24</v>
      </c>
      <c r="G537">
        <v>1999</v>
      </c>
      <c r="H537">
        <v>23</v>
      </c>
      <c r="I537" t="s">
        <v>69</v>
      </c>
      <c r="J537">
        <v>2</v>
      </c>
      <c r="K537" t="s">
        <v>687</v>
      </c>
      <c r="L537" t="s">
        <v>669</v>
      </c>
      <c r="M537">
        <v>6</v>
      </c>
      <c r="N537">
        <v>50</v>
      </c>
      <c r="O537" t="s">
        <v>360</v>
      </c>
      <c r="P537" t="s">
        <v>442</v>
      </c>
      <c r="Q537" t="s">
        <v>767</v>
      </c>
      <c r="R537" t="s">
        <v>745</v>
      </c>
      <c r="S537" t="s">
        <v>403</v>
      </c>
      <c r="T537" t="s">
        <v>538</v>
      </c>
      <c r="U537" t="s">
        <v>365</v>
      </c>
      <c r="V537" t="s">
        <v>602</v>
      </c>
      <c r="W537" t="s">
        <v>198</v>
      </c>
      <c r="X537" t="s">
        <v>199</v>
      </c>
      <c r="Y537" t="s">
        <v>274</v>
      </c>
      <c r="Z537">
        <v>2</v>
      </c>
      <c r="AA537">
        <v>2</v>
      </c>
      <c r="AB537">
        <v>2</v>
      </c>
      <c r="AC537">
        <v>3</v>
      </c>
      <c r="AD537">
        <v>2</v>
      </c>
      <c r="AE537">
        <v>2</v>
      </c>
      <c r="AF537">
        <v>4</v>
      </c>
      <c r="AG537">
        <v>2</v>
      </c>
      <c r="AH537">
        <v>4</v>
      </c>
      <c r="AI537">
        <v>2</v>
      </c>
      <c r="AJ537">
        <v>6</v>
      </c>
      <c r="AK537">
        <v>6</v>
      </c>
      <c r="AL537">
        <v>6</v>
      </c>
      <c r="AM537">
        <v>1</v>
      </c>
      <c r="AN537">
        <v>30</v>
      </c>
      <c r="AO537">
        <v>2</v>
      </c>
      <c r="AP537">
        <v>6</v>
      </c>
      <c r="AQ537">
        <v>5</v>
      </c>
      <c r="AR537">
        <v>1</v>
      </c>
      <c r="AS537">
        <v>6</v>
      </c>
      <c r="AT537">
        <v>6</v>
      </c>
      <c r="AU537">
        <v>6</v>
      </c>
      <c r="AV537">
        <v>7</v>
      </c>
      <c r="AW537">
        <v>5</v>
      </c>
      <c r="AX537">
        <v>3</v>
      </c>
      <c r="AY537" cm="1">
        <f t="array" ref="AY537">_xlfn.IFS(AZ537="Positive",1, AZ537="Negative",1, AZ537="Neutral",0)</f>
        <v>1</v>
      </c>
      <c r="AZ537" t="s">
        <v>199</v>
      </c>
      <c r="BA537">
        <v>8</v>
      </c>
      <c r="BB537">
        <v>1</v>
      </c>
      <c r="BC537" s="3">
        <v>5</v>
      </c>
      <c r="BD537" s="3">
        <v>2</v>
      </c>
      <c r="BE537" s="3">
        <v>1</v>
      </c>
      <c r="BF537" s="3">
        <v>0</v>
      </c>
      <c r="BG537" s="3">
        <v>0</v>
      </c>
      <c r="BH537">
        <v>0</v>
      </c>
      <c r="BI537">
        <v>0</v>
      </c>
      <c r="BJ537">
        <v>1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 t="s">
        <v>467</v>
      </c>
      <c r="BT537" t="s">
        <v>475</v>
      </c>
      <c r="BU537" t="s">
        <v>469</v>
      </c>
      <c r="BV537" t="s">
        <v>476</v>
      </c>
    </row>
    <row r="538" spans="1:74" s="1" customFormat="1" hidden="1" x14ac:dyDescent="0.2">
      <c r="A538">
        <v>553</v>
      </c>
      <c r="B538">
        <v>93</v>
      </c>
      <c r="C538" t="s">
        <v>171</v>
      </c>
      <c r="D538"/>
      <c r="E538" t="s">
        <v>82</v>
      </c>
      <c r="F538">
        <v>4</v>
      </c>
      <c r="G538">
        <v>1998</v>
      </c>
      <c r="H538">
        <v>24</v>
      </c>
      <c r="I538" t="s">
        <v>64</v>
      </c>
      <c r="J538">
        <v>1</v>
      </c>
      <c r="K538" t="s">
        <v>695</v>
      </c>
      <c r="L538" t="s">
        <v>675</v>
      </c>
      <c r="M538">
        <v>9</v>
      </c>
      <c r="N538">
        <v>62</v>
      </c>
      <c r="O538" t="s">
        <v>324</v>
      </c>
      <c r="P538" t="s">
        <v>389</v>
      </c>
      <c r="Q538" t="s">
        <v>781</v>
      </c>
      <c r="R538" t="s">
        <v>754</v>
      </c>
      <c r="S538" t="s">
        <v>349</v>
      </c>
      <c r="T538" t="s">
        <v>319</v>
      </c>
      <c r="U538" t="s">
        <v>330</v>
      </c>
      <c r="V538" t="s">
        <v>392</v>
      </c>
      <c r="W538" t="s">
        <v>198</v>
      </c>
      <c r="X538" t="s">
        <v>199</v>
      </c>
      <c r="Y538" t="s">
        <v>274</v>
      </c>
      <c r="Z538">
        <v>5</v>
      </c>
      <c r="AA538">
        <v>5</v>
      </c>
      <c r="AB538">
        <v>5</v>
      </c>
      <c r="AC538">
        <v>5</v>
      </c>
      <c r="AD538">
        <v>3</v>
      </c>
      <c r="AE538">
        <v>5</v>
      </c>
      <c r="AF538">
        <v>4</v>
      </c>
      <c r="AG538">
        <v>4</v>
      </c>
      <c r="AH538">
        <v>4</v>
      </c>
      <c r="AI538">
        <v>1</v>
      </c>
      <c r="AJ538">
        <v>5</v>
      </c>
      <c r="AK538">
        <v>2</v>
      </c>
      <c r="AL538">
        <v>1</v>
      </c>
      <c r="AM538">
        <v>4</v>
      </c>
      <c r="AN538">
        <v>48</v>
      </c>
      <c r="AO538">
        <v>5</v>
      </c>
      <c r="AP538">
        <v>5</v>
      </c>
      <c r="AQ538">
        <v>4</v>
      </c>
      <c r="AR538">
        <v>4</v>
      </c>
      <c r="AS538">
        <v>6</v>
      </c>
      <c r="AT538">
        <v>6</v>
      </c>
      <c r="AU538">
        <v>6</v>
      </c>
      <c r="AV538">
        <v>6</v>
      </c>
      <c r="AW538">
        <v>6</v>
      </c>
      <c r="AX538">
        <v>2</v>
      </c>
      <c r="AY538" cm="1">
        <f t="array" ref="AY538">_xlfn.IFS(AZ538="Positive",1, AZ538="Negative",1, AZ538="Neutral",0)</f>
        <v>1</v>
      </c>
      <c r="AZ538" t="s">
        <v>199</v>
      </c>
      <c r="BA538">
        <v>7</v>
      </c>
      <c r="BB538">
        <v>3</v>
      </c>
      <c r="BC538" s="3">
        <v>4</v>
      </c>
      <c r="BD538" s="3">
        <v>1</v>
      </c>
      <c r="BE538" s="3">
        <v>1</v>
      </c>
      <c r="BF538" s="3">
        <v>0</v>
      </c>
      <c r="BG538" s="3">
        <v>1</v>
      </c>
      <c r="BH538">
        <v>0</v>
      </c>
      <c r="BI538">
        <v>0</v>
      </c>
      <c r="BJ538">
        <v>3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 t="s">
        <v>276</v>
      </c>
      <c r="BT538" t="s">
        <v>492</v>
      </c>
      <c r="BU538" t="s">
        <v>631</v>
      </c>
      <c r="BV538" t="s">
        <v>494</v>
      </c>
    </row>
    <row r="539" spans="1:74" s="1" customFormat="1" x14ac:dyDescent="0.2">
      <c r="A539">
        <v>554</v>
      </c>
      <c r="B539">
        <v>94</v>
      </c>
      <c r="C539" t="s">
        <v>172</v>
      </c>
      <c r="D539"/>
      <c r="E539" t="s">
        <v>80</v>
      </c>
      <c r="F539">
        <v>15</v>
      </c>
      <c r="G539">
        <v>1999</v>
      </c>
      <c r="H539">
        <v>23</v>
      </c>
      <c r="I539" t="s">
        <v>64</v>
      </c>
      <c r="J539">
        <v>1</v>
      </c>
      <c r="K539" t="s">
        <v>655</v>
      </c>
      <c r="L539" t="s">
        <v>665</v>
      </c>
      <c r="M539">
        <v>10</v>
      </c>
      <c r="N539">
        <v>56</v>
      </c>
      <c r="O539" t="s">
        <v>306</v>
      </c>
      <c r="P539" t="s">
        <v>603</v>
      </c>
      <c r="Q539" t="s">
        <v>725</v>
      </c>
      <c r="R539" t="s">
        <v>739</v>
      </c>
      <c r="S539" t="s">
        <v>378</v>
      </c>
      <c r="T539" t="s">
        <v>423</v>
      </c>
      <c r="U539" t="s">
        <v>311</v>
      </c>
      <c r="V539" t="s">
        <v>604</v>
      </c>
      <c r="W539" t="s">
        <v>198</v>
      </c>
      <c r="X539" t="s">
        <v>199</v>
      </c>
      <c r="Y539" t="s">
        <v>274</v>
      </c>
      <c r="Z539">
        <v>7</v>
      </c>
      <c r="AA539">
        <v>7</v>
      </c>
      <c r="AB539">
        <v>7</v>
      </c>
      <c r="AC539">
        <v>1</v>
      </c>
      <c r="AD539">
        <v>2</v>
      </c>
      <c r="AE539">
        <v>1</v>
      </c>
      <c r="AF539">
        <v>2</v>
      </c>
      <c r="AG539">
        <v>1</v>
      </c>
      <c r="AH539">
        <v>7</v>
      </c>
      <c r="AI539">
        <v>1</v>
      </c>
      <c r="AJ539">
        <v>7</v>
      </c>
      <c r="AK539">
        <v>7</v>
      </c>
      <c r="AL539">
        <v>7</v>
      </c>
      <c r="AM539">
        <v>4</v>
      </c>
      <c r="AN539">
        <v>24</v>
      </c>
      <c r="AO539">
        <v>1</v>
      </c>
      <c r="AP539">
        <v>7</v>
      </c>
      <c r="AQ539">
        <v>7</v>
      </c>
      <c r="AR539">
        <v>7</v>
      </c>
      <c r="AS539">
        <v>7</v>
      </c>
      <c r="AT539">
        <v>7</v>
      </c>
      <c r="AU539">
        <v>7</v>
      </c>
      <c r="AV539">
        <v>7</v>
      </c>
      <c r="AW539">
        <v>7</v>
      </c>
      <c r="AX539">
        <v>3</v>
      </c>
      <c r="AY539" cm="1">
        <f t="array" ref="AY539">_xlfn.IFS(AZ539="Positive",1, AZ539="Negative",1, AZ539="Neutral",0)</f>
        <v>1</v>
      </c>
      <c r="AZ539" t="s">
        <v>199</v>
      </c>
      <c r="BA539">
        <v>0</v>
      </c>
      <c r="BB539">
        <v>2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>
        <v>0</v>
      </c>
      <c r="BI539">
        <v>0</v>
      </c>
      <c r="BJ539">
        <v>2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4</v>
      </c>
      <c r="BT539" t="s">
        <v>322</v>
      </c>
      <c r="BU539" t="s">
        <v>370</v>
      </c>
      <c r="BV539" t="s">
        <v>422</v>
      </c>
    </row>
    <row r="540" spans="1:74" s="1" customFormat="1" hidden="1" x14ac:dyDescent="0.2">
      <c r="A540">
        <v>555</v>
      </c>
      <c r="B540">
        <v>95</v>
      </c>
      <c r="C540" t="s">
        <v>173</v>
      </c>
      <c r="D540"/>
      <c r="E540" t="s">
        <v>71</v>
      </c>
      <c r="F540">
        <v>29</v>
      </c>
      <c r="G540">
        <v>1999</v>
      </c>
      <c r="H540">
        <v>23</v>
      </c>
      <c r="I540" t="s">
        <v>64</v>
      </c>
      <c r="J540">
        <v>1</v>
      </c>
      <c r="K540" t="s">
        <v>696</v>
      </c>
      <c r="L540" t="s">
        <v>697</v>
      </c>
      <c r="M540">
        <v>8</v>
      </c>
      <c r="N540">
        <v>54</v>
      </c>
      <c r="O540" t="s">
        <v>485</v>
      </c>
      <c r="P540" t="s">
        <v>338</v>
      </c>
      <c r="Q540" t="s">
        <v>775</v>
      </c>
      <c r="R540" t="s">
        <v>776</v>
      </c>
      <c r="S540" t="s">
        <v>291</v>
      </c>
      <c r="T540" t="s">
        <v>455</v>
      </c>
      <c r="U540" t="s">
        <v>488</v>
      </c>
      <c r="V540" t="s">
        <v>504</v>
      </c>
      <c r="W540" t="s">
        <v>198</v>
      </c>
      <c r="X540" t="s">
        <v>199</v>
      </c>
      <c r="Y540" t="s">
        <v>274</v>
      </c>
      <c r="Z540">
        <v>5</v>
      </c>
      <c r="AA540">
        <v>4</v>
      </c>
      <c r="AB540">
        <v>5</v>
      </c>
      <c r="AC540">
        <v>5</v>
      </c>
      <c r="AD540">
        <v>2</v>
      </c>
      <c r="AE540">
        <v>2</v>
      </c>
      <c r="AF540">
        <v>2</v>
      </c>
      <c r="AG540">
        <v>3</v>
      </c>
      <c r="AH540">
        <v>5</v>
      </c>
      <c r="AI540">
        <v>1</v>
      </c>
      <c r="AJ540">
        <v>6</v>
      </c>
      <c r="AK540">
        <v>4</v>
      </c>
      <c r="AL540">
        <v>5</v>
      </c>
      <c r="AM540">
        <v>2</v>
      </c>
      <c r="AN540">
        <v>58</v>
      </c>
      <c r="AO540">
        <v>3</v>
      </c>
      <c r="AP540">
        <v>6</v>
      </c>
      <c r="AQ540">
        <v>5</v>
      </c>
      <c r="AR540">
        <v>4</v>
      </c>
      <c r="AS540">
        <v>4</v>
      </c>
      <c r="AT540">
        <v>4</v>
      </c>
      <c r="AU540">
        <v>6</v>
      </c>
      <c r="AV540">
        <v>5</v>
      </c>
      <c r="AW540">
        <v>6</v>
      </c>
      <c r="AX540">
        <v>3</v>
      </c>
      <c r="AY540" cm="1">
        <f t="array" ref="AY540">_xlfn.IFS(AZ540="Positive",1, AZ540="Negative",1, AZ540="Neutral",0)</f>
        <v>1</v>
      </c>
      <c r="AZ540" t="s">
        <v>199</v>
      </c>
      <c r="BA540">
        <v>8</v>
      </c>
      <c r="BB540">
        <v>0</v>
      </c>
      <c r="BC540" s="3">
        <v>5</v>
      </c>
      <c r="BD540" s="3">
        <v>0</v>
      </c>
      <c r="BE540" s="3">
        <v>1</v>
      </c>
      <c r="BF540" s="3">
        <v>1</v>
      </c>
      <c r="BG540" s="3">
        <v>1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2</v>
      </c>
      <c r="BT540" t="s">
        <v>605</v>
      </c>
      <c r="BU540" t="s">
        <v>333</v>
      </c>
      <c r="BV540" t="s">
        <v>606</v>
      </c>
    </row>
    <row r="541" spans="1:74" s="1" customFormat="1" hidden="1" x14ac:dyDescent="0.2">
      <c r="A541">
        <v>558</v>
      </c>
      <c r="B541">
        <v>98</v>
      </c>
      <c r="C541" t="s">
        <v>176</v>
      </c>
      <c r="D541"/>
      <c r="E541" t="s">
        <v>76</v>
      </c>
      <c r="F541">
        <v>23</v>
      </c>
      <c r="G541">
        <v>2001</v>
      </c>
      <c r="H541">
        <v>21</v>
      </c>
      <c r="I541" t="s">
        <v>64</v>
      </c>
      <c r="J541">
        <v>1</v>
      </c>
      <c r="K541" t="s">
        <v>456</v>
      </c>
      <c r="L541" t="s">
        <v>645</v>
      </c>
      <c r="M541">
        <v>12</v>
      </c>
      <c r="N541">
        <v>71</v>
      </c>
      <c r="O541" t="s">
        <v>405</v>
      </c>
      <c r="P541" t="s">
        <v>314</v>
      </c>
      <c r="Q541" t="s">
        <v>736</v>
      </c>
      <c r="R541" t="s">
        <v>715</v>
      </c>
      <c r="S541" t="s">
        <v>499</v>
      </c>
      <c r="T541" t="s">
        <v>329</v>
      </c>
      <c r="U541" t="s">
        <v>615</v>
      </c>
      <c r="V541" t="s">
        <v>351</v>
      </c>
      <c r="W541" t="s">
        <v>198</v>
      </c>
      <c r="X541" t="s">
        <v>199</v>
      </c>
      <c r="Y541" t="s">
        <v>274</v>
      </c>
      <c r="Z541">
        <v>4</v>
      </c>
      <c r="AA541">
        <v>2</v>
      </c>
      <c r="AB541">
        <v>5</v>
      </c>
      <c r="AC541">
        <v>7</v>
      </c>
      <c r="AD541">
        <v>1</v>
      </c>
      <c r="AE541">
        <v>1</v>
      </c>
      <c r="AF541">
        <v>6</v>
      </c>
      <c r="AG541">
        <v>3</v>
      </c>
      <c r="AH541">
        <v>7</v>
      </c>
      <c r="AI541">
        <v>1</v>
      </c>
      <c r="AJ541">
        <v>7</v>
      </c>
      <c r="AK541">
        <v>5</v>
      </c>
      <c r="AL541">
        <v>5</v>
      </c>
      <c r="AM541">
        <v>2</v>
      </c>
      <c r="AN541">
        <v>36</v>
      </c>
      <c r="AO541">
        <v>7</v>
      </c>
      <c r="AP541">
        <v>7</v>
      </c>
      <c r="AQ541">
        <v>7</v>
      </c>
      <c r="AR541">
        <v>6</v>
      </c>
      <c r="AS541">
        <v>6</v>
      </c>
      <c r="AT541">
        <v>2</v>
      </c>
      <c r="AU541">
        <v>6</v>
      </c>
      <c r="AV541">
        <v>7</v>
      </c>
      <c r="AW541">
        <v>1</v>
      </c>
      <c r="AX541">
        <v>3</v>
      </c>
      <c r="AY541" cm="1">
        <f t="array" ref="AY541">_xlfn.IFS(AZ541="Positive",1, AZ541="Negative",1, AZ541="Neutral",0)</f>
        <v>1</v>
      </c>
      <c r="AZ541" t="s">
        <v>199</v>
      </c>
      <c r="BA541">
        <v>9</v>
      </c>
      <c r="BB541">
        <v>0</v>
      </c>
      <c r="BC541" s="3">
        <v>6</v>
      </c>
      <c r="BD541" s="3">
        <v>1</v>
      </c>
      <c r="BE541" s="3">
        <v>2</v>
      </c>
      <c r="BF541" s="3">
        <v>0</v>
      </c>
      <c r="BG541" s="3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 t="s">
        <v>613</v>
      </c>
      <c r="BT541" t="s">
        <v>576</v>
      </c>
      <c r="BU541" t="s">
        <v>614</v>
      </c>
      <c r="BV541" t="s">
        <v>577</v>
      </c>
    </row>
    <row r="542" spans="1:74" s="1" customFormat="1" hidden="1" x14ac:dyDescent="0.2">
      <c r="A542">
        <v>559</v>
      </c>
      <c r="B542">
        <v>99</v>
      </c>
      <c r="C542" t="s">
        <v>177</v>
      </c>
      <c r="D542"/>
      <c r="E542" t="s">
        <v>97</v>
      </c>
      <c r="F542">
        <v>14</v>
      </c>
      <c r="G542">
        <v>2001</v>
      </c>
      <c r="H542">
        <v>21</v>
      </c>
      <c r="I542" t="s">
        <v>64</v>
      </c>
      <c r="J542">
        <v>1</v>
      </c>
      <c r="K542" t="s">
        <v>655</v>
      </c>
      <c r="L542" t="s">
        <v>670</v>
      </c>
      <c r="M542">
        <v>8</v>
      </c>
      <c r="N542">
        <v>49</v>
      </c>
      <c r="O542" t="s">
        <v>600</v>
      </c>
      <c r="P542" t="s">
        <v>277</v>
      </c>
      <c r="Q542" t="s">
        <v>725</v>
      </c>
      <c r="R542" t="s">
        <v>746</v>
      </c>
      <c r="S542" t="s">
        <v>291</v>
      </c>
      <c r="T542" t="s">
        <v>491</v>
      </c>
      <c r="U542" t="s">
        <v>601</v>
      </c>
      <c r="V542" t="s">
        <v>535</v>
      </c>
      <c r="W542" t="s">
        <v>198</v>
      </c>
      <c r="X542" t="s">
        <v>199</v>
      </c>
      <c r="Y542" t="s">
        <v>274</v>
      </c>
      <c r="Z542">
        <v>5</v>
      </c>
      <c r="AA542">
        <v>4</v>
      </c>
      <c r="AB542">
        <v>7</v>
      </c>
      <c r="AC542">
        <v>4</v>
      </c>
      <c r="AD542">
        <v>1</v>
      </c>
      <c r="AE542">
        <v>1</v>
      </c>
      <c r="AF542">
        <v>4</v>
      </c>
      <c r="AG542">
        <v>4</v>
      </c>
      <c r="AH542">
        <v>3</v>
      </c>
      <c r="AI542">
        <v>3</v>
      </c>
      <c r="AJ542">
        <v>4</v>
      </c>
      <c r="AK542">
        <v>2</v>
      </c>
      <c r="AL542">
        <v>3</v>
      </c>
      <c r="AM542">
        <v>1</v>
      </c>
      <c r="AN542">
        <v>240</v>
      </c>
      <c r="AO542">
        <v>1</v>
      </c>
      <c r="AP542">
        <v>4</v>
      </c>
      <c r="AQ542">
        <v>3</v>
      </c>
      <c r="AR542">
        <v>5</v>
      </c>
      <c r="AS542">
        <v>6</v>
      </c>
      <c r="AT542">
        <v>5</v>
      </c>
      <c r="AU542">
        <v>5</v>
      </c>
      <c r="AV542">
        <v>7</v>
      </c>
      <c r="AW542">
        <v>6</v>
      </c>
      <c r="AX542">
        <v>2</v>
      </c>
      <c r="AY542" cm="1">
        <f t="array" ref="AY542">_xlfn.IFS(AZ542="Positive",1, AZ542="Negative",1, AZ542="Neutral",0)</f>
        <v>1</v>
      </c>
      <c r="AZ542" t="s">
        <v>199</v>
      </c>
      <c r="BA542">
        <v>10</v>
      </c>
      <c r="BB542">
        <v>1</v>
      </c>
      <c r="BC542" s="3">
        <v>7</v>
      </c>
      <c r="BD542" s="3">
        <v>0</v>
      </c>
      <c r="BE542" s="3">
        <v>3</v>
      </c>
      <c r="BF542" s="3">
        <v>0</v>
      </c>
      <c r="BG542" s="3">
        <v>0</v>
      </c>
      <c r="BH542">
        <v>0</v>
      </c>
      <c r="BI542">
        <v>0</v>
      </c>
      <c r="BJ542">
        <v>0</v>
      </c>
      <c r="BK542">
        <v>1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4</v>
      </c>
      <c r="BT542" t="s">
        <v>295</v>
      </c>
      <c r="BU542" t="s">
        <v>370</v>
      </c>
      <c r="BV542" t="s">
        <v>473</v>
      </c>
    </row>
    <row r="543" spans="1:74" s="1" customFormat="1" hidden="1" x14ac:dyDescent="0.2">
      <c r="A543">
        <v>560</v>
      </c>
      <c r="B543">
        <v>100</v>
      </c>
      <c r="C543" t="s">
        <v>178</v>
      </c>
      <c r="D543"/>
      <c r="E543" t="s">
        <v>88</v>
      </c>
      <c r="F543">
        <v>28</v>
      </c>
      <c r="G543">
        <v>1998</v>
      </c>
      <c r="H543">
        <v>24</v>
      </c>
      <c r="I543" t="s">
        <v>64</v>
      </c>
      <c r="J543">
        <v>1</v>
      </c>
      <c r="K543" t="s">
        <v>700</v>
      </c>
      <c r="L543" t="s">
        <v>645</v>
      </c>
      <c r="M543">
        <v>6</v>
      </c>
      <c r="N543">
        <v>47</v>
      </c>
      <c r="O543" t="s">
        <v>354</v>
      </c>
      <c r="P543" t="s">
        <v>361</v>
      </c>
      <c r="Q543" t="s">
        <v>779</v>
      </c>
      <c r="R543" t="s">
        <v>715</v>
      </c>
      <c r="S543" t="s">
        <v>403</v>
      </c>
      <c r="T543" t="s">
        <v>401</v>
      </c>
      <c r="U543" t="s">
        <v>616</v>
      </c>
      <c r="V543" t="s">
        <v>366</v>
      </c>
      <c r="W543" t="s">
        <v>198</v>
      </c>
      <c r="X543" t="s">
        <v>199</v>
      </c>
      <c r="Y543" t="s">
        <v>274</v>
      </c>
      <c r="Z543">
        <v>5</v>
      </c>
      <c r="AA543">
        <v>1</v>
      </c>
      <c r="AB543">
        <v>5</v>
      </c>
      <c r="AC543">
        <v>1</v>
      </c>
      <c r="AD543">
        <v>1</v>
      </c>
      <c r="AE543">
        <v>1</v>
      </c>
      <c r="AF543">
        <v>1</v>
      </c>
      <c r="AG543">
        <v>7</v>
      </c>
      <c r="AH543">
        <v>1</v>
      </c>
      <c r="AI543">
        <v>1</v>
      </c>
      <c r="AJ543">
        <v>4</v>
      </c>
      <c r="AK543">
        <v>1</v>
      </c>
      <c r="AL543">
        <v>1</v>
      </c>
      <c r="AM543">
        <v>1</v>
      </c>
      <c r="AN543">
        <v>50</v>
      </c>
      <c r="AO543">
        <v>6</v>
      </c>
      <c r="AP543">
        <v>5</v>
      </c>
      <c r="AQ543">
        <v>3</v>
      </c>
      <c r="AR543">
        <v>1</v>
      </c>
      <c r="AS543">
        <v>5</v>
      </c>
      <c r="AT543">
        <v>5</v>
      </c>
      <c r="AU543">
        <v>6</v>
      </c>
      <c r="AV543">
        <v>6</v>
      </c>
      <c r="AW543">
        <v>5</v>
      </c>
      <c r="AX543">
        <v>2</v>
      </c>
      <c r="AY543" cm="1">
        <f t="array" ref="AY543">_xlfn.IFS(AZ543="Positive",1, AZ543="Negative",1, AZ543="Neutral",0)</f>
        <v>1</v>
      </c>
      <c r="AZ543" t="s">
        <v>199</v>
      </c>
      <c r="BA543">
        <v>3</v>
      </c>
      <c r="BB543">
        <v>0</v>
      </c>
      <c r="BC543" s="3">
        <v>2</v>
      </c>
      <c r="BD543" s="3">
        <v>0</v>
      </c>
      <c r="BE543" s="3">
        <v>1</v>
      </c>
      <c r="BF543" s="3">
        <v>0</v>
      </c>
      <c r="BG543" s="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 t="s">
        <v>453</v>
      </c>
      <c r="BT543" t="s">
        <v>426</v>
      </c>
      <c r="BU543" t="s">
        <v>472</v>
      </c>
      <c r="BV543" t="s">
        <v>429</v>
      </c>
    </row>
    <row r="544" spans="1:74" s="1" customFormat="1" hidden="1" x14ac:dyDescent="0.2">
      <c r="A544">
        <v>561</v>
      </c>
      <c r="B544">
        <v>101</v>
      </c>
      <c r="C544" t="s">
        <v>179</v>
      </c>
      <c r="D544"/>
      <c r="E544" t="s">
        <v>71</v>
      </c>
      <c r="F544">
        <v>11</v>
      </c>
      <c r="G544">
        <v>1999</v>
      </c>
      <c r="H544">
        <v>23</v>
      </c>
      <c r="I544" t="s">
        <v>69</v>
      </c>
      <c r="J544">
        <v>2</v>
      </c>
      <c r="K544" t="s">
        <v>652</v>
      </c>
      <c r="L544" t="s">
        <v>670</v>
      </c>
      <c r="M544">
        <v>4</v>
      </c>
      <c r="N544">
        <v>63</v>
      </c>
      <c r="O544">
        <v>5</v>
      </c>
      <c r="P544" t="s">
        <v>481</v>
      </c>
      <c r="Q544" t="s">
        <v>753</v>
      </c>
      <c r="R544" t="s">
        <v>746</v>
      </c>
      <c r="S544" t="s">
        <v>396</v>
      </c>
      <c r="T544" t="s">
        <v>477</v>
      </c>
      <c r="U544" t="s">
        <v>563</v>
      </c>
      <c r="V544" t="s">
        <v>483</v>
      </c>
      <c r="W544" t="s">
        <v>198</v>
      </c>
      <c r="X544" t="s">
        <v>199</v>
      </c>
      <c r="Y544" t="s">
        <v>274</v>
      </c>
      <c r="Z544">
        <v>6</v>
      </c>
      <c r="AA544">
        <v>7</v>
      </c>
      <c r="AB544">
        <v>7</v>
      </c>
      <c r="AC544">
        <v>5</v>
      </c>
      <c r="AD544">
        <v>1</v>
      </c>
      <c r="AE544">
        <v>1</v>
      </c>
      <c r="AF544">
        <v>1</v>
      </c>
      <c r="AG544">
        <v>2</v>
      </c>
      <c r="AH544">
        <v>7</v>
      </c>
      <c r="AI544">
        <v>7</v>
      </c>
      <c r="AJ544">
        <v>6</v>
      </c>
      <c r="AK544">
        <v>7</v>
      </c>
      <c r="AL544">
        <v>6</v>
      </c>
      <c r="AM544">
        <v>2</v>
      </c>
      <c r="AN544">
        <v>132</v>
      </c>
      <c r="AO544">
        <v>7</v>
      </c>
      <c r="AP544">
        <v>4</v>
      </c>
      <c r="AQ544">
        <v>1</v>
      </c>
      <c r="AR544">
        <v>7</v>
      </c>
      <c r="AS544">
        <v>7</v>
      </c>
      <c r="AT544">
        <v>7</v>
      </c>
      <c r="AU544">
        <v>7</v>
      </c>
      <c r="AV544">
        <v>7</v>
      </c>
      <c r="AW544">
        <v>7</v>
      </c>
      <c r="AX544">
        <v>2</v>
      </c>
      <c r="AY544" cm="1">
        <f t="array" ref="AY544">_xlfn.IFS(AZ544="Positive",1, AZ544="Negative",1, AZ544="Neutral",0)</f>
        <v>1</v>
      </c>
      <c r="AZ544" t="s">
        <v>199</v>
      </c>
      <c r="BA544">
        <v>10</v>
      </c>
      <c r="BB544">
        <v>4</v>
      </c>
      <c r="BC544" s="3">
        <v>6</v>
      </c>
      <c r="BD544" s="3">
        <v>0</v>
      </c>
      <c r="BE544" s="3">
        <v>1</v>
      </c>
      <c r="BF544" s="3">
        <v>1</v>
      </c>
      <c r="BG544" s="3">
        <v>2</v>
      </c>
      <c r="BH544">
        <v>0</v>
      </c>
      <c r="BI544">
        <v>0</v>
      </c>
      <c r="BJ544">
        <v>2</v>
      </c>
      <c r="BK544">
        <v>1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1</v>
      </c>
      <c r="BR544">
        <v>0</v>
      </c>
      <c r="BS544" t="s">
        <v>399</v>
      </c>
      <c r="BT544" t="s">
        <v>367</v>
      </c>
      <c r="BU544" t="s">
        <v>400</v>
      </c>
      <c r="BV544" t="s">
        <v>371</v>
      </c>
    </row>
    <row r="545" spans="1:74" s="1" customFormat="1" x14ac:dyDescent="0.2">
      <c r="A545">
        <v>562</v>
      </c>
      <c r="B545">
        <v>102</v>
      </c>
      <c r="C545" t="s">
        <v>180</v>
      </c>
      <c r="D545"/>
      <c r="E545" t="s">
        <v>71</v>
      </c>
      <c r="F545">
        <v>12</v>
      </c>
      <c r="G545">
        <v>1999</v>
      </c>
      <c r="H545">
        <v>23</v>
      </c>
      <c r="I545" t="s">
        <v>64</v>
      </c>
      <c r="J545">
        <v>1</v>
      </c>
      <c r="K545" t="s">
        <v>637</v>
      </c>
      <c r="L545" t="s">
        <v>669</v>
      </c>
      <c r="M545">
        <v>6</v>
      </c>
      <c r="N545">
        <v>54</v>
      </c>
      <c r="O545" t="s">
        <v>314</v>
      </c>
      <c r="P545">
        <v>5</v>
      </c>
      <c r="Q545" t="s">
        <v>706</v>
      </c>
      <c r="R545" t="s">
        <v>745</v>
      </c>
      <c r="S545" t="s">
        <v>403</v>
      </c>
      <c r="T545" t="s">
        <v>455</v>
      </c>
      <c r="U545" t="s">
        <v>320</v>
      </c>
      <c r="V545" t="s">
        <v>524</v>
      </c>
      <c r="W545" t="s">
        <v>198</v>
      </c>
      <c r="X545" t="s">
        <v>199</v>
      </c>
      <c r="Y545" t="s">
        <v>274</v>
      </c>
      <c r="Z545">
        <v>6</v>
      </c>
      <c r="AA545">
        <v>2</v>
      </c>
      <c r="AB545">
        <v>4</v>
      </c>
      <c r="AC545">
        <v>3</v>
      </c>
      <c r="AD545">
        <v>1</v>
      </c>
      <c r="AE545">
        <v>4</v>
      </c>
      <c r="AF545">
        <v>4</v>
      </c>
      <c r="AG545">
        <v>5</v>
      </c>
      <c r="AH545">
        <v>4</v>
      </c>
      <c r="AI545">
        <v>1</v>
      </c>
      <c r="AJ545">
        <v>7</v>
      </c>
      <c r="AK545">
        <v>5</v>
      </c>
      <c r="AL545">
        <v>5</v>
      </c>
      <c r="AM545">
        <v>2</v>
      </c>
      <c r="AN545">
        <v>96</v>
      </c>
      <c r="AO545">
        <v>6</v>
      </c>
      <c r="AP545">
        <v>7</v>
      </c>
      <c r="AQ545">
        <v>5</v>
      </c>
      <c r="AR545">
        <v>5</v>
      </c>
      <c r="AS545">
        <v>5</v>
      </c>
      <c r="AT545">
        <v>5</v>
      </c>
      <c r="AU545">
        <v>6</v>
      </c>
      <c r="AV545">
        <v>6</v>
      </c>
      <c r="AW545">
        <v>7</v>
      </c>
      <c r="AX545">
        <v>3</v>
      </c>
      <c r="AY545" cm="1">
        <f t="array" ref="AY545">_xlfn.IFS(AZ545="Positive",1, AZ545="Negative",1, AZ545="Neutral",0)</f>
        <v>1</v>
      </c>
      <c r="AZ545" t="s">
        <v>199</v>
      </c>
      <c r="BA545">
        <v>0</v>
      </c>
      <c r="BB545">
        <v>2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>
        <v>0</v>
      </c>
      <c r="BI545">
        <v>0</v>
      </c>
      <c r="BJ545">
        <v>2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 t="s">
        <v>382</v>
      </c>
      <c r="BT545" t="s">
        <v>475</v>
      </c>
      <c r="BU545" t="s">
        <v>385</v>
      </c>
      <c r="BV545" t="s">
        <v>476</v>
      </c>
    </row>
    <row r="546" spans="1:74" s="1" customFormat="1" hidden="1" x14ac:dyDescent="0.2">
      <c r="A546">
        <v>563</v>
      </c>
      <c r="B546">
        <v>103</v>
      </c>
      <c r="C546" t="s">
        <v>181</v>
      </c>
      <c r="D546"/>
      <c r="E546" t="s">
        <v>73</v>
      </c>
      <c r="F546">
        <v>2</v>
      </c>
      <c r="G546">
        <v>1999</v>
      </c>
      <c r="H546">
        <v>23</v>
      </c>
      <c r="I546" t="s">
        <v>64</v>
      </c>
      <c r="J546">
        <v>1</v>
      </c>
      <c r="K546" t="s">
        <v>678</v>
      </c>
      <c r="L546" t="s">
        <v>638</v>
      </c>
      <c r="M546">
        <v>12</v>
      </c>
      <c r="N546">
        <v>61</v>
      </c>
      <c r="O546" t="s">
        <v>562</v>
      </c>
      <c r="P546" t="s">
        <v>405</v>
      </c>
      <c r="Q546" t="s">
        <v>757</v>
      </c>
      <c r="R546" t="s">
        <v>707</v>
      </c>
      <c r="S546" t="s">
        <v>499</v>
      </c>
      <c r="T546" t="s">
        <v>292</v>
      </c>
      <c r="U546" t="s">
        <v>581</v>
      </c>
      <c r="V546" t="s">
        <v>407</v>
      </c>
      <c r="W546" t="s">
        <v>198</v>
      </c>
      <c r="X546" t="s">
        <v>199</v>
      </c>
      <c r="Y546" t="s">
        <v>274</v>
      </c>
      <c r="Z546">
        <v>6</v>
      </c>
      <c r="AA546">
        <v>4</v>
      </c>
      <c r="AB546">
        <v>6</v>
      </c>
      <c r="AC546">
        <v>5</v>
      </c>
      <c r="AD546">
        <v>1</v>
      </c>
      <c r="AE546">
        <v>1</v>
      </c>
      <c r="AF546">
        <v>4</v>
      </c>
      <c r="AG546">
        <v>5</v>
      </c>
      <c r="AH546">
        <v>5</v>
      </c>
      <c r="AI546">
        <v>1</v>
      </c>
      <c r="AJ546">
        <v>7</v>
      </c>
      <c r="AK546">
        <v>7</v>
      </c>
      <c r="AL546">
        <v>6</v>
      </c>
      <c r="AM546">
        <v>7</v>
      </c>
      <c r="AN546">
        <v>72</v>
      </c>
      <c r="AO546">
        <v>3</v>
      </c>
      <c r="AP546">
        <v>7</v>
      </c>
      <c r="AQ546">
        <v>7</v>
      </c>
      <c r="AR546">
        <v>2</v>
      </c>
      <c r="AS546">
        <v>5</v>
      </c>
      <c r="AT546">
        <v>2</v>
      </c>
      <c r="AU546">
        <v>6</v>
      </c>
      <c r="AV546">
        <v>7</v>
      </c>
      <c r="AW546">
        <v>5</v>
      </c>
      <c r="AX546">
        <v>3</v>
      </c>
      <c r="AY546" cm="1">
        <f t="array" ref="AY546">_xlfn.IFS(AZ546="Positive",1, AZ546="Negative",1, AZ546="Neutral",0)</f>
        <v>1</v>
      </c>
      <c r="AZ546" t="s">
        <v>199</v>
      </c>
      <c r="BA546">
        <v>3</v>
      </c>
      <c r="BB546">
        <v>5</v>
      </c>
      <c r="BC546" s="3">
        <v>2</v>
      </c>
      <c r="BD546" s="3">
        <v>0</v>
      </c>
      <c r="BE546" s="3">
        <v>1</v>
      </c>
      <c r="BF546" s="3">
        <v>0</v>
      </c>
      <c r="BG546" s="3">
        <v>0</v>
      </c>
      <c r="BH546">
        <v>0</v>
      </c>
      <c r="BI546">
        <v>0</v>
      </c>
      <c r="BJ546">
        <v>4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 t="s">
        <v>375</v>
      </c>
      <c r="BT546" t="s">
        <v>578</v>
      </c>
      <c r="BU546" t="s">
        <v>377</v>
      </c>
      <c r="BV546" t="s">
        <v>579</v>
      </c>
    </row>
    <row r="547" spans="1:74" s="1" customFormat="1" x14ac:dyDescent="0.2">
      <c r="A547">
        <v>564</v>
      </c>
      <c r="B547">
        <v>104</v>
      </c>
      <c r="C547" t="s">
        <v>182</v>
      </c>
      <c r="D547"/>
      <c r="E547" t="s">
        <v>71</v>
      </c>
      <c r="F547">
        <v>13</v>
      </c>
      <c r="G547">
        <v>2003</v>
      </c>
      <c r="H547">
        <v>19</v>
      </c>
      <c r="I547" t="s">
        <v>164</v>
      </c>
      <c r="J547">
        <v>3</v>
      </c>
      <c r="K547" t="s">
        <v>683</v>
      </c>
      <c r="L547" t="s">
        <v>660</v>
      </c>
      <c r="M547">
        <v>11</v>
      </c>
      <c r="N547">
        <v>52</v>
      </c>
      <c r="O547" t="s">
        <v>384</v>
      </c>
      <c r="P547" t="s">
        <v>583</v>
      </c>
      <c r="Q547" t="s">
        <v>762</v>
      </c>
      <c r="R547" t="s">
        <v>733</v>
      </c>
      <c r="S547" t="s">
        <v>514</v>
      </c>
      <c r="T547" t="s">
        <v>495</v>
      </c>
      <c r="U547" t="s">
        <v>387</v>
      </c>
      <c r="V547" t="s">
        <v>584</v>
      </c>
      <c r="W547" t="s">
        <v>198</v>
      </c>
      <c r="X547" t="s">
        <v>199</v>
      </c>
      <c r="Y547" t="s">
        <v>274</v>
      </c>
      <c r="Z547">
        <v>7</v>
      </c>
      <c r="AA547">
        <v>7</v>
      </c>
      <c r="AB547">
        <v>6</v>
      </c>
      <c r="AC547">
        <v>6</v>
      </c>
      <c r="AD547">
        <v>2</v>
      </c>
      <c r="AE547">
        <v>6</v>
      </c>
      <c r="AF547">
        <v>3</v>
      </c>
      <c r="AG547">
        <v>1</v>
      </c>
      <c r="AH547">
        <v>7</v>
      </c>
      <c r="AI547">
        <v>1</v>
      </c>
      <c r="AJ547">
        <v>7</v>
      </c>
      <c r="AK547">
        <v>7</v>
      </c>
      <c r="AL547">
        <v>7</v>
      </c>
      <c r="AM547">
        <v>2</v>
      </c>
      <c r="AN547">
        <v>155</v>
      </c>
      <c r="AO547">
        <v>1</v>
      </c>
      <c r="AP547">
        <v>7</v>
      </c>
      <c r="AQ547">
        <v>7</v>
      </c>
      <c r="AR547">
        <v>6</v>
      </c>
      <c r="AS547">
        <v>6</v>
      </c>
      <c r="AT547">
        <v>6</v>
      </c>
      <c r="AU547">
        <v>5</v>
      </c>
      <c r="AV547">
        <v>7</v>
      </c>
      <c r="AW547">
        <v>7</v>
      </c>
      <c r="AX547">
        <v>3</v>
      </c>
      <c r="AY547" cm="1">
        <f t="array" ref="AY547">_xlfn.IFS(AZ547="Positive",1, AZ547="Negative",1, AZ547="Neutral",0)</f>
        <v>1</v>
      </c>
      <c r="AZ547" t="s">
        <v>199</v>
      </c>
      <c r="BA547">
        <v>0</v>
      </c>
      <c r="BB547">
        <v>3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>
        <v>0</v>
      </c>
      <c r="BI547">
        <v>0</v>
      </c>
      <c r="BJ547">
        <v>1</v>
      </c>
      <c r="BK547">
        <v>0</v>
      </c>
      <c r="BL547">
        <v>2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2</v>
      </c>
      <c r="BT547" t="s">
        <v>516</v>
      </c>
      <c r="BU547" t="s">
        <v>333</v>
      </c>
      <c r="BV547" t="s">
        <v>592</v>
      </c>
    </row>
    <row r="548" spans="1:74" s="1" customFormat="1" hidden="1" x14ac:dyDescent="0.2">
      <c r="A548">
        <v>565</v>
      </c>
      <c r="B548">
        <v>105</v>
      </c>
      <c r="C548" t="s">
        <v>183</v>
      </c>
      <c r="D548"/>
      <c r="E548" t="s">
        <v>80</v>
      </c>
      <c r="F548">
        <v>15</v>
      </c>
      <c r="G548">
        <v>1999</v>
      </c>
      <c r="H548">
        <v>23</v>
      </c>
      <c r="I548" t="s">
        <v>64</v>
      </c>
      <c r="J548">
        <v>1</v>
      </c>
      <c r="K548" t="s">
        <v>651</v>
      </c>
      <c r="L548" t="s">
        <v>682</v>
      </c>
      <c r="M548">
        <v>11</v>
      </c>
      <c r="N548">
        <v>75</v>
      </c>
      <c r="O548" t="s">
        <v>568</v>
      </c>
      <c r="P548" t="s">
        <v>617</v>
      </c>
      <c r="Q548" t="s">
        <v>721</v>
      </c>
      <c r="R548" t="s">
        <v>761</v>
      </c>
      <c r="S548" t="s">
        <v>514</v>
      </c>
      <c r="T548" t="s">
        <v>507</v>
      </c>
      <c r="U548" t="s">
        <v>570</v>
      </c>
      <c r="V548" t="s">
        <v>618</v>
      </c>
      <c r="W548" t="s">
        <v>198</v>
      </c>
      <c r="X548" t="s">
        <v>199</v>
      </c>
      <c r="Y548" t="s">
        <v>274</v>
      </c>
      <c r="Z548">
        <v>4</v>
      </c>
      <c r="AA548">
        <v>5</v>
      </c>
      <c r="AB548">
        <v>5</v>
      </c>
      <c r="AC548">
        <v>6</v>
      </c>
      <c r="AD548">
        <v>5</v>
      </c>
      <c r="AE548">
        <v>7</v>
      </c>
      <c r="AF548">
        <v>3</v>
      </c>
      <c r="AG548">
        <v>5</v>
      </c>
      <c r="AH548">
        <v>4</v>
      </c>
      <c r="AI548">
        <v>1</v>
      </c>
      <c r="AJ548">
        <v>6</v>
      </c>
      <c r="AK548">
        <v>4</v>
      </c>
      <c r="AL548">
        <v>6</v>
      </c>
      <c r="AM548">
        <v>4</v>
      </c>
      <c r="AN548">
        <v>176</v>
      </c>
      <c r="AO548">
        <v>5</v>
      </c>
      <c r="AP548">
        <v>6</v>
      </c>
      <c r="AQ548">
        <v>4</v>
      </c>
      <c r="AR548">
        <v>4</v>
      </c>
      <c r="AS548">
        <v>6</v>
      </c>
      <c r="AT548">
        <v>6</v>
      </c>
      <c r="AU548">
        <v>7</v>
      </c>
      <c r="AV548">
        <v>6</v>
      </c>
      <c r="AW548">
        <v>4</v>
      </c>
      <c r="AX548">
        <v>3</v>
      </c>
      <c r="AY548" cm="1">
        <f t="array" ref="AY548">_xlfn.IFS(AZ548="Positive",1, AZ548="Negative",1, AZ548="Neutral",0)</f>
        <v>1</v>
      </c>
      <c r="AZ548" t="s">
        <v>199</v>
      </c>
      <c r="BA548">
        <v>11</v>
      </c>
      <c r="BB548">
        <v>3</v>
      </c>
      <c r="BC548" s="3">
        <v>3</v>
      </c>
      <c r="BD548" s="3">
        <v>0</v>
      </c>
      <c r="BE548" s="3">
        <v>1</v>
      </c>
      <c r="BF548" s="3">
        <v>3</v>
      </c>
      <c r="BG548" s="3">
        <v>4</v>
      </c>
      <c r="BH548">
        <v>0</v>
      </c>
      <c r="BI548">
        <v>0</v>
      </c>
      <c r="BJ548">
        <v>3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 t="s">
        <v>510</v>
      </c>
      <c r="BT548" t="s">
        <v>414</v>
      </c>
      <c r="BU548" t="s">
        <v>511</v>
      </c>
      <c r="BV548" t="s">
        <v>530</v>
      </c>
    </row>
    <row r="549" spans="1:74" s="1" customFormat="1" hidden="1" x14ac:dyDescent="0.2">
      <c r="A549">
        <v>566</v>
      </c>
      <c r="B549">
        <v>106</v>
      </c>
      <c r="C549" t="s">
        <v>184</v>
      </c>
      <c r="D549"/>
      <c r="E549" t="s">
        <v>80</v>
      </c>
      <c r="F549">
        <v>7</v>
      </c>
      <c r="G549">
        <v>2000</v>
      </c>
      <c r="H549">
        <v>22</v>
      </c>
      <c r="I549" t="s">
        <v>69</v>
      </c>
      <c r="J549">
        <v>2</v>
      </c>
      <c r="K549" t="s">
        <v>694</v>
      </c>
      <c r="L549" t="s">
        <v>701</v>
      </c>
      <c r="M549">
        <v>12</v>
      </c>
      <c r="N549">
        <v>54</v>
      </c>
      <c r="O549" t="s">
        <v>463</v>
      </c>
      <c r="P549" t="s">
        <v>354</v>
      </c>
      <c r="Q549" t="s">
        <v>774</v>
      </c>
      <c r="R549" t="s">
        <v>780</v>
      </c>
      <c r="S549" t="s">
        <v>499</v>
      </c>
      <c r="T549" t="s">
        <v>455</v>
      </c>
      <c r="U549" t="s">
        <v>546</v>
      </c>
      <c r="V549" t="s">
        <v>359</v>
      </c>
      <c r="W549" t="s">
        <v>198</v>
      </c>
      <c r="X549" t="s">
        <v>199</v>
      </c>
      <c r="Y549" t="s">
        <v>274</v>
      </c>
      <c r="Z549">
        <v>3</v>
      </c>
      <c r="AA549">
        <v>3</v>
      </c>
      <c r="AB549">
        <v>4</v>
      </c>
      <c r="AC549">
        <v>1</v>
      </c>
      <c r="AD549">
        <v>1</v>
      </c>
      <c r="AE549">
        <v>4</v>
      </c>
      <c r="AF549">
        <v>1</v>
      </c>
      <c r="AG549">
        <v>1</v>
      </c>
      <c r="AH549">
        <v>2</v>
      </c>
      <c r="AI549">
        <v>1</v>
      </c>
      <c r="AJ549">
        <v>6</v>
      </c>
      <c r="AK549">
        <v>4</v>
      </c>
      <c r="AL549">
        <v>3</v>
      </c>
      <c r="AM549">
        <v>1</v>
      </c>
      <c r="AN549">
        <v>72</v>
      </c>
      <c r="AO549">
        <v>2</v>
      </c>
      <c r="AP549">
        <v>6</v>
      </c>
      <c r="AQ549">
        <v>2</v>
      </c>
      <c r="AR549">
        <v>1</v>
      </c>
      <c r="AS549">
        <v>5</v>
      </c>
      <c r="AT549">
        <v>1</v>
      </c>
      <c r="AU549">
        <v>5</v>
      </c>
      <c r="AV549">
        <v>4</v>
      </c>
      <c r="AW549">
        <v>3</v>
      </c>
      <c r="AX549">
        <v>3</v>
      </c>
      <c r="AY549" cm="1">
        <f t="array" ref="AY549">_xlfn.IFS(AZ549="Positive",1, AZ549="Negative",1, AZ549="Neutral",0)</f>
        <v>1</v>
      </c>
      <c r="AZ549" t="s">
        <v>199</v>
      </c>
      <c r="BA549">
        <v>24</v>
      </c>
      <c r="BB549">
        <v>2</v>
      </c>
      <c r="BC549" s="3">
        <v>13</v>
      </c>
      <c r="BD549" s="3">
        <v>0</v>
      </c>
      <c r="BE549" s="3">
        <v>2</v>
      </c>
      <c r="BF549" s="3">
        <v>6</v>
      </c>
      <c r="BG549" s="3">
        <v>3</v>
      </c>
      <c r="BH549">
        <v>1</v>
      </c>
      <c r="BI549">
        <v>0</v>
      </c>
      <c r="BJ549">
        <v>1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 t="s">
        <v>619</v>
      </c>
      <c r="BT549" t="s">
        <v>295</v>
      </c>
      <c r="BU549" t="s">
        <v>620</v>
      </c>
      <c r="BV549" t="s">
        <v>473</v>
      </c>
    </row>
    <row r="550" spans="1:74" s="1" customFormat="1" hidden="1" x14ac:dyDescent="0.2">
      <c r="A550">
        <v>567</v>
      </c>
      <c r="B550">
        <v>107</v>
      </c>
      <c r="C550" t="s">
        <v>185</v>
      </c>
      <c r="D550"/>
      <c r="E550" t="s">
        <v>97</v>
      </c>
      <c r="F550">
        <v>9</v>
      </c>
      <c r="G550">
        <v>1998</v>
      </c>
      <c r="H550">
        <v>24</v>
      </c>
      <c r="I550" t="s">
        <v>69</v>
      </c>
      <c r="J550">
        <v>2</v>
      </c>
      <c r="K550" t="s">
        <v>700</v>
      </c>
      <c r="L550" t="s">
        <v>669</v>
      </c>
      <c r="M550">
        <v>15</v>
      </c>
      <c r="N550">
        <v>68</v>
      </c>
      <c r="O550" t="s">
        <v>585</v>
      </c>
      <c r="P550" t="s">
        <v>369</v>
      </c>
      <c r="Q550" t="s">
        <v>779</v>
      </c>
      <c r="R550" t="s">
        <v>745</v>
      </c>
      <c r="S550" t="s">
        <v>363</v>
      </c>
      <c r="T550" t="s">
        <v>487</v>
      </c>
      <c r="U550" t="s">
        <v>587</v>
      </c>
      <c r="V550" t="s">
        <v>374</v>
      </c>
      <c r="W550" t="s">
        <v>198</v>
      </c>
      <c r="X550" t="s">
        <v>199</v>
      </c>
      <c r="Y550" t="s">
        <v>274</v>
      </c>
      <c r="Z550">
        <v>7</v>
      </c>
      <c r="AA550">
        <v>7</v>
      </c>
      <c r="AB550">
        <v>7</v>
      </c>
      <c r="AC550">
        <v>7</v>
      </c>
      <c r="AD550">
        <v>4</v>
      </c>
      <c r="AE550">
        <v>7</v>
      </c>
      <c r="AF550">
        <v>1</v>
      </c>
      <c r="AG550">
        <v>1</v>
      </c>
      <c r="AH550">
        <v>7</v>
      </c>
      <c r="AI550">
        <v>4</v>
      </c>
      <c r="AJ550">
        <v>4</v>
      </c>
      <c r="AK550">
        <v>7</v>
      </c>
      <c r="AL550">
        <v>7</v>
      </c>
      <c r="AM550">
        <v>2</v>
      </c>
      <c r="AN550">
        <v>1</v>
      </c>
      <c r="AO550">
        <v>1</v>
      </c>
      <c r="AP550">
        <v>4</v>
      </c>
      <c r="AQ550">
        <v>3</v>
      </c>
      <c r="AR550">
        <v>6</v>
      </c>
      <c r="AS550">
        <v>7</v>
      </c>
      <c r="AT550">
        <v>7</v>
      </c>
      <c r="AU550">
        <v>6</v>
      </c>
      <c r="AV550">
        <v>7</v>
      </c>
      <c r="AW550">
        <v>7</v>
      </c>
      <c r="AX550">
        <v>2</v>
      </c>
      <c r="AY550" cm="1">
        <f t="array" ref="AY550">_xlfn.IFS(AZ550="Positive",1, AZ550="Negative",1, AZ550="Neutral",0)</f>
        <v>1</v>
      </c>
      <c r="AZ550" t="s">
        <v>199</v>
      </c>
      <c r="BA550">
        <v>2</v>
      </c>
      <c r="BB550">
        <v>8</v>
      </c>
      <c r="BC550" s="3">
        <v>2</v>
      </c>
      <c r="BD550" s="3">
        <v>0</v>
      </c>
      <c r="BE550" s="3">
        <v>0</v>
      </c>
      <c r="BF550" s="3">
        <v>0</v>
      </c>
      <c r="BG550" s="3">
        <v>0</v>
      </c>
      <c r="BH550">
        <v>1</v>
      </c>
      <c r="BI550">
        <v>0</v>
      </c>
      <c r="BJ550">
        <v>5</v>
      </c>
      <c r="BK550">
        <v>0</v>
      </c>
      <c r="BL550">
        <v>1</v>
      </c>
      <c r="BM550">
        <v>0</v>
      </c>
      <c r="BN550">
        <v>0</v>
      </c>
      <c r="BO550">
        <v>0</v>
      </c>
      <c r="BP550">
        <v>0</v>
      </c>
      <c r="BQ550">
        <v>1</v>
      </c>
      <c r="BR550">
        <v>0</v>
      </c>
      <c r="BS550" t="s">
        <v>453</v>
      </c>
      <c r="BT550" t="s">
        <v>433</v>
      </c>
      <c r="BU550" t="s">
        <v>472</v>
      </c>
      <c r="BV550" t="s">
        <v>435</v>
      </c>
    </row>
    <row r="551" spans="1:74" s="1" customFormat="1" hidden="1" x14ac:dyDescent="0.2">
      <c r="A551">
        <v>568</v>
      </c>
      <c r="B551">
        <v>108</v>
      </c>
      <c r="C551" t="s">
        <v>186</v>
      </c>
      <c r="D551"/>
      <c r="E551" t="s">
        <v>71</v>
      </c>
      <c r="F551">
        <v>7</v>
      </c>
      <c r="G551">
        <v>1999</v>
      </c>
      <c r="H551">
        <v>23</v>
      </c>
      <c r="I551" t="s">
        <v>64</v>
      </c>
      <c r="J551">
        <v>1</v>
      </c>
      <c r="K551" t="s">
        <v>649</v>
      </c>
      <c r="L551" t="s">
        <v>654</v>
      </c>
      <c r="M551">
        <v>1</v>
      </c>
      <c r="N551">
        <v>58</v>
      </c>
      <c r="O551" t="s">
        <v>611</v>
      </c>
      <c r="P551" t="s">
        <v>611</v>
      </c>
      <c r="Q551" t="s">
        <v>719</v>
      </c>
      <c r="R551" t="s">
        <v>728</v>
      </c>
      <c r="S551" t="s">
        <v>335</v>
      </c>
      <c r="T551" t="s">
        <v>364</v>
      </c>
      <c r="U551" t="s">
        <v>621</v>
      </c>
      <c r="V551" t="s">
        <v>612</v>
      </c>
      <c r="W551" t="s">
        <v>198</v>
      </c>
      <c r="X551" t="s">
        <v>199</v>
      </c>
      <c r="Y551" t="s">
        <v>274</v>
      </c>
      <c r="Z551">
        <v>7</v>
      </c>
      <c r="AA551">
        <v>7</v>
      </c>
      <c r="AB551">
        <v>7</v>
      </c>
      <c r="AC551">
        <v>7</v>
      </c>
      <c r="AD551">
        <v>7</v>
      </c>
      <c r="AE551">
        <v>7</v>
      </c>
      <c r="AF551">
        <v>7</v>
      </c>
      <c r="AG551">
        <v>7</v>
      </c>
      <c r="AH551">
        <v>7</v>
      </c>
      <c r="AI551">
        <v>7</v>
      </c>
      <c r="AJ551">
        <v>7</v>
      </c>
      <c r="AK551">
        <v>7</v>
      </c>
      <c r="AL551">
        <v>7</v>
      </c>
      <c r="AM551">
        <v>7</v>
      </c>
      <c r="AN551">
        <v>240</v>
      </c>
      <c r="AO551">
        <v>7</v>
      </c>
      <c r="AP551">
        <v>7</v>
      </c>
      <c r="AQ551">
        <v>7</v>
      </c>
      <c r="AR551">
        <v>7</v>
      </c>
      <c r="AS551">
        <v>6</v>
      </c>
      <c r="AT551">
        <v>6</v>
      </c>
      <c r="AU551">
        <v>6</v>
      </c>
      <c r="AV551">
        <v>6</v>
      </c>
      <c r="AW551">
        <v>6</v>
      </c>
      <c r="AX551">
        <v>3</v>
      </c>
      <c r="AY551" cm="1">
        <f t="array" ref="AY551">_xlfn.IFS(AZ551="Positive",1, AZ551="Negative",1, AZ551="Neutral",0)</f>
        <v>1</v>
      </c>
      <c r="AZ551" t="s">
        <v>199</v>
      </c>
      <c r="BA551">
        <v>7</v>
      </c>
      <c r="BB551">
        <v>1</v>
      </c>
      <c r="BC551" s="3">
        <v>3</v>
      </c>
      <c r="BD551" s="3">
        <v>0</v>
      </c>
      <c r="BE551" s="3">
        <v>1</v>
      </c>
      <c r="BF551" s="3">
        <v>1</v>
      </c>
      <c r="BG551" s="3">
        <v>2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</v>
      </c>
      <c r="BR551">
        <v>0</v>
      </c>
      <c r="BS551" t="s">
        <v>344</v>
      </c>
      <c r="BT551" t="s">
        <v>367</v>
      </c>
      <c r="BU551" t="s">
        <v>347</v>
      </c>
      <c r="BV551" t="s">
        <v>371</v>
      </c>
    </row>
    <row r="552" spans="1:74" s="1" customFormat="1" hidden="1" x14ac:dyDescent="0.2">
      <c r="A552">
        <v>569</v>
      </c>
      <c r="B552">
        <v>109</v>
      </c>
      <c r="C552" t="s">
        <v>187</v>
      </c>
      <c r="D552"/>
      <c r="E552" t="s">
        <v>63</v>
      </c>
      <c r="F552">
        <v>1</v>
      </c>
      <c r="G552">
        <v>2000</v>
      </c>
      <c r="H552">
        <v>22</v>
      </c>
      <c r="I552" t="s">
        <v>69</v>
      </c>
      <c r="J552">
        <v>2</v>
      </c>
      <c r="K552" t="s">
        <v>416</v>
      </c>
      <c r="L552" t="s">
        <v>660</v>
      </c>
      <c r="M552">
        <v>1</v>
      </c>
      <c r="N552">
        <v>64</v>
      </c>
      <c r="O552" t="s">
        <v>460</v>
      </c>
      <c r="P552" t="s">
        <v>325</v>
      </c>
      <c r="Q552" t="s">
        <v>723</v>
      </c>
      <c r="R552" t="s">
        <v>733</v>
      </c>
      <c r="S552" t="s">
        <v>335</v>
      </c>
      <c r="T552" t="s">
        <v>540</v>
      </c>
      <c r="U552" t="s">
        <v>582</v>
      </c>
      <c r="V552" t="s">
        <v>331</v>
      </c>
      <c r="W552" t="s">
        <v>198</v>
      </c>
      <c r="X552" t="s">
        <v>199</v>
      </c>
      <c r="Y552" t="s">
        <v>274</v>
      </c>
      <c r="Z552">
        <v>6</v>
      </c>
      <c r="AA552">
        <v>5</v>
      </c>
      <c r="AB552">
        <v>6</v>
      </c>
      <c r="AC552">
        <v>5</v>
      </c>
      <c r="AD552">
        <v>1</v>
      </c>
      <c r="AE552">
        <v>3</v>
      </c>
      <c r="AF552">
        <v>1</v>
      </c>
      <c r="AG552">
        <v>2</v>
      </c>
      <c r="AH552">
        <v>4</v>
      </c>
      <c r="AI552">
        <v>1</v>
      </c>
      <c r="AJ552">
        <v>6</v>
      </c>
      <c r="AK552">
        <v>5</v>
      </c>
      <c r="AL552">
        <v>2</v>
      </c>
      <c r="AM552">
        <v>2</v>
      </c>
      <c r="AN552">
        <v>30</v>
      </c>
      <c r="AO552">
        <v>4</v>
      </c>
      <c r="AP552">
        <v>5</v>
      </c>
      <c r="AQ552">
        <v>5</v>
      </c>
      <c r="AR552">
        <v>2</v>
      </c>
      <c r="AS552">
        <v>5</v>
      </c>
      <c r="AT552">
        <v>4</v>
      </c>
      <c r="AU552">
        <v>6</v>
      </c>
      <c r="AV552">
        <v>5</v>
      </c>
      <c r="AW552">
        <v>5</v>
      </c>
      <c r="AX552">
        <v>2</v>
      </c>
      <c r="AY552" cm="1">
        <f t="array" ref="AY552">_xlfn.IFS(AZ552="Positive",1, AZ552="Negative",1, AZ552="Neutral",0)</f>
        <v>1</v>
      </c>
      <c r="AZ552" t="s">
        <v>199</v>
      </c>
      <c r="BA552">
        <v>5</v>
      </c>
      <c r="BB552">
        <v>1</v>
      </c>
      <c r="BC552" s="3">
        <v>4</v>
      </c>
      <c r="BD552" s="3">
        <v>0</v>
      </c>
      <c r="BE552" s="3">
        <v>0</v>
      </c>
      <c r="BF552" s="3">
        <v>0</v>
      </c>
      <c r="BG552" s="3">
        <v>1</v>
      </c>
      <c r="BH552">
        <v>0</v>
      </c>
      <c r="BI552">
        <v>0</v>
      </c>
      <c r="BJ552">
        <v>0</v>
      </c>
      <c r="BK552">
        <v>1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 t="s">
        <v>414</v>
      </c>
      <c r="BT552" t="s">
        <v>619</v>
      </c>
      <c r="BU552" t="s">
        <v>417</v>
      </c>
      <c r="BV552" t="s">
        <v>622</v>
      </c>
    </row>
    <row r="553" spans="1:74" s="1" customFormat="1" x14ac:dyDescent="0.2">
      <c r="A553">
        <v>570</v>
      </c>
      <c r="B553">
        <v>110</v>
      </c>
      <c r="C553" t="s">
        <v>188</v>
      </c>
      <c r="D553"/>
      <c r="E553" t="s">
        <v>68</v>
      </c>
      <c r="F553">
        <v>12</v>
      </c>
      <c r="G553">
        <v>2001</v>
      </c>
      <c r="H553">
        <v>21</v>
      </c>
      <c r="I553" t="s">
        <v>69</v>
      </c>
      <c r="J553">
        <v>2</v>
      </c>
      <c r="K553" t="s">
        <v>661</v>
      </c>
      <c r="L553" t="s">
        <v>633</v>
      </c>
      <c r="M553">
        <v>10</v>
      </c>
      <c r="N553">
        <v>71</v>
      </c>
      <c r="O553" t="s">
        <v>583</v>
      </c>
      <c r="P553" t="s">
        <v>542</v>
      </c>
      <c r="Q553" t="s">
        <v>734</v>
      </c>
      <c r="R553" t="s">
        <v>711</v>
      </c>
      <c r="S553" t="s">
        <v>378</v>
      </c>
      <c r="T553" t="s">
        <v>329</v>
      </c>
      <c r="U553" t="s">
        <v>623</v>
      </c>
      <c r="V553" t="s">
        <v>543</v>
      </c>
      <c r="W553" t="s">
        <v>198</v>
      </c>
      <c r="X553" t="s">
        <v>199</v>
      </c>
      <c r="Y553" t="s">
        <v>274</v>
      </c>
      <c r="Z553">
        <v>7</v>
      </c>
      <c r="AA553">
        <v>7</v>
      </c>
      <c r="AB553">
        <v>7</v>
      </c>
      <c r="AC553">
        <v>7</v>
      </c>
      <c r="AD553">
        <v>7</v>
      </c>
      <c r="AE553">
        <v>7</v>
      </c>
      <c r="AF553">
        <v>2</v>
      </c>
      <c r="AG553">
        <v>5</v>
      </c>
      <c r="AH553">
        <v>7</v>
      </c>
      <c r="AI553">
        <v>1</v>
      </c>
      <c r="AJ553">
        <v>7</v>
      </c>
      <c r="AK553">
        <v>7</v>
      </c>
      <c r="AL553">
        <v>7</v>
      </c>
      <c r="AM553">
        <v>5</v>
      </c>
      <c r="AN553">
        <v>116</v>
      </c>
      <c r="AO553">
        <v>1</v>
      </c>
      <c r="AP553">
        <v>7</v>
      </c>
      <c r="AQ553">
        <v>6</v>
      </c>
      <c r="AR553">
        <v>6</v>
      </c>
      <c r="AS553">
        <v>7</v>
      </c>
      <c r="AT553">
        <v>7</v>
      </c>
      <c r="AU553">
        <v>7</v>
      </c>
      <c r="AV553">
        <v>7</v>
      </c>
      <c r="AW553">
        <v>7</v>
      </c>
      <c r="AX553">
        <v>3</v>
      </c>
      <c r="AY553" cm="1">
        <f t="array" ref="AY553">_xlfn.IFS(AZ553="Positive",1, AZ553="Negative",1, AZ553="Neutral",0)</f>
        <v>1</v>
      </c>
      <c r="AZ553" t="s">
        <v>199</v>
      </c>
      <c r="BA553">
        <v>0</v>
      </c>
      <c r="BB553">
        <v>1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 t="s">
        <v>510</v>
      </c>
      <c r="BT553">
        <v>3</v>
      </c>
      <c r="BU553" t="s">
        <v>511</v>
      </c>
      <c r="BV553" t="s">
        <v>309</v>
      </c>
    </row>
    <row r="554" spans="1:74" s="1" customFormat="1" hidden="1" x14ac:dyDescent="0.2">
      <c r="A554">
        <v>571</v>
      </c>
      <c r="B554">
        <v>111</v>
      </c>
      <c r="C554" t="s">
        <v>189</v>
      </c>
      <c r="D554"/>
      <c r="E554" t="s">
        <v>68</v>
      </c>
      <c r="F554">
        <v>20</v>
      </c>
      <c r="G554">
        <v>2001</v>
      </c>
      <c r="H554">
        <v>21</v>
      </c>
      <c r="I554" t="s">
        <v>64</v>
      </c>
      <c r="J554">
        <v>1</v>
      </c>
      <c r="K554" t="s">
        <v>667</v>
      </c>
      <c r="L554" t="s">
        <v>654</v>
      </c>
      <c r="M554">
        <v>10</v>
      </c>
      <c r="N554">
        <v>55</v>
      </c>
      <c r="O554" t="s">
        <v>338</v>
      </c>
      <c r="P554" t="s">
        <v>389</v>
      </c>
      <c r="Q554" t="s">
        <v>741</v>
      </c>
      <c r="R554" t="s">
        <v>728</v>
      </c>
      <c r="S554" t="s">
        <v>378</v>
      </c>
      <c r="T554" t="s">
        <v>404</v>
      </c>
      <c r="U554" t="s">
        <v>342</v>
      </c>
      <c r="V554" t="s">
        <v>392</v>
      </c>
      <c r="W554" t="s">
        <v>198</v>
      </c>
      <c r="X554" t="s">
        <v>199</v>
      </c>
      <c r="Y554" t="s">
        <v>274</v>
      </c>
      <c r="Z554">
        <v>5</v>
      </c>
      <c r="AA554">
        <v>5</v>
      </c>
      <c r="AB554">
        <v>5</v>
      </c>
      <c r="AC554">
        <v>5</v>
      </c>
      <c r="AD554">
        <v>5</v>
      </c>
      <c r="AE554">
        <v>5</v>
      </c>
      <c r="AF554">
        <v>2</v>
      </c>
      <c r="AG554">
        <v>3</v>
      </c>
      <c r="AH554">
        <v>5</v>
      </c>
      <c r="AI554">
        <v>1</v>
      </c>
      <c r="AJ554">
        <v>5</v>
      </c>
      <c r="AK554">
        <v>5</v>
      </c>
      <c r="AL554">
        <v>5</v>
      </c>
      <c r="AM554">
        <v>2</v>
      </c>
      <c r="AN554">
        <v>180</v>
      </c>
      <c r="AO554">
        <v>6</v>
      </c>
      <c r="AP554">
        <v>5</v>
      </c>
      <c r="AQ554">
        <v>3</v>
      </c>
      <c r="AR554">
        <v>3</v>
      </c>
      <c r="AS554">
        <v>5</v>
      </c>
      <c r="AT554">
        <v>3</v>
      </c>
      <c r="AU554">
        <v>3</v>
      </c>
      <c r="AV554">
        <v>3</v>
      </c>
      <c r="AW554">
        <v>3</v>
      </c>
      <c r="AX554">
        <v>2</v>
      </c>
      <c r="AY554" cm="1">
        <f t="array" ref="AY554">_xlfn.IFS(AZ554="Positive",1, AZ554="Negative",1, AZ554="Neutral",0)</f>
        <v>1</v>
      </c>
      <c r="AZ554" t="s">
        <v>199</v>
      </c>
      <c r="BA554">
        <v>4</v>
      </c>
      <c r="BB554">
        <v>0</v>
      </c>
      <c r="BC554" s="3">
        <v>3</v>
      </c>
      <c r="BD554" s="3">
        <v>0</v>
      </c>
      <c r="BE554" s="3">
        <v>1</v>
      </c>
      <c r="BF554" s="3">
        <v>0</v>
      </c>
      <c r="BG554" s="3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 t="s">
        <v>619</v>
      </c>
      <c r="BT554" t="s">
        <v>536</v>
      </c>
      <c r="BU554" t="s">
        <v>620</v>
      </c>
      <c r="BV554" t="s">
        <v>556</v>
      </c>
    </row>
    <row r="555" spans="1:74" s="1" customFormat="1" hidden="1" x14ac:dyDescent="0.2">
      <c r="A555">
        <v>572</v>
      </c>
      <c r="B555">
        <v>112</v>
      </c>
      <c r="C555" t="s">
        <v>190</v>
      </c>
      <c r="D555"/>
      <c r="E555" t="s">
        <v>88</v>
      </c>
      <c r="F555">
        <v>21</v>
      </c>
      <c r="G555">
        <v>2001</v>
      </c>
      <c r="H555">
        <v>21</v>
      </c>
      <c r="I555" t="s">
        <v>69</v>
      </c>
      <c r="J555">
        <v>2</v>
      </c>
      <c r="K555" t="s">
        <v>637</v>
      </c>
      <c r="L555" t="s">
        <v>665</v>
      </c>
      <c r="M555">
        <v>0</v>
      </c>
      <c r="N555">
        <v>60</v>
      </c>
      <c r="O555" t="s">
        <v>539</v>
      </c>
      <c r="P555" t="s">
        <v>542</v>
      </c>
      <c r="Q555" t="s">
        <v>706</v>
      </c>
      <c r="R555" t="s">
        <v>739</v>
      </c>
      <c r="S555" t="s">
        <v>411</v>
      </c>
      <c r="T555" t="s">
        <v>444</v>
      </c>
      <c r="U555" t="s">
        <v>624</v>
      </c>
      <c r="V555" t="s">
        <v>543</v>
      </c>
      <c r="W555" t="s">
        <v>198</v>
      </c>
      <c r="X555" t="s">
        <v>199</v>
      </c>
      <c r="Y555" t="s">
        <v>274</v>
      </c>
      <c r="Z555">
        <v>7</v>
      </c>
      <c r="AA555">
        <v>7</v>
      </c>
      <c r="AB555">
        <v>7</v>
      </c>
      <c r="AC555">
        <v>7</v>
      </c>
      <c r="AD555">
        <v>3</v>
      </c>
      <c r="AE555">
        <v>7</v>
      </c>
      <c r="AF555">
        <v>1</v>
      </c>
      <c r="AG555">
        <v>2</v>
      </c>
      <c r="AH555">
        <v>6</v>
      </c>
      <c r="AI555">
        <v>1</v>
      </c>
      <c r="AJ555">
        <v>7</v>
      </c>
      <c r="AK555">
        <v>6</v>
      </c>
      <c r="AL555">
        <v>6</v>
      </c>
      <c r="AM555">
        <v>4</v>
      </c>
      <c r="AN555">
        <v>60</v>
      </c>
      <c r="AO555">
        <v>1</v>
      </c>
      <c r="AP555">
        <v>7</v>
      </c>
      <c r="AQ555">
        <v>7</v>
      </c>
      <c r="AR555">
        <v>4</v>
      </c>
      <c r="AS555">
        <v>7</v>
      </c>
      <c r="AT555">
        <v>7</v>
      </c>
      <c r="AU555">
        <v>7</v>
      </c>
      <c r="AV555">
        <v>7</v>
      </c>
      <c r="AW555">
        <v>7</v>
      </c>
      <c r="AX555">
        <v>3</v>
      </c>
      <c r="AY555" cm="1">
        <f t="array" ref="AY555">_xlfn.IFS(AZ555="Positive",1, AZ555="Negative",1, AZ555="Neutral",0)</f>
        <v>1</v>
      </c>
      <c r="AZ555" t="s">
        <v>199</v>
      </c>
      <c r="BA555">
        <v>4</v>
      </c>
      <c r="BB555">
        <v>0</v>
      </c>
      <c r="BC555" s="3">
        <v>3</v>
      </c>
      <c r="BD555" s="3">
        <v>0</v>
      </c>
      <c r="BE555" s="3">
        <v>1</v>
      </c>
      <c r="BF555" s="3">
        <v>0</v>
      </c>
      <c r="BG555" s="3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 t="s">
        <v>567</v>
      </c>
      <c r="BT555" t="s">
        <v>322</v>
      </c>
      <c r="BU555" t="s">
        <v>569</v>
      </c>
      <c r="BV555" t="s">
        <v>422</v>
      </c>
    </row>
    <row r="556" spans="1:74" s="1" customFormat="1" hidden="1" x14ac:dyDescent="0.2">
      <c r="A556">
        <v>573</v>
      </c>
      <c r="B556">
        <v>113</v>
      </c>
      <c r="C556" t="s">
        <v>191</v>
      </c>
      <c r="D556"/>
      <c r="E556" t="s">
        <v>68</v>
      </c>
      <c r="F556">
        <v>22</v>
      </c>
      <c r="G556">
        <v>1996</v>
      </c>
      <c r="H556">
        <v>26</v>
      </c>
      <c r="I556" t="s">
        <v>69</v>
      </c>
      <c r="J556">
        <v>2</v>
      </c>
      <c r="K556" t="s">
        <v>671</v>
      </c>
      <c r="L556" t="s">
        <v>675</v>
      </c>
      <c r="M556">
        <v>14</v>
      </c>
      <c r="N556">
        <v>57</v>
      </c>
      <c r="O556" t="s">
        <v>446</v>
      </c>
      <c r="P556">
        <v>6</v>
      </c>
      <c r="Q556" t="s">
        <v>748</v>
      </c>
      <c r="R556" t="s">
        <v>754</v>
      </c>
      <c r="S556" t="s">
        <v>550</v>
      </c>
      <c r="T556" t="s">
        <v>575</v>
      </c>
      <c r="U556" t="s">
        <v>448</v>
      </c>
      <c r="V556" t="s">
        <v>471</v>
      </c>
      <c r="W556" t="s">
        <v>198</v>
      </c>
      <c r="X556" t="s">
        <v>199</v>
      </c>
      <c r="Y556" t="s">
        <v>274</v>
      </c>
      <c r="Z556">
        <v>5</v>
      </c>
      <c r="AA556">
        <v>6</v>
      </c>
      <c r="AB556">
        <v>6</v>
      </c>
      <c r="AC556">
        <v>2</v>
      </c>
      <c r="AD556">
        <v>6</v>
      </c>
      <c r="AE556">
        <v>2</v>
      </c>
      <c r="AF556">
        <v>1</v>
      </c>
      <c r="AG556">
        <v>1</v>
      </c>
      <c r="AH556">
        <v>4</v>
      </c>
      <c r="AI556">
        <v>2</v>
      </c>
      <c r="AJ556">
        <v>5</v>
      </c>
      <c r="AK556">
        <v>2</v>
      </c>
      <c r="AL556">
        <v>1</v>
      </c>
      <c r="AM556">
        <v>1</v>
      </c>
      <c r="AN556">
        <v>84</v>
      </c>
      <c r="AO556">
        <v>1</v>
      </c>
      <c r="AP556">
        <v>5</v>
      </c>
      <c r="AQ556">
        <v>4</v>
      </c>
      <c r="AR556">
        <v>2</v>
      </c>
      <c r="AS556">
        <v>6</v>
      </c>
      <c r="AT556">
        <v>6</v>
      </c>
      <c r="AU556">
        <v>6</v>
      </c>
      <c r="AV556">
        <v>6</v>
      </c>
      <c r="AW556">
        <v>6</v>
      </c>
      <c r="AX556">
        <v>2</v>
      </c>
      <c r="AY556" cm="1">
        <f t="array" ref="AY556">_xlfn.IFS(AZ556="Positive",1, AZ556="Negative",1, AZ556="Neutral",0)</f>
        <v>1</v>
      </c>
      <c r="AZ556" t="s">
        <v>199</v>
      </c>
      <c r="BA556">
        <v>8</v>
      </c>
      <c r="BB556">
        <v>2</v>
      </c>
      <c r="BC556" s="3">
        <v>2</v>
      </c>
      <c r="BD556" s="3">
        <v>2</v>
      </c>
      <c r="BE556" s="3">
        <v>0</v>
      </c>
      <c r="BF556" s="3">
        <v>2</v>
      </c>
      <c r="BG556" s="3">
        <v>2</v>
      </c>
      <c r="BH556">
        <v>0</v>
      </c>
      <c r="BI556">
        <v>0</v>
      </c>
      <c r="BJ556">
        <v>2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3</v>
      </c>
      <c r="BT556" t="s">
        <v>489</v>
      </c>
      <c r="BU556" t="s">
        <v>395</v>
      </c>
      <c r="BV556" t="s">
        <v>512</v>
      </c>
    </row>
    <row r="557" spans="1:74" s="1" customFormat="1" hidden="1" x14ac:dyDescent="0.2">
      <c r="A557">
        <v>574</v>
      </c>
      <c r="B557">
        <v>114</v>
      </c>
      <c r="C557" t="s">
        <v>192</v>
      </c>
      <c r="D557"/>
      <c r="E557" t="s">
        <v>80</v>
      </c>
      <c r="F557">
        <v>26</v>
      </c>
      <c r="G557">
        <v>1997</v>
      </c>
      <c r="H557">
        <v>25</v>
      </c>
      <c r="I557" t="s">
        <v>69</v>
      </c>
      <c r="J557">
        <v>2</v>
      </c>
      <c r="K557" t="s">
        <v>481</v>
      </c>
      <c r="L557" t="s">
        <v>654</v>
      </c>
      <c r="M557">
        <v>12</v>
      </c>
      <c r="N557">
        <v>49</v>
      </c>
      <c r="O557" t="s">
        <v>625</v>
      </c>
      <c r="P557">
        <v>4</v>
      </c>
      <c r="Q557" t="s">
        <v>743</v>
      </c>
      <c r="R557" t="s">
        <v>728</v>
      </c>
      <c r="S557" t="s">
        <v>499</v>
      </c>
      <c r="T557" t="s">
        <v>491</v>
      </c>
      <c r="U557" t="s">
        <v>626</v>
      </c>
      <c r="V557" t="s">
        <v>627</v>
      </c>
      <c r="W557" t="s">
        <v>198</v>
      </c>
      <c r="X557" t="s">
        <v>199</v>
      </c>
      <c r="Y557" t="s">
        <v>274</v>
      </c>
      <c r="Z557">
        <v>5</v>
      </c>
      <c r="AA557">
        <v>4</v>
      </c>
      <c r="AB557">
        <v>7</v>
      </c>
      <c r="AC557">
        <v>7</v>
      </c>
      <c r="AD557">
        <v>1</v>
      </c>
      <c r="AE557">
        <v>5</v>
      </c>
      <c r="AF557">
        <v>1</v>
      </c>
      <c r="AG557">
        <v>4</v>
      </c>
      <c r="AH557">
        <v>3</v>
      </c>
      <c r="AI557">
        <v>1</v>
      </c>
      <c r="AJ557">
        <v>6</v>
      </c>
      <c r="AK557">
        <v>3</v>
      </c>
      <c r="AL557">
        <v>3</v>
      </c>
      <c r="AM557">
        <v>1</v>
      </c>
      <c r="AN557">
        <v>20</v>
      </c>
      <c r="AO557">
        <v>4</v>
      </c>
      <c r="AP557">
        <v>7</v>
      </c>
      <c r="AQ557">
        <v>4</v>
      </c>
      <c r="AR557">
        <v>3</v>
      </c>
      <c r="AS557">
        <v>5</v>
      </c>
      <c r="AT557">
        <v>4</v>
      </c>
      <c r="AU557">
        <v>4</v>
      </c>
      <c r="AV557">
        <v>1</v>
      </c>
      <c r="AW557">
        <v>3</v>
      </c>
      <c r="AX557">
        <v>3</v>
      </c>
      <c r="AY557" cm="1">
        <f t="array" ref="AY557">_xlfn.IFS(AZ557="Positive",1, AZ557="Negative",1, AZ557="Neutral",0)</f>
        <v>1</v>
      </c>
      <c r="AZ557" t="s">
        <v>199</v>
      </c>
      <c r="BA557">
        <v>8</v>
      </c>
      <c r="BB557">
        <v>3</v>
      </c>
      <c r="BC557" s="3">
        <v>4</v>
      </c>
      <c r="BD557" s="3">
        <v>2</v>
      </c>
      <c r="BE557" s="3">
        <v>1</v>
      </c>
      <c r="BF557" s="3">
        <v>0</v>
      </c>
      <c r="BG557" s="3">
        <v>1</v>
      </c>
      <c r="BH557">
        <v>0</v>
      </c>
      <c r="BI557">
        <v>0</v>
      </c>
      <c r="BJ557">
        <v>2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1</v>
      </c>
      <c r="BS557" t="s">
        <v>285</v>
      </c>
      <c r="BT557" t="s">
        <v>276</v>
      </c>
      <c r="BU557" t="s">
        <v>289</v>
      </c>
      <c r="BV557" t="s">
        <v>280</v>
      </c>
    </row>
    <row r="558" spans="1:74" s="1" customFormat="1" hidden="1" x14ac:dyDescent="0.2">
      <c r="A558">
        <v>575</v>
      </c>
      <c r="B558">
        <v>115</v>
      </c>
      <c r="C558" t="s">
        <v>193</v>
      </c>
      <c r="D558"/>
      <c r="E558" t="s">
        <v>93</v>
      </c>
      <c r="F558">
        <v>6</v>
      </c>
      <c r="G558">
        <v>1997</v>
      </c>
      <c r="H558">
        <v>25</v>
      </c>
      <c r="I558" t="s">
        <v>69</v>
      </c>
      <c r="J558">
        <v>2</v>
      </c>
      <c r="K558" t="s">
        <v>671</v>
      </c>
      <c r="L558" t="s">
        <v>677</v>
      </c>
      <c r="M558">
        <v>10</v>
      </c>
      <c r="N558">
        <v>52</v>
      </c>
      <c r="O558" t="s">
        <v>460</v>
      </c>
      <c r="P558" t="s">
        <v>315</v>
      </c>
      <c r="Q558" t="s">
        <v>748</v>
      </c>
      <c r="R558" t="s">
        <v>756</v>
      </c>
      <c r="S558" t="s">
        <v>378</v>
      </c>
      <c r="T558" t="s">
        <v>495</v>
      </c>
      <c r="U558" t="s">
        <v>582</v>
      </c>
      <c r="V558" t="s">
        <v>321</v>
      </c>
      <c r="W558" t="s">
        <v>198</v>
      </c>
      <c r="X558" t="s">
        <v>199</v>
      </c>
      <c r="Y558" t="s">
        <v>274</v>
      </c>
      <c r="Z558">
        <v>3</v>
      </c>
      <c r="AA558">
        <v>3</v>
      </c>
      <c r="AB558">
        <v>6</v>
      </c>
      <c r="AC558">
        <v>2</v>
      </c>
      <c r="AD558">
        <v>1</v>
      </c>
      <c r="AE558">
        <v>5</v>
      </c>
      <c r="AF558">
        <v>2</v>
      </c>
      <c r="AG558">
        <v>2</v>
      </c>
      <c r="AH558">
        <v>2</v>
      </c>
      <c r="AI558">
        <v>1</v>
      </c>
      <c r="AJ558">
        <v>5</v>
      </c>
      <c r="AK558">
        <v>3</v>
      </c>
      <c r="AL558">
        <v>3</v>
      </c>
      <c r="AM558">
        <v>1</v>
      </c>
      <c r="AN558">
        <v>18</v>
      </c>
      <c r="AO558">
        <v>1</v>
      </c>
      <c r="AP558">
        <v>6</v>
      </c>
      <c r="AQ558">
        <v>4</v>
      </c>
      <c r="AR558">
        <v>4</v>
      </c>
      <c r="AS558">
        <v>6</v>
      </c>
      <c r="AT558">
        <v>5</v>
      </c>
      <c r="AU558">
        <v>5</v>
      </c>
      <c r="AV558">
        <v>6</v>
      </c>
      <c r="AW558">
        <v>7</v>
      </c>
      <c r="AX558">
        <v>3</v>
      </c>
      <c r="AY558" cm="1">
        <f t="array" ref="AY558">_xlfn.IFS(AZ558="Positive",1, AZ558="Negative",1, AZ558="Neutral",0)</f>
        <v>1</v>
      </c>
      <c r="AZ558" t="s">
        <v>199</v>
      </c>
      <c r="BA558">
        <v>31</v>
      </c>
      <c r="BB558">
        <v>4</v>
      </c>
      <c r="BC558" s="3">
        <v>21</v>
      </c>
      <c r="BD558" s="3">
        <v>2</v>
      </c>
      <c r="BE558" s="3">
        <v>3</v>
      </c>
      <c r="BF558" s="3">
        <v>3</v>
      </c>
      <c r="BG558" s="3">
        <v>2</v>
      </c>
      <c r="BH558">
        <v>1</v>
      </c>
      <c r="BI558">
        <v>0</v>
      </c>
      <c r="BJ558">
        <v>1</v>
      </c>
      <c r="BK558">
        <v>2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3</v>
      </c>
      <c r="BT558" t="s">
        <v>463</v>
      </c>
      <c r="BU558" t="s">
        <v>395</v>
      </c>
      <c r="BV558" t="s">
        <v>628</v>
      </c>
    </row>
    <row r="559" spans="1:74" x14ac:dyDescent="0.2">
      <c r="A559">
        <v>576</v>
      </c>
      <c r="B559">
        <v>1</v>
      </c>
      <c r="C559" t="s">
        <v>62</v>
      </c>
      <c r="E559" t="s">
        <v>63</v>
      </c>
      <c r="F559">
        <v>3</v>
      </c>
      <c r="G559">
        <v>1998</v>
      </c>
      <c r="H559">
        <v>24</v>
      </c>
      <c r="I559" t="s">
        <v>64</v>
      </c>
      <c r="J559">
        <v>1</v>
      </c>
      <c r="K559" t="s">
        <v>632</v>
      </c>
      <c r="L559" t="s">
        <v>633</v>
      </c>
      <c r="M559">
        <v>3</v>
      </c>
      <c r="N559">
        <v>49</v>
      </c>
      <c r="O559" t="s">
        <v>288</v>
      </c>
      <c r="P559" t="s">
        <v>481</v>
      </c>
      <c r="Q559" t="s">
        <v>731</v>
      </c>
      <c r="R559" t="s">
        <v>711</v>
      </c>
      <c r="S559" t="s">
        <v>372</v>
      </c>
      <c r="T559" t="s">
        <v>491</v>
      </c>
      <c r="U559" t="s">
        <v>461</v>
      </c>
      <c r="V559" t="s">
        <v>483</v>
      </c>
      <c r="W559" t="s">
        <v>200</v>
      </c>
      <c r="X559" t="s">
        <v>199</v>
      </c>
      <c r="Y559" t="s">
        <v>274</v>
      </c>
      <c r="Z559">
        <v>6</v>
      </c>
      <c r="AA559">
        <v>7</v>
      </c>
      <c r="AB559">
        <v>6</v>
      </c>
      <c r="AC559">
        <v>5</v>
      </c>
      <c r="AD559">
        <v>2</v>
      </c>
      <c r="AE559">
        <v>6</v>
      </c>
      <c r="AF559">
        <v>2</v>
      </c>
      <c r="AG559">
        <v>2</v>
      </c>
      <c r="AH559">
        <v>6</v>
      </c>
      <c r="AI559">
        <v>1</v>
      </c>
      <c r="AJ559">
        <v>7</v>
      </c>
      <c r="AK559">
        <v>5</v>
      </c>
      <c r="AL559">
        <v>5</v>
      </c>
      <c r="AM559">
        <v>4</v>
      </c>
      <c r="AN559">
        <v>66</v>
      </c>
      <c r="AO559">
        <v>4</v>
      </c>
      <c r="AP559">
        <v>5</v>
      </c>
      <c r="AQ559">
        <v>5</v>
      </c>
      <c r="AR559">
        <v>3</v>
      </c>
      <c r="AS559">
        <v>5</v>
      </c>
      <c r="AT559">
        <v>4</v>
      </c>
      <c r="AU559">
        <v>5</v>
      </c>
      <c r="AV559">
        <v>4</v>
      </c>
      <c r="AW559">
        <v>4</v>
      </c>
      <c r="AX559">
        <v>2</v>
      </c>
      <c r="AY559" cm="1">
        <f t="array" ref="AY559">_xlfn.IFS(AZ559="Positive",1, AZ559="Negative",1, AZ559="Neutral",0)</f>
        <v>1</v>
      </c>
      <c r="AZ559" t="s">
        <v>199</v>
      </c>
      <c r="BA559">
        <v>0</v>
      </c>
      <c r="BB559">
        <v>4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>
        <v>0</v>
      </c>
      <c r="BI559">
        <v>0</v>
      </c>
      <c r="BJ559">
        <v>4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 t="s">
        <v>453</v>
      </c>
      <c r="BT559">
        <v>3</v>
      </c>
      <c r="BU559" t="s">
        <v>472</v>
      </c>
      <c r="BV559" t="s">
        <v>309</v>
      </c>
    </row>
    <row r="560" spans="1:74" hidden="1" x14ac:dyDescent="0.2">
      <c r="A560">
        <v>577</v>
      </c>
      <c r="B560">
        <v>2</v>
      </c>
      <c r="C560" t="s">
        <v>67</v>
      </c>
      <c r="E560" t="s">
        <v>68</v>
      </c>
      <c r="F560">
        <v>22</v>
      </c>
      <c r="G560">
        <v>1998</v>
      </c>
      <c r="H560">
        <v>24</v>
      </c>
      <c r="I560" t="s">
        <v>69</v>
      </c>
      <c r="J560">
        <v>2</v>
      </c>
      <c r="K560" t="s">
        <v>632</v>
      </c>
      <c r="L560" t="s">
        <v>634</v>
      </c>
      <c r="M560">
        <v>7</v>
      </c>
      <c r="N560">
        <v>57</v>
      </c>
      <c r="O560" t="s">
        <v>460</v>
      </c>
      <c r="P560" t="s">
        <v>389</v>
      </c>
      <c r="Q560" t="s">
        <v>731</v>
      </c>
      <c r="R560" t="s">
        <v>747</v>
      </c>
      <c r="S560" t="s">
        <v>430</v>
      </c>
      <c r="T560" t="s">
        <v>575</v>
      </c>
      <c r="U560" t="s">
        <v>582</v>
      </c>
      <c r="V560" t="s">
        <v>392</v>
      </c>
      <c r="W560" t="s">
        <v>200</v>
      </c>
      <c r="X560" t="s">
        <v>199</v>
      </c>
      <c r="Y560" t="s">
        <v>274</v>
      </c>
      <c r="Z560">
        <v>7</v>
      </c>
      <c r="AA560">
        <v>6</v>
      </c>
      <c r="AB560">
        <v>6</v>
      </c>
      <c r="AC560">
        <v>6</v>
      </c>
      <c r="AD560">
        <v>2</v>
      </c>
      <c r="AE560">
        <v>6</v>
      </c>
      <c r="AF560">
        <v>4</v>
      </c>
      <c r="AG560">
        <v>2</v>
      </c>
      <c r="AH560">
        <v>6</v>
      </c>
      <c r="AI560">
        <v>1</v>
      </c>
      <c r="AJ560">
        <v>7</v>
      </c>
      <c r="AK560">
        <v>7</v>
      </c>
      <c r="AL560">
        <v>7</v>
      </c>
      <c r="AM560">
        <v>3</v>
      </c>
      <c r="AN560">
        <v>54</v>
      </c>
      <c r="AO560">
        <v>2</v>
      </c>
      <c r="AP560">
        <v>7</v>
      </c>
      <c r="AQ560">
        <v>7</v>
      </c>
      <c r="AR560">
        <v>5</v>
      </c>
      <c r="AS560">
        <v>5</v>
      </c>
      <c r="AT560">
        <v>5</v>
      </c>
      <c r="AU560">
        <v>6</v>
      </c>
      <c r="AV560">
        <v>6</v>
      </c>
      <c r="AW560">
        <v>6</v>
      </c>
      <c r="AX560">
        <v>3</v>
      </c>
      <c r="AY560" cm="1">
        <f t="array" ref="AY560">_xlfn.IFS(AZ560="Positive",1, AZ560="Negative",1, AZ560="Neutral",0)</f>
        <v>1</v>
      </c>
      <c r="AZ560" t="s">
        <v>199</v>
      </c>
      <c r="BA560">
        <v>8</v>
      </c>
      <c r="BB560">
        <v>1</v>
      </c>
      <c r="BC560" s="3">
        <v>3</v>
      </c>
      <c r="BD560" s="3">
        <v>1</v>
      </c>
      <c r="BE560" s="3">
        <v>3</v>
      </c>
      <c r="BF560" s="3">
        <v>0</v>
      </c>
      <c r="BG560" s="3">
        <v>1</v>
      </c>
      <c r="BH560">
        <v>0</v>
      </c>
      <c r="BI560">
        <v>0</v>
      </c>
      <c r="BJ560">
        <v>1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 t="s">
        <v>453</v>
      </c>
      <c r="BT560" t="s">
        <v>399</v>
      </c>
      <c r="BU560" t="s">
        <v>472</v>
      </c>
      <c r="BV560" t="s">
        <v>447</v>
      </c>
    </row>
    <row r="561" spans="1:74" hidden="1" x14ac:dyDescent="0.2">
      <c r="A561">
        <v>578</v>
      </c>
      <c r="B561">
        <v>3</v>
      </c>
      <c r="C561" t="s">
        <v>70</v>
      </c>
      <c r="E561" t="s">
        <v>71</v>
      </c>
      <c r="F561">
        <v>2</v>
      </c>
      <c r="G561">
        <v>1999</v>
      </c>
      <c r="H561">
        <v>23</v>
      </c>
      <c r="I561" t="s">
        <v>64</v>
      </c>
      <c r="J561">
        <v>1</v>
      </c>
      <c r="K561" t="s">
        <v>635</v>
      </c>
      <c r="L561" t="s">
        <v>636</v>
      </c>
      <c r="M561">
        <v>2</v>
      </c>
      <c r="N561">
        <v>66</v>
      </c>
      <c r="O561" t="s">
        <v>277</v>
      </c>
      <c r="P561" t="s">
        <v>278</v>
      </c>
      <c r="Q561" t="s">
        <v>704</v>
      </c>
      <c r="R561" t="s">
        <v>705</v>
      </c>
      <c r="S561" t="s">
        <v>281</v>
      </c>
      <c r="T561" t="s">
        <v>282</v>
      </c>
      <c r="U561" t="s">
        <v>283</v>
      </c>
      <c r="V561" t="s">
        <v>284</v>
      </c>
      <c r="W561" t="s">
        <v>200</v>
      </c>
      <c r="X561" t="s">
        <v>199</v>
      </c>
      <c r="Y561" t="s">
        <v>274</v>
      </c>
      <c r="Z561">
        <v>6</v>
      </c>
      <c r="AA561">
        <v>6</v>
      </c>
      <c r="AB561">
        <v>7</v>
      </c>
      <c r="AC561">
        <v>6</v>
      </c>
      <c r="AD561">
        <v>6</v>
      </c>
      <c r="AE561">
        <v>2</v>
      </c>
      <c r="AF561">
        <v>1</v>
      </c>
      <c r="AG561">
        <v>1</v>
      </c>
      <c r="AH561">
        <v>6</v>
      </c>
      <c r="AI561">
        <v>1</v>
      </c>
      <c r="AJ561">
        <v>6</v>
      </c>
      <c r="AK561">
        <v>4</v>
      </c>
      <c r="AL561">
        <v>4</v>
      </c>
      <c r="AM561">
        <v>6</v>
      </c>
      <c r="AN561">
        <v>113</v>
      </c>
      <c r="AO561">
        <v>2</v>
      </c>
      <c r="AP561">
        <v>6</v>
      </c>
      <c r="AQ561">
        <v>3</v>
      </c>
      <c r="AR561">
        <v>6</v>
      </c>
      <c r="AS561">
        <v>4</v>
      </c>
      <c r="AT561">
        <v>6</v>
      </c>
      <c r="AU561">
        <v>6</v>
      </c>
      <c r="AV561">
        <v>7</v>
      </c>
      <c r="AW561">
        <v>7</v>
      </c>
      <c r="AX561">
        <v>3</v>
      </c>
      <c r="AY561" cm="1">
        <f t="array" ref="AY561">_xlfn.IFS(AZ561="Positive",1, AZ561="Negative",1, AZ561="Neutral",0)</f>
        <v>1</v>
      </c>
      <c r="AZ561" t="s">
        <v>199</v>
      </c>
      <c r="BA561">
        <v>8</v>
      </c>
      <c r="BB561">
        <v>1</v>
      </c>
      <c r="BC561" s="3">
        <v>7</v>
      </c>
      <c r="BD561" s="3">
        <v>0</v>
      </c>
      <c r="BE561" s="3">
        <v>1</v>
      </c>
      <c r="BF561" s="3">
        <v>0</v>
      </c>
      <c r="BG561" s="3">
        <v>0</v>
      </c>
      <c r="BH561">
        <v>0</v>
      </c>
      <c r="BI561">
        <v>0</v>
      </c>
      <c r="BJ561">
        <v>1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 t="s">
        <v>275</v>
      </c>
      <c r="BT561" t="s">
        <v>276</v>
      </c>
      <c r="BU561" t="s">
        <v>279</v>
      </c>
      <c r="BV561" t="s">
        <v>280</v>
      </c>
    </row>
    <row r="562" spans="1:74" hidden="1" x14ac:dyDescent="0.2">
      <c r="A562">
        <v>579</v>
      </c>
      <c r="B562">
        <v>4</v>
      </c>
      <c r="C562" t="s">
        <v>72</v>
      </c>
      <c r="E562" t="s">
        <v>73</v>
      </c>
      <c r="F562">
        <v>2</v>
      </c>
      <c r="G562">
        <v>1999</v>
      </c>
      <c r="H562">
        <v>23</v>
      </c>
      <c r="I562" t="s">
        <v>64</v>
      </c>
      <c r="J562">
        <v>1</v>
      </c>
      <c r="K562" t="s">
        <v>637</v>
      </c>
      <c r="L562" t="s">
        <v>638</v>
      </c>
      <c r="M562">
        <v>8</v>
      </c>
      <c r="N562">
        <v>61</v>
      </c>
      <c r="O562" t="s">
        <v>287</v>
      </c>
      <c r="P562" t="s">
        <v>288</v>
      </c>
      <c r="Q562" t="s">
        <v>706</v>
      </c>
      <c r="R562" t="s">
        <v>707</v>
      </c>
      <c r="S562" t="s">
        <v>291</v>
      </c>
      <c r="T562" t="s">
        <v>292</v>
      </c>
      <c r="U562" t="s">
        <v>293</v>
      </c>
      <c r="V562" t="s">
        <v>294</v>
      </c>
      <c r="W562" t="s">
        <v>200</v>
      </c>
      <c r="X562" t="s">
        <v>199</v>
      </c>
      <c r="Y562" t="s">
        <v>274</v>
      </c>
      <c r="Z562">
        <v>6</v>
      </c>
      <c r="AA562">
        <v>5</v>
      </c>
      <c r="AB562">
        <v>6</v>
      </c>
      <c r="AC562">
        <v>7</v>
      </c>
      <c r="AD562">
        <v>2</v>
      </c>
      <c r="AE562">
        <v>1</v>
      </c>
      <c r="AF562">
        <v>7</v>
      </c>
      <c r="AG562">
        <v>2</v>
      </c>
      <c r="AH562">
        <v>5</v>
      </c>
      <c r="AI562">
        <v>1</v>
      </c>
      <c r="AJ562">
        <v>7</v>
      </c>
      <c r="AK562">
        <v>7</v>
      </c>
      <c r="AL562">
        <v>7</v>
      </c>
      <c r="AM562">
        <v>3</v>
      </c>
      <c r="AN562">
        <v>4</v>
      </c>
      <c r="AO562">
        <v>3</v>
      </c>
      <c r="AP562">
        <v>7</v>
      </c>
      <c r="AQ562">
        <v>5</v>
      </c>
      <c r="AR562">
        <v>3</v>
      </c>
      <c r="AS562">
        <v>3</v>
      </c>
      <c r="AT562">
        <v>3</v>
      </c>
      <c r="AU562">
        <v>6</v>
      </c>
      <c r="AV562">
        <v>6</v>
      </c>
      <c r="AW562">
        <v>7</v>
      </c>
      <c r="AX562">
        <v>3</v>
      </c>
      <c r="AY562" cm="1">
        <f t="array" ref="AY562">_xlfn.IFS(AZ562="Positive",1, AZ562="Negative",1, AZ562="Neutral",0)</f>
        <v>1</v>
      </c>
      <c r="AZ562" t="s">
        <v>199</v>
      </c>
      <c r="BA562">
        <v>7</v>
      </c>
      <c r="BB562">
        <v>1</v>
      </c>
      <c r="BC562" s="3">
        <v>6</v>
      </c>
      <c r="BD562" s="3">
        <v>0</v>
      </c>
      <c r="BE562" s="3">
        <v>1</v>
      </c>
      <c r="BF562" s="3">
        <v>0</v>
      </c>
      <c r="BG562" s="3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1</v>
      </c>
      <c r="BR562">
        <v>0</v>
      </c>
      <c r="BS562" t="s">
        <v>285</v>
      </c>
      <c r="BT562" t="s">
        <v>286</v>
      </c>
      <c r="BU562" t="s">
        <v>289</v>
      </c>
      <c r="BV562" t="s">
        <v>290</v>
      </c>
    </row>
    <row r="563" spans="1:74" hidden="1" x14ac:dyDescent="0.2">
      <c r="A563">
        <v>580</v>
      </c>
      <c r="B563">
        <v>5</v>
      </c>
      <c r="C563" t="s">
        <v>74</v>
      </c>
      <c r="E563" t="s">
        <v>68</v>
      </c>
      <c r="F563">
        <v>6</v>
      </c>
      <c r="G563">
        <v>2001</v>
      </c>
      <c r="H563">
        <v>21</v>
      </c>
      <c r="I563" t="s">
        <v>69</v>
      </c>
      <c r="J563">
        <v>2</v>
      </c>
      <c r="K563" t="s">
        <v>639</v>
      </c>
      <c r="L563" t="s">
        <v>640</v>
      </c>
      <c r="M563">
        <v>20</v>
      </c>
      <c r="N563">
        <v>51</v>
      </c>
      <c r="O563" t="s">
        <v>297</v>
      </c>
      <c r="P563" t="s">
        <v>298</v>
      </c>
      <c r="Q563" t="s">
        <v>708</v>
      </c>
      <c r="R563" t="s">
        <v>709</v>
      </c>
      <c r="S563" t="s">
        <v>301</v>
      </c>
      <c r="T563" t="s">
        <v>302</v>
      </c>
      <c r="U563" t="s">
        <v>303</v>
      </c>
      <c r="V563" t="s">
        <v>304</v>
      </c>
      <c r="W563" t="s">
        <v>200</v>
      </c>
      <c r="X563" t="s">
        <v>199</v>
      </c>
      <c r="Y563" t="s">
        <v>274</v>
      </c>
      <c r="Z563">
        <v>5</v>
      </c>
      <c r="AA563">
        <v>6</v>
      </c>
      <c r="AB563">
        <v>7</v>
      </c>
      <c r="AC563">
        <v>6</v>
      </c>
      <c r="AD563">
        <v>7</v>
      </c>
      <c r="AE563">
        <v>7</v>
      </c>
      <c r="AF563">
        <v>3</v>
      </c>
      <c r="AG563">
        <v>7</v>
      </c>
      <c r="AH563">
        <v>6</v>
      </c>
      <c r="AI563">
        <v>1</v>
      </c>
      <c r="AJ563">
        <v>7</v>
      </c>
      <c r="AK563">
        <v>7</v>
      </c>
      <c r="AL563">
        <v>7</v>
      </c>
      <c r="AM563">
        <v>2</v>
      </c>
      <c r="AN563">
        <v>216</v>
      </c>
      <c r="AO563">
        <v>1</v>
      </c>
      <c r="AP563">
        <v>7</v>
      </c>
      <c r="AQ563">
        <v>7</v>
      </c>
      <c r="AR563">
        <v>6</v>
      </c>
      <c r="AS563">
        <v>5</v>
      </c>
      <c r="AT563">
        <v>6</v>
      </c>
      <c r="AU563">
        <v>6</v>
      </c>
      <c r="AV563">
        <v>5</v>
      </c>
      <c r="AW563">
        <v>7</v>
      </c>
      <c r="AX563">
        <v>3</v>
      </c>
      <c r="AY563" cm="1">
        <f t="array" ref="AY563">_xlfn.IFS(AZ563="Positive",1, AZ563="Negative",1, AZ563="Neutral",0)</f>
        <v>1</v>
      </c>
      <c r="AZ563" t="s">
        <v>199</v>
      </c>
      <c r="BA563">
        <v>9</v>
      </c>
      <c r="BB563">
        <v>3</v>
      </c>
      <c r="BC563" s="3">
        <v>5</v>
      </c>
      <c r="BD563" s="3">
        <v>1</v>
      </c>
      <c r="BE563" s="3">
        <v>0</v>
      </c>
      <c r="BF563" s="3">
        <v>3</v>
      </c>
      <c r="BG563" s="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2</v>
      </c>
      <c r="BN563">
        <v>0</v>
      </c>
      <c r="BO563">
        <v>0</v>
      </c>
      <c r="BP563">
        <v>1</v>
      </c>
      <c r="BQ563">
        <v>0</v>
      </c>
      <c r="BR563">
        <v>0</v>
      </c>
      <c r="BS563" t="s">
        <v>295</v>
      </c>
      <c r="BT563" t="s">
        <v>296</v>
      </c>
      <c r="BU563" t="s">
        <v>299</v>
      </c>
      <c r="BV563" t="s">
        <v>300</v>
      </c>
    </row>
    <row r="564" spans="1:74" hidden="1" x14ac:dyDescent="0.2">
      <c r="A564">
        <v>581</v>
      </c>
      <c r="B564">
        <v>6</v>
      </c>
      <c r="C564" t="s">
        <v>75</v>
      </c>
      <c r="E564" t="s">
        <v>76</v>
      </c>
      <c r="F564">
        <v>28</v>
      </c>
      <c r="G564">
        <v>1999</v>
      </c>
      <c r="H564">
        <v>23</v>
      </c>
      <c r="I564" t="s">
        <v>64</v>
      </c>
      <c r="J564">
        <v>1</v>
      </c>
      <c r="K564" t="s">
        <v>641</v>
      </c>
      <c r="L564" t="s">
        <v>633</v>
      </c>
      <c r="M564">
        <v>21</v>
      </c>
      <c r="N564">
        <v>61</v>
      </c>
      <c r="O564" t="s">
        <v>306</v>
      </c>
      <c r="P564" t="s">
        <v>307</v>
      </c>
      <c r="Q564" t="s">
        <v>710</v>
      </c>
      <c r="R564" t="s">
        <v>711</v>
      </c>
      <c r="S564" t="s">
        <v>310</v>
      </c>
      <c r="T564" t="s">
        <v>292</v>
      </c>
      <c r="U564" t="s">
        <v>311</v>
      </c>
      <c r="V564" t="s">
        <v>312</v>
      </c>
      <c r="W564" t="s">
        <v>200</v>
      </c>
      <c r="X564" t="s">
        <v>199</v>
      </c>
      <c r="Y564" t="s">
        <v>274</v>
      </c>
      <c r="Z564">
        <v>7</v>
      </c>
      <c r="AA564">
        <v>7</v>
      </c>
      <c r="AB564">
        <v>6</v>
      </c>
      <c r="AC564">
        <v>7</v>
      </c>
      <c r="AD564">
        <v>3</v>
      </c>
      <c r="AE564">
        <v>6</v>
      </c>
      <c r="AF564">
        <v>7</v>
      </c>
      <c r="AG564">
        <v>3</v>
      </c>
      <c r="AH564">
        <v>6</v>
      </c>
      <c r="AI564">
        <v>1</v>
      </c>
      <c r="AJ564">
        <v>7</v>
      </c>
      <c r="AK564">
        <v>7</v>
      </c>
      <c r="AL564">
        <v>7</v>
      </c>
      <c r="AM564">
        <v>7</v>
      </c>
      <c r="AN564">
        <v>1</v>
      </c>
      <c r="AO564">
        <v>4</v>
      </c>
      <c r="AP564">
        <v>7</v>
      </c>
      <c r="AQ564">
        <v>7</v>
      </c>
      <c r="AR564">
        <v>6</v>
      </c>
      <c r="AS564">
        <v>5</v>
      </c>
      <c r="AT564">
        <v>6</v>
      </c>
      <c r="AU564">
        <v>5</v>
      </c>
      <c r="AV564">
        <v>6</v>
      </c>
      <c r="AW564">
        <v>7</v>
      </c>
      <c r="AX564">
        <v>3</v>
      </c>
      <c r="AY564" cm="1">
        <f t="array" ref="AY564">_xlfn.IFS(AZ564="Positive",1, AZ564="Negative",1, AZ564="Neutral",0)</f>
        <v>1</v>
      </c>
      <c r="AZ564" t="s">
        <v>199</v>
      </c>
      <c r="BA564">
        <v>4</v>
      </c>
      <c r="BB564">
        <v>0</v>
      </c>
      <c r="BC564" s="3">
        <v>3</v>
      </c>
      <c r="BD564" s="3">
        <v>0</v>
      </c>
      <c r="BE564" s="3">
        <v>1</v>
      </c>
      <c r="BF564" s="3">
        <v>0</v>
      </c>
      <c r="BG564" s="3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 t="s">
        <v>305</v>
      </c>
      <c r="BT564">
        <v>3</v>
      </c>
      <c r="BU564" t="s">
        <v>308</v>
      </c>
      <c r="BV564" t="s">
        <v>309</v>
      </c>
    </row>
    <row r="565" spans="1:74" hidden="1" x14ac:dyDescent="0.2">
      <c r="A565">
        <v>582</v>
      </c>
      <c r="B565">
        <v>7</v>
      </c>
      <c r="C565" t="s">
        <v>77</v>
      </c>
      <c r="E565" t="s">
        <v>78</v>
      </c>
      <c r="F565">
        <v>11</v>
      </c>
      <c r="G565">
        <v>2001</v>
      </c>
      <c r="H565">
        <v>21</v>
      </c>
      <c r="I565" t="s">
        <v>64</v>
      </c>
      <c r="J565">
        <v>1</v>
      </c>
      <c r="K565" t="s">
        <v>642</v>
      </c>
      <c r="L565" t="s">
        <v>643</v>
      </c>
      <c r="M565">
        <v>5</v>
      </c>
      <c r="N565">
        <v>62</v>
      </c>
      <c r="O565" t="s">
        <v>314</v>
      </c>
      <c r="P565" t="s">
        <v>315</v>
      </c>
      <c r="Q565" t="s">
        <v>712</v>
      </c>
      <c r="R565" t="s">
        <v>713</v>
      </c>
      <c r="S565" t="s">
        <v>318</v>
      </c>
      <c r="T565" t="s">
        <v>319</v>
      </c>
      <c r="U565" t="s">
        <v>320</v>
      </c>
      <c r="V565" t="s">
        <v>321</v>
      </c>
      <c r="W565" t="s">
        <v>200</v>
      </c>
      <c r="X565" t="s">
        <v>199</v>
      </c>
      <c r="Y565" t="s">
        <v>274</v>
      </c>
      <c r="Z565">
        <v>6</v>
      </c>
      <c r="AA565">
        <v>7</v>
      </c>
      <c r="AB565">
        <v>7</v>
      </c>
      <c r="AC565">
        <v>7</v>
      </c>
      <c r="AD565">
        <v>4</v>
      </c>
      <c r="AE565">
        <v>6</v>
      </c>
      <c r="AF565">
        <v>3</v>
      </c>
      <c r="AG565">
        <v>2</v>
      </c>
      <c r="AH565">
        <v>6</v>
      </c>
      <c r="AI565">
        <v>1</v>
      </c>
      <c r="AJ565">
        <v>6</v>
      </c>
      <c r="AK565">
        <v>6</v>
      </c>
      <c r="AL565">
        <v>7</v>
      </c>
      <c r="AM565">
        <v>4</v>
      </c>
      <c r="AN565">
        <v>4</v>
      </c>
      <c r="AO565">
        <v>6</v>
      </c>
      <c r="AP565">
        <v>7</v>
      </c>
      <c r="AQ565">
        <v>6</v>
      </c>
      <c r="AR565">
        <v>5</v>
      </c>
      <c r="AS565">
        <v>4</v>
      </c>
      <c r="AT565">
        <v>5</v>
      </c>
      <c r="AU565">
        <v>4</v>
      </c>
      <c r="AV565">
        <v>5</v>
      </c>
      <c r="AW565">
        <v>4</v>
      </c>
      <c r="AX565">
        <v>3</v>
      </c>
      <c r="AY565" cm="1">
        <f t="array" ref="AY565">_xlfn.IFS(AZ565="Positive",1, AZ565="Negative",1, AZ565="Neutral",0)</f>
        <v>1</v>
      </c>
      <c r="AZ565" t="s">
        <v>199</v>
      </c>
      <c r="BA565">
        <v>10</v>
      </c>
      <c r="BB565">
        <v>0</v>
      </c>
      <c r="BC565" s="3">
        <v>6</v>
      </c>
      <c r="BD565" s="3">
        <v>1</v>
      </c>
      <c r="BE565" s="3">
        <v>0</v>
      </c>
      <c r="BF565" s="3">
        <v>1</v>
      </c>
      <c r="BG565" s="3">
        <v>2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 t="s">
        <v>313</v>
      </c>
      <c r="BT565" t="s">
        <v>313</v>
      </c>
      <c r="BU565" t="s">
        <v>316</v>
      </c>
      <c r="BV565" t="s">
        <v>317</v>
      </c>
    </row>
    <row r="566" spans="1:74" hidden="1" x14ac:dyDescent="0.2">
      <c r="A566">
        <v>583</v>
      </c>
      <c r="B566">
        <v>8</v>
      </c>
      <c r="C566" t="s">
        <v>79</v>
      </c>
      <c r="E566" t="s">
        <v>80</v>
      </c>
      <c r="F566">
        <v>22</v>
      </c>
      <c r="G566">
        <v>2000</v>
      </c>
      <c r="H566">
        <v>22</v>
      </c>
      <c r="I566" t="s">
        <v>64</v>
      </c>
      <c r="J566">
        <v>1</v>
      </c>
      <c r="K566" t="s">
        <v>644</v>
      </c>
      <c r="L566" t="s">
        <v>645</v>
      </c>
      <c r="M566">
        <v>13</v>
      </c>
      <c r="N566">
        <v>71</v>
      </c>
      <c r="O566" t="s">
        <v>324</v>
      </c>
      <c r="P566" t="s">
        <v>325</v>
      </c>
      <c r="Q566" t="s">
        <v>714</v>
      </c>
      <c r="R566" t="s">
        <v>715</v>
      </c>
      <c r="S566" t="s">
        <v>328</v>
      </c>
      <c r="T566" t="s">
        <v>329</v>
      </c>
      <c r="U566" t="s">
        <v>330</v>
      </c>
      <c r="V566" t="s">
        <v>331</v>
      </c>
      <c r="W566" t="s">
        <v>200</v>
      </c>
      <c r="X566" t="s">
        <v>199</v>
      </c>
      <c r="Y566" t="s">
        <v>274</v>
      </c>
      <c r="Z566">
        <v>4</v>
      </c>
      <c r="AA566">
        <v>4</v>
      </c>
      <c r="AB566">
        <v>6</v>
      </c>
      <c r="AC566">
        <v>5</v>
      </c>
      <c r="AD566">
        <v>5</v>
      </c>
      <c r="AE566">
        <v>5</v>
      </c>
      <c r="AF566">
        <v>2</v>
      </c>
      <c r="AG566">
        <v>3</v>
      </c>
      <c r="AH566">
        <v>4</v>
      </c>
      <c r="AI566">
        <v>1</v>
      </c>
      <c r="AJ566">
        <v>7</v>
      </c>
      <c r="AK566">
        <v>5</v>
      </c>
      <c r="AL566">
        <v>4</v>
      </c>
      <c r="AM566">
        <v>3</v>
      </c>
      <c r="AN566">
        <v>118</v>
      </c>
      <c r="AO566">
        <v>6</v>
      </c>
      <c r="AP566">
        <v>6</v>
      </c>
      <c r="AQ566">
        <v>4</v>
      </c>
      <c r="AR566">
        <v>3</v>
      </c>
      <c r="AS566">
        <v>4</v>
      </c>
      <c r="AT566">
        <v>3</v>
      </c>
      <c r="AU566">
        <v>5</v>
      </c>
      <c r="AV566">
        <v>5</v>
      </c>
      <c r="AW566">
        <v>3</v>
      </c>
      <c r="AX566">
        <v>3</v>
      </c>
      <c r="AY566" cm="1">
        <f t="array" ref="AY566">_xlfn.IFS(AZ566="Positive",1, AZ566="Negative",1, AZ566="Neutral",0)</f>
        <v>1</v>
      </c>
      <c r="AZ566" t="s">
        <v>199</v>
      </c>
      <c r="BA566">
        <v>19</v>
      </c>
      <c r="BB566">
        <v>3</v>
      </c>
      <c r="BC566" s="3">
        <v>10</v>
      </c>
      <c r="BD566" s="3">
        <v>0</v>
      </c>
      <c r="BE566" s="3">
        <v>2</v>
      </c>
      <c r="BF566" s="3">
        <v>5</v>
      </c>
      <c r="BG566" s="3">
        <v>2</v>
      </c>
      <c r="BH566">
        <v>0</v>
      </c>
      <c r="BI566">
        <v>0</v>
      </c>
      <c r="BJ566">
        <v>2</v>
      </c>
      <c r="BK566">
        <v>1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 t="s">
        <v>322</v>
      </c>
      <c r="BT566" t="s">
        <v>323</v>
      </c>
      <c r="BU566" t="s">
        <v>326</v>
      </c>
      <c r="BV566" t="s">
        <v>327</v>
      </c>
    </row>
    <row r="567" spans="1:74" hidden="1" x14ac:dyDescent="0.2">
      <c r="A567">
        <v>584</v>
      </c>
      <c r="B567">
        <v>9</v>
      </c>
      <c r="C567" t="s">
        <v>81</v>
      </c>
      <c r="E567" t="s">
        <v>82</v>
      </c>
      <c r="F567">
        <v>29</v>
      </c>
      <c r="G567">
        <v>1999</v>
      </c>
      <c r="H567">
        <v>23</v>
      </c>
      <c r="I567" t="s">
        <v>69</v>
      </c>
      <c r="J567">
        <v>2</v>
      </c>
      <c r="K567" t="s">
        <v>646</v>
      </c>
      <c r="L567" t="s">
        <v>647</v>
      </c>
      <c r="M567">
        <v>1</v>
      </c>
      <c r="N567">
        <v>43</v>
      </c>
      <c r="O567" t="s">
        <v>332</v>
      </c>
      <c r="P567" t="s">
        <v>315</v>
      </c>
      <c r="Q567" t="s">
        <v>716</v>
      </c>
      <c r="R567" t="s">
        <v>717</v>
      </c>
      <c r="S567" t="s">
        <v>335</v>
      </c>
      <c r="T567" t="s">
        <v>336</v>
      </c>
      <c r="U567" t="s">
        <v>337</v>
      </c>
      <c r="V567" t="s">
        <v>321</v>
      </c>
      <c r="W567" t="s">
        <v>200</v>
      </c>
      <c r="X567" t="s">
        <v>199</v>
      </c>
      <c r="Y567" t="s">
        <v>274</v>
      </c>
      <c r="Z567">
        <v>2</v>
      </c>
      <c r="AA567">
        <v>1</v>
      </c>
      <c r="AB567">
        <v>1</v>
      </c>
      <c r="AC567">
        <v>1</v>
      </c>
      <c r="AD567">
        <v>1</v>
      </c>
      <c r="AE567">
        <v>7</v>
      </c>
      <c r="AF567">
        <v>1</v>
      </c>
      <c r="AG567">
        <v>7</v>
      </c>
      <c r="AH567">
        <v>1</v>
      </c>
      <c r="AI567">
        <v>2</v>
      </c>
      <c r="AJ567">
        <v>2</v>
      </c>
      <c r="AK567">
        <v>2</v>
      </c>
      <c r="AL567">
        <v>3</v>
      </c>
      <c r="AM567">
        <v>5</v>
      </c>
      <c r="AN567">
        <v>72</v>
      </c>
      <c r="AO567">
        <v>1</v>
      </c>
      <c r="AP567">
        <v>7</v>
      </c>
      <c r="AQ567">
        <v>7</v>
      </c>
      <c r="AR567">
        <v>4</v>
      </c>
      <c r="AS567">
        <v>4</v>
      </c>
      <c r="AT567">
        <v>4</v>
      </c>
      <c r="AU567">
        <v>5</v>
      </c>
      <c r="AV567">
        <v>4</v>
      </c>
      <c r="AW567">
        <v>5</v>
      </c>
      <c r="AX567">
        <v>3</v>
      </c>
      <c r="AY567" cm="1">
        <f t="array" ref="AY567">_xlfn.IFS(AZ567="Positive",1, AZ567="Negative",1, AZ567="Neutral",0)</f>
        <v>1</v>
      </c>
      <c r="AZ567" t="s">
        <v>199</v>
      </c>
      <c r="BA567">
        <v>8</v>
      </c>
      <c r="BB567">
        <v>0</v>
      </c>
      <c r="BC567" s="3">
        <v>2</v>
      </c>
      <c r="BD567" s="3">
        <v>2</v>
      </c>
      <c r="BE567" s="3">
        <v>1</v>
      </c>
      <c r="BF567" s="3">
        <v>3</v>
      </c>
      <c r="BG567" s="3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2</v>
      </c>
      <c r="BT567" t="s">
        <v>275</v>
      </c>
      <c r="BU567" t="s">
        <v>333</v>
      </c>
      <c r="BV567" t="s">
        <v>334</v>
      </c>
    </row>
    <row r="568" spans="1:74" hidden="1" x14ac:dyDescent="0.2">
      <c r="A568">
        <v>585</v>
      </c>
      <c r="B568">
        <v>10</v>
      </c>
      <c r="C568" t="s">
        <v>83</v>
      </c>
      <c r="E568" t="s">
        <v>80</v>
      </c>
      <c r="F568">
        <v>23</v>
      </c>
      <c r="G568">
        <v>2001</v>
      </c>
      <c r="H568">
        <v>21</v>
      </c>
      <c r="I568" t="s">
        <v>64</v>
      </c>
      <c r="J568">
        <v>1</v>
      </c>
      <c r="K568" t="s">
        <v>637</v>
      </c>
      <c r="L568" t="s">
        <v>648</v>
      </c>
      <c r="M568">
        <v>13</v>
      </c>
      <c r="N568">
        <v>59</v>
      </c>
      <c r="O568" t="s">
        <v>338</v>
      </c>
      <c r="P568" t="s">
        <v>339</v>
      </c>
      <c r="Q568" t="s">
        <v>706</v>
      </c>
      <c r="R568" t="s">
        <v>718</v>
      </c>
      <c r="S568" t="s">
        <v>328</v>
      </c>
      <c r="T568" t="s">
        <v>341</v>
      </c>
      <c r="U568" t="s">
        <v>342</v>
      </c>
      <c r="V568" t="s">
        <v>343</v>
      </c>
      <c r="W568" t="s">
        <v>200</v>
      </c>
      <c r="X568" t="s">
        <v>199</v>
      </c>
      <c r="Y568" t="s">
        <v>274</v>
      </c>
      <c r="Z568">
        <v>5</v>
      </c>
      <c r="AA568">
        <v>5</v>
      </c>
      <c r="AB568">
        <v>6</v>
      </c>
      <c r="AC568">
        <v>4</v>
      </c>
      <c r="AD568">
        <v>3</v>
      </c>
      <c r="AE568">
        <v>3</v>
      </c>
      <c r="AF568">
        <v>2</v>
      </c>
      <c r="AG568">
        <v>4</v>
      </c>
      <c r="AH568">
        <v>5</v>
      </c>
      <c r="AI568">
        <v>1</v>
      </c>
      <c r="AJ568">
        <v>7</v>
      </c>
      <c r="AK568">
        <v>4</v>
      </c>
      <c r="AL568">
        <v>2</v>
      </c>
      <c r="AM568">
        <v>4</v>
      </c>
      <c r="AN568">
        <v>24</v>
      </c>
      <c r="AO568">
        <v>2</v>
      </c>
      <c r="AP568">
        <v>7</v>
      </c>
      <c r="AQ568">
        <v>6</v>
      </c>
      <c r="AR568">
        <v>4</v>
      </c>
      <c r="AS568">
        <v>5</v>
      </c>
      <c r="AT568">
        <v>5</v>
      </c>
      <c r="AU568">
        <v>5</v>
      </c>
      <c r="AV568">
        <v>4</v>
      </c>
      <c r="AW568">
        <v>4</v>
      </c>
      <c r="AX568">
        <v>3</v>
      </c>
      <c r="AY568" cm="1">
        <f t="array" ref="AY568">_xlfn.IFS(AZ568="Positive",1, AZ568="Negative",1, AZ568="Neutral",0)</f>
        <v>1</v>
      </c>
      <c r="AZ568" t="s">
        <v>199</v>
      </c>
      <c r="BA568">
        <v>7</v>
      </c>
      <c r="BB568">
        <v>4</v>
      </c>
      <c r="BC568" s="3">
        <v>3</v>
      </c>
      <c r="BD568" s="3">
        <v>3</v>
      </c>
      <c r="BE568" s="3">
        <v>0</v>
      </c>
      <c r="BF568" s="3">
        <v>0</v>
      </c>
      <c r="BG568" s="3">
        <v>1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2</v>
      </c>
      <c r="BN568">
        <v>0</v>
      </c>
      <c r="BO568">
        <v>0</v>
      </c>
      <c r="BP568">
        <v>1</v>
      </c>
      <c r="BQ568">
        <v>1</v>
      </c>
      <c r="BR568">
        <v>0</v>
      </c>
      <c r="BS568" t="s">
        <v>285</v>
      </c>
      <c r="BT568">
        <v>2</v>
      </c>
      <c r="BU568" t="s">
        <v>289</v>
      </c>
      <c r="BV568" t="s">
        <v>340</v>
      </c>
    </row>
    <row r="569" spans="1:74" hidden="1" x14ac:dyDescent="0.2">
      <c r="A569">
        <v>586</v>
      </c>
      <c r="B569">
        <v>11</v>
      </c>
      <c r="C569" t="s">
        <v>84</v>
      </c>
      <c r="E569" t="s">
        <v>85</v>
      </c>
      <c r="F569">
        <v>26</v>
      </c>
      <c r="G569">
        <v>2000</v>
      </c>
      <c r="H569">
        <v>22</v>
      </c>
      <c r="I569" t="s">
        <v>64</v>
      </c>
      <c r="J569">
        <v>1</v>
      </c>
      <c r="K569" t="s">
        <v>649</v>
      </c>
      <c r="L569" t="s">
        <v>650</v>
      </c>
      <c r="M569">
        <v>9</v>
      </c>
      <c r="N569">
        <v>61</v>
      </c>
      <c r="O569" t="s">
        <v>346</v>
      </c>
      <c r="P569" t="s">
        <v>314</v>
      </c>
      <c r="Q569" t="s">
        <v>719</v>
      </c>
      <c r="R569" t="s">
        <v>720</v>
      </c>
      <c r="S569" t="s">
        <v>349</v>
      </c>
      <c r="T569" t="s">
        <v>292</v>
      </c>
      <c r="U569" t="s">
        <v>350</v>
      </c>
      <c r="V569" t="s">
        <v>351</v>
      </c>
      <c r="W569" t="s">
        <v>200</v>
      </c>
      <c r="X569" t="s">
        <v>199</v>
      </c>
      <c r="Y569" t="s">
        <v>274</v>
      </c>
      <c r="Z569">
        <v>6</v>
      </c>
      <c r="AA569">
        <v>6</v>
      </c>
      <c r="AB569">
        <v>6</v>
      </c>
      <c r="AC569">
        <v>6</v>
      </c>
      <c r="AD569">
        <v>6</v>
      </c>
      <c r="AE569">
        <v>5</v>
      </c>
      <c r="AF569">
        <v>1</v>
      </c>
      <c r="AG569">
        <v>2</v>
      </c>
      <c r="AH569">
        <v>6</v>
      </c>
      <c r="AI569">
        <v>1</v>
      </c>
      <c r="AJ569">
        <v>7</v>
      </c>
      <c r="AK569">
        <v>6</v>
      </c>
      <c r="AL569">
        <v>6</v>
      </c>
      <c r="AM569">
        <v>6</v>
      </c>
      <c r="AN569">
        <v>120</v>
      </c>
      <c r="AO569">
        <v>5</v>
      </c>
      <c r="AP569">
        <v>6</v>
      </c>
      <c r="AQ569">
        <v>6</v>
      </c>
      <c r="AR569">
        <v>6</v>
      </c>
      <c r="AS569">
        <v>5</v>
      </c>
      <c r="AT569">
        <v>5</v>
      </c>
      <c r="AU569">
        <v>5</v>
      </c>
      <c r="AV569">
        <v>5</v>
      </c>
      <c r="AW569">
        <v>5</v>
      </c>
      <c r="AX569">
        <v>3</v>
      </c>
      <c r="AY569" cm="1">
        <f t="array" ref="AY569">_xlfn.IFS(AZ569="Positive",1, AZ569="Negative",1, AZ569="Neutral",0)</f>
        <v>1</v>
      </c>
      <c r="AZ569" t="s">
        <v>199</v>
      </c>
      <c r="BA569">
        <v>7</v>
      </c>
      <c r="BB569">
        <v>0</v>
      </c>
      <c r="BC569" s="3">
        <v>7</v>
      </c>
      <c r="BD569" s="3">
        <v>0</v>
      </c>
      <c r="BE569" s="3">
        <v>0</v>
      </c>
      <c r="BF569" s="3">
        <v>0</v>
      </c>
      <c r="BG569" s="3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 t="s">
        <v>344</v>
      </c>
      <c r="BT569" t="s">
        <v>345</v>
      </c>
      <c r="BU569" t="s">
        <v>347</v>
      </c>
      <c r="BV569" t="s">
        <v>348</v>
      </c>
    </row>
    <row r="570" spans="1:74" hidden="1" x14ac:dyDescent="0.2">
      <c r="A570">
        <v>587</v>
      </c>
      <c r="B570">
        <v>12</v>
      </c>
      <c r="C570" t="s">
        <v>86</v>
      </c>
      <c r="E570" t="s">
        <v>63</v>
      </c>
      <c r="F570">
        <v>7</v>
      </c>
      <c r="G570">
        <v>2001</v>
      </c>
      <c r="H570">
        <v>21</v>
      </c>
      <c r="I570" t="s">
        <v>69</v>
      </c>
      <c r="J570">
        <v>2</v>
      </c>
      <c r="K570" t="s">
        <v>651</v>
      </c>
      <c r="L570" t="s">
        <v>652</v>
      </c>
      <c r="M570">
        <v>19</v>
      </c>
      <c r="N570">
        <v>69</v>
      </c>
      <c r="O570" t="s">
        <v>353</v>
      </c>
      <c r="P570" t="s">
        <v>354</v>
      </c>
      <c r="Q570" t="s">
        <v>721</v>
      </c>
      <c r="R570" t="s">
        <v>722</v>
      </c>
      <c r="S570" t="s">
        <v>356</v>
      </c>
      <c r="T570" t="s">
        <v>357</v>
      </c>
      <c r="U570" t="s">
        <v>358</v>
      </c>
      <c r="V570" t="s">
        <v>359</v>
      </c>
      <c r="W570" t="s">
        <v>200</v>
      </c>
      <c r="X570" t="s">
        <v>199</v>
      </c>
      <c r="Y570" t="s">
        <v>274</v>
      </c>
      <c r="Z570">
        <v>7</v>
      </c>
      <c r="AA570">
        <v>7</v>
      </c>
      <c r="AB570">
        <v>7</v>
      </c>
      <c r="AC570">
        <v>7</v>
      </c>
      <c r="AD570">
        <v>4</v>
      </c>
      <c r="AE570">
        <v>7</v>
      </c>
      <c r="AF570">
        <v>1</v>
      </c>
      <c r="AG570">
        <v>1</v>
      </c>
      <c r="AH570">
        <v>7</v>
      </c>
      <c r="AI570">
        <v>1</v>
      </c>
      <c r="AJ570">
        <v>7</v>
      </c>
      <c r="AK570">
        <v>7</v>
      </c>
      <c r="AL570">
        <v>7</v>
      </c>
      <c r="AM570">
        <v>6</v>
      </c>
      <c r="AN570">
        <v>18</v>
      </c>
      <c r="AO570">
        <v>1</v>
      </c>
      <c r="AP570">
        <v>7</v>
      </c>
      <c r="AQ570">
        <v>7</v>
      </c>
      <c r="AR570">
        <v>7</v>
      </c>
      <c r="AS570">
        <v>4</v>
      </c>
      <c r="AT570">
        <v>7</v>
      </c>
      <c r="AU570">
        <v>2</v>
      </c>
      <c r="AV570">
        <v>7</v>
      </c>
      <c r="AW570">
        <v>7</v>
      </c>
      <c r="AX570">
        <v>3</v>
      </c>
      <c r="AY570" cm="1">
        <f t="array" ref="AY570">_xlfn.IFS(AZ570="Positive",1, AZ570="Negative",1, AZ570="Neutral",0)</f>
        <v>1</v>
      </c>
      <c r="AZ570" t="s">
        <v>199</v>
      </c>
      <c r="BA570">
        <v>33</v>
      </c>
      <c r="BB570">
        <v>4</v>
      </c>
      <c r="BC570" s="3">
        <v>26</v>
      </c>
      <c r="BD570" s="3">
        <v>0</v>
      </c>
      <c r="BE570" s="3">
        <v>3</v>
      </c>
      <c r="BF570" s="3">
        <v>3</v>
      </c>
      <c r="BG570" s="3">
        <v>1</v>
      </c>
      <c r="BH570">
        <v>0</v>
      </c>
      <c r="BI570">
        <v>0</v>
      </c>
      <c r="BJ570">
        <v>4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 t="s">
        <v>352</v>
      </c>
      <c r="BT570" t="s">
        <v>296</v>
      </c>
      <c r="BU570" t="s">
        <v>355</v>
      </c>
      <c r="BV570" t="s">
        <v>300</v>
      </c>
    </row>
    <row r="571" spans="1:74" hidden="1" x14ac:dyDescent="0.2">
      <c r="A571">
        <v>588</v>
      </c>
      <c r="B571">
        <v>13</v>
      </c>
      <c r="C571" t="s">
        <v>87</v>
      </c>
      <c r="E571" t="s">
        <v>88</v>
      </c>
      <c r="F571">
        <v>14</v>
      </c>
      <c r="G571">
        <v>1999</v>
      </c>
      <c r="H571">
        <v>23</v>
      </c>
      <c r="I571" t="s">
        <v>69</v>
      </c>
      <c r="J571">
        <v>2</v>
      </c>
      <c r="K571" t="s">
        <v>416</v>
      </c>
      <c r="L571" t="s">
        <v>653</v>
      </c>
      <c r="M571">
        <v>15</v>
      </c>
      <c r="N571">
        <v>58</v>
      </c>
      <c r="O571" t="s">
        <v>360</v>
      </c>
      <c r="P571" t="s">
        <v>361</v>
      </c>
      <c r="Q571" t="s">
        <v>723</v>
      </c>
      <c r="R571" t="s">
        <v>724</v>
      </c>
      <c r="S571" t="s">
        <v>363</v>
      </c>
      <c r="T571" t="s">
        <v>364</v>
      </c>
      <c r="U571" t="s">
        <v>365</v>
      </c>
      <c r="V571" t="s">
        <v>366</v>
      </c>
      <c r="W571" t="s">
        <v>200</v>
      </c>
      <c r="X571" t="s">
        <v>199</v>
      </c>
      <c r="Y571" t="s">
        <v>274</v>
      </c>
      <c r="Z571">
        <v>7</v>
      </c>
      <c r="AA571">
        <v>7</v>
      </c>
      <c r="AB571">
        <v>7</v>
      </c>
      <c r="AC571">
        <v>3</v>
      </c>
      <c r="AD571">
        <v>1</v>
      </c>
      <c r="AE571">
        <v>2</v>
      </c>
      <c r="AF571">
        <v>4</v>
      </c>
      <c r="AG571">
        <v>1</v>
      </c>
      <c r="AH571">
        <v>6</v>
      </c>
      <c r="AI571">
        <v>1</v>
      </c>
      <c r="AJ571">
        <v>7</v>
      </c>
      <c r="AK571">
        <v>7</v>
      </c>
      <c r="AL571">
        <v>7</v>
      </c>
      <c r="AM571">
        <v>4</v>
      </c>
      <c r="AN571">
        <v>3</v>
      </c>
      <c r="AO571">
        <v>1</v>
      </c>
      <c r="AP571">
        <v>7</v>
      </c>
      <c r="AQ571">
        <v>6</v>
      </c>
      <c r="AR571">
        <v>5</v>
      </c>
      <c r="AS571">
        <v>7</v>
      </c>
      <c r="AT571">
        <v>7</v>
      </c>
      <c r="AU571">
        <v>7</v>
      </c>
      <c r="AV571">
        <v>6</v>
      </c>
      <c r="AW571">
        <v>7</v>
      </c>
      <c r="AX571">
        <v>3</v>
      </c>
      <c r="AY571" cm="1">
        <f t="array" ref="AY571">_xlfn.IFS(AZ571="Positive",1, AZ571="Negative",1, AZ571="Neutral",0)</f>
        <v>1</v>
      </c>
      <c r="AZ571" t="s">
        <v>199</v>
      </c>
      <c r="BA571">
        <v>6</v>
      </c>
      <c r="BB571">
        <v>2</v>
      </c>
      <c r="BC571" s="3">
        <v>6</v>
      </c>
      <c r="BD571" s="3">
        <v>0</v>
      </c>
      <c r="BE571" s="3">
        <v>0</v>
      </c>
      <c r="BF571" s="3">
        <v>0</v>
      </c>
      <c r="BG571" s="3">
        <v>0</v>
      </c>
      <c r="BH571">
        <v>0</v>
      </c>
      <c r="BI571">
        <v>0</v>
      </c>
      <c r="BJ571">
        <v>2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 t="s">
        <v>296</v>
      </c>
      <c r="BT571">
        <v>3</v>
      </c>
      <c r="BU571" t="s">
        <v>362</v>
      </c>
      <c r="BV571" t="s">
        <v>309</v>
      </c>
    </row>
    <row r="572" spans="1:74" hidden="1" x14ac:dyDescent="0.2">
      <c r="A572">
        <v>589</v>
      </c>
      <c r="B572">
        <v>14</v>
      </c>
      <c r="C572" t="s">
        <v>89</v>
      </c>
      <c r="E572" t="s">
        <v>82</v>
      </c>
      <c r="F572">
        <v>15</v>
      </c>
      <c r="G572">
        <v>1999</v>
      </c>
      <c r="H572">
        <v>23</v>
      </c>
      <c r="I572" t="s">
        <v>64</v>
      </c>
      <c r="J572">
        <v>1</v>
      </c>
      <c r="K572" t="s">
        <v>416</v>
      </c>
      <c r="L572" t="s">
        <v>654</v>
      </c>
      <c r="M572">
        <v>7</v>
      </c>
      <c r="N572">
        <v>59</v>
      </c>
      <c r="O572" t="s">
        <v>629</v>
      </c>
      <c r="P572" t="s">
        <v>460</v>
      </c>
      <c r="Q572" t="s">
        <v>723</v>
      </c>
      <c r="R572" t="s">
        <v>728</v>
      </c>
      <c r="S572" t="s">
        <v>430</v>
      </c>
      <c r="T572" t="s">
        <v>341</v>
      </c>
      <c r="U572" t="s">
        <v>630</v>
      </c>
      <c r="V572" t="s">
        <v>462</v>
      </c>
      <c r="W572" t="s">
        <v>200</v>
      </c>
      <c r="X572" t="s">
        <v>199</v>
      </c>
      <c r="Y572" t="s">
        <v>274</v>
      </c>
      <c r="Z572">
        <v>6</v>
      </c>
      <c r="AA572">
        <v>6</v>
      </c>
      <c r="AB572">
        <v>6</v>
      </c>
      <c r="AC572">
        <v>5</v>
      </c>
      <c r="AD572">
        <v>1</v>
      </c>
      <c r="AE572">
        <v>6</v>
      </c>
      <c r="AF572">
        <v>2</v>
      </c>
      <c r="AG572">
        <v>3</v>
      </c>
      <c r="AH572">
        <v>6</v>
      </c>
      <c r="AI572">
        <v>2</v>
      </c>
      <c r="AJ572">
        <v>6</v>
      </c>
      <c r="AK572">
        <v>6</v>
      </c>
      <c r="AL572">
        <v>5</v>
      </c>
      <c r="AM572">
        <v>4</v>
      </c>
      <c r="AN572">
        <v>12</v>
      </c>
      <c r="AO572">
        <v>6</v>
      </c>
      <c r="AP572">
        <v>5</v>
      </c>
      <c r="AQ572">
        <v>5</v>
      </c>
      <c r="AR572">
        <v>4</v>
      </c>
      <c r="AS572">
        <v>6</v>
      </c>
      <c r="AT572">
        <v>5</v>
      </c>
      <c r="AU572">
        <v>6</v>
      </c>
      <c r="AV572">
        <v>6</v>
      </c>
      <c r="AW572">
        <v>6</v>
      </c>
      <c r="AX572">
        <v>2</v>
      </c>
      <c r="AY572" cm="1">
        <f t="array" ref="AY572">_xlfn.IFS(AZ572="Positive",1, AZ572="Negative",1, AZ572="Neutral",0)</f>
        <v>1</v>
      </c>
      <c r="AZ572" t="s">
        <v>199</v>
      </c>
      <c r="BA572">
        <v>4</v>
      </c>
      <c r="BB572">
        <v>6</v>
      </c>
      <c r="BC572" s="3">
        <v>3</v>
      </c>
      <c r="BD572" s="3">
        <v>0</v>
      </c>
      <c r="BE572" s="3">
        <v>1</v>
      </c>
      <c r="BF572" s="3">
        <v>0</v>
      </c>
      <c r="BG572" s="3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5</v>
      </c>
      <c r="BN572">
        <v>0</v>
      </c>
      <c r="BO572">
        <v>1</v>
      </c>
      <c r="BP572">
        <v>0</v>
      </c>
      <c r="BQ572">
        <v>0</v>
      </c>
      <c r="BR572">
        <v>0</v>
      </c>
      <c r="BS572" t="s">
        <v>382</v>
      </c>
      <c r="BT572" t="s">
        <v>536</v>
      </c>
      <c r="BU572" t="s">
        <v>385</v>
      </c>
      <c r="BV572" t="s">
        <v>556</v>
      </c>
    </row>
    <row r="573" spans="1:74" hidden="1" x14ac:dyDescent="0.2">
      <c r="A573">
        <v>590</v>
      </c>
      <c r="B573">
        <v>15</v>
      </c>
      <c r="C573" t="s">
        <v>90</v>
      </c>
      <c r="E573" t="s">
        <v>76</v>
      </c>
      <c r="F573">
        <v>26</v>
      </c>
      <c r="G573">
        <v>2000</v>
      </c>
      <c r="H573">
        <v>22</v>
      </c>
      <c r="I573" t="s">
        <v>64</v>
      </c>
      <c r="J573">
        <v>1</v>
      </c>
      <c r="K573" t="s">
        <v>655</v>
      </c>
      <c r="L573" t="s">
        <v>656</v>
      </c>
      <c r="M573">
        <v>3</v>
      </c>
      <c r="N573">
        <v>69</v>
      </c>
      <c r="O573" t="s">
        <v>368</v>
      </c>
      <c r="P573" t="s">
        <v>369</v>
      </c>
      <c r="Q573" t="s">
        <v>725</v>
      </c>
      <c r="R573" t="s">
        <v>726</v>
      </c>
      <c r="S573" t="s">
        <v>372</v>
      </c>
      <c r="T573" t="s">
        <v>357</v>
      </c>
      <c r="U573" t="s">
        <v>373</v>
      </c>
      <c r="V573" t="s">
        <v>374</v>
      </c>
      <c r="W573" t="s">
        <v>200</v>
      </c>
      <c r="X573" t="s">
        <v>199</v>
      </c>
      <c r="Y573" t="s">
        <v>274</v>
      </c>
      <c r="Z573">
        <v>6</v>
      </c>
      <c r="AA573">
        <v>5</v>
      </c>
      <c r="AB573">
        <v>6</v>
      </c>
      <c r="AC573">
        <v>5</v>
      </c>
      <c r="AD573">
        <v>1</v>
      </c>
      <c r="AE573">
        <v>6</v>
      </c>
      <c r="AF573">
        <v>2</v>
      </c>
      <c r="AG573">
        <v>1</v>
      </c>
      <c r="AH573">
        <v>3</v>
      </c>
      <c r="AI573">
        <v>1</v>
      </c>
      <c r="AJ573">
        <v>5</v>
      </c>
      <c r="AK573">
        <v>5</v>
      </c>
      <c r="AL573">
        <v>1</v>
      </c>
      <c r="AM573">
        <v>4</v>
      </c>
      <c r="AN573">
        <v>6</v>
      </c>
      <c r="AO573">
        <v>3</v>
      </c>
      <c r="AP573">
        <v>6</v>
      </c>
      <c r="AQ573">
        <v>5</v>
      </c>
      <c r="AR573">
        <v>5</v>
      </c>
      <c r="AS573">
        <v>5</v>
      </c>
      <c r="AT573">
        <v>6</v>
      </c>
      <c r="AU573">
        <v>6</v>
      </c>
      <c r="AV573">
        <v>6</v>
      </c>
      <c r="AW573">
        <v>7</v>
      </c>
      <c r="AX573">
        <v>3</v>
      </c>
      <c r="AY573" cm="1">
        <f t="array" ref="AY573">_xlfn.IFS(AZ573="Positive",1, AZ573="Negative",1, AZ573="Neutral",0)</f>
        <v>1</v>
      </c>
      <c r="AZ573" t="s">
        <v>199</v>
      </c>
      <c r="BA573">
        <v>15</v>
      </c>
      <c r="BB573">
        <v>1</v>
      </c>
      <c r="BC573" s="3">
        <v>10</v>
      </c>
      <c r="BD573" s="3">
        <v>0</v>
      </c>
      <c r="BE573" s="3">
        <v>1</v>
      </c>
      <c r="BF573" s="3">
        <v>4</v>
      </c>
      <c r="BG573" s="3">
        <v>0</v>
      </c>
      <c r="BH573">
        <v>0</v>
      </c>
      <c r="BI573">
        <v>0</v>
      </c>
      <c r="BJ573">
        <v>0</v>
      </c>
      <c r="BK573">
        <v>0</v>
      </c>
      <c r="BL573">
        <v>1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4</v>
      </c>
      <c r="BT573" t="s">
        <v>367</v>
      </c>
      <c r="BU573" t="s">
        <v>370</v>
      </c>
      <c r="BV573" t="s">
        <v>371</v>
      </c>
    </row>
    <row r="574" spans="1:74" x14ac:dyDescent="0.2">
      <c r="A574">
        <v>591</v>
      </c>
      <c r="B574">
        <v>16</v>
      </c>
      <c r="C574" t="s">
        <v>91</v>
      </c>
      <c r="E574" t="s">
        <v>82</v>
      </c>
      <c r="F574">
        <v>8</v>
      </c>
      <c r="G574">
        <v>2000</v>
      </c>
      <c r="H574">
        <v>22</v>
      </c>
      <c r="I574" t="s">
        <v>64</v>
      </c>
      <c r="J574">
        <v>1</v>
      </c>
      <c r="K574" t="s">
        <v>657</v>
      </c>
      <c r="L574" t="s">
        <v>654</v>
      </c>
      <c r="M574">
        <v>10</v>
      </c>
      <c r="N574">
        <v>72</v>
      </c>
      <c r="O574" t="s">
        <v>278</v>
      </c>
      <c r="P574" t="s">
        <v>376</v>
      </c>
      <c r="Q574" t="s">
        <v>727</v>
      </c>
      <c r="R574" t="s">
        <v>728</v>
      </c>
      <c r="S574" t="s">
        <v>378</v>
      </c>
      <c r="T574" t="s">
        <v>379</v>
      </c>
      <c r="U574" t="s">
        <v>380</v>
      </c>
      <c r="V574" t="s">
        <v>381</v>
      </c>
      <c r="W574" t="s">
        <v>200</v>
      </c>
      <c r="X574" t="s">
        <v>199</v>
      </c>
      <c r="Y574" t="s">
        <v>274</v>
      </c>
      <c r="Z574">
        <v>4</v>
      </c>
      <c r="AA574">
        <v>1</v>
      </c>
      <c r="AB574">
        <v>4</v>
      </c>
      <c r="AC574">
        <v>1</v>
      </c>
      <c r="AD574">
        <v>1</v>
      </c>
      <c r="AE574">
        <v>1</v>
      </c>
      <c r="AF574">
        <v>1</v>
      </c>
      <c r="AG574">
        <v>7</v>
      </c>
      <c r="AH574">
        <v>1</v>
      </c>
      <c r="AI574">
        <v>1</v>
      </c>
      <c r="AJ574">
        <v>7</v>
      </c>
      <c r="AK574">
        <v>6</v>
      </c>
      <c r="AL574">
        <v>7</v>
      </c>
      <c r="AM574">
        <v>2</v>
      </c>
      <c r="AN574">
        <v>48</v>
      </c>
      <c r="AO574">
        <v>7</v>
      </c>
      <c r="AP574">
        <v>7</v>
      </c>
      <c r="AQ574">
        <v>7</v>
      </c>
      <c r="AR574">
        <v>2</v>
      </c>
      <c r="AS574">
        <v>5</v>
      </c>
      <c r="AT574">
        <v>5</v>
      </c>
      <c r="AU574">
        <v>2</v>
      </c>
      <c r="AV574">
        <v>2</v>
      </c>
      <c r="AW574">
        <v>3</v>
      </c>
      <c r="AX574">
        <v>3</v>
      </c>
      <c r="AY574" cm="1">
        <f t="array" ref="AY574">_xlfn.IFS(AZ574="Positive",1, AZ574="Negative",1, AZ574="Neutral",0)</f>
        <v>1</v>
      </c>
      <c r="AZ574" t="s">
        <v>199</v>
      </c>
      <c r="BA574">
        <v>0</v>
      </c>
      <c r="BB574">
        <v>1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>
        <v>0</v>
      </c>
      <c r="BI574">
        <v>0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 t="s">
        <v>375</v>
      </c>
      <c r="BT574" t="s">
        <v>367</v>
      </c>
      <c r="BU574" t="s">
        <v>377</v>
      </c>
      <c r="BV574" t="s">
        <v>371</v>
      </c>
    </row>
    <row r="575" spans="1:74" hidden="1" x14ac:dyDescent="0.2">
      <c r="A575">
        <v>592</v>
      </c>
      <c r="B575">
        <v>17</v>
      </c>
      <c r="C575" t="s">
        <v>92</v>
      </c>
      <c r="E575" t="s">
        <v>93</v>
      </c>
      <c r="F575">
        <v>25</v>
      </c>
      <c r="G575">
        <v>2001</v>
      </c>
      <c r="H575">
        <v>21</v>
      </c>
      <c r="I575" t="s">
        <v>64</v>
      </c>
      <c r="J575">
        <v>1</v>
      </c>
      <c r="K575" t="s">
        <v>658</v>
      </c>
      <c r="L575" t="s">
        <v>653</v>
      </c>
      <c r="M575">
        <v>10</v>
      </c>
      <c r="N575">
        <v>69</v>
      </c>
      <c r="O575" t="s">
        <v>384</v>
      </c>
      <c r="P575" t="s">
        <v>307</v>
      </c>
      <c r="Q575" t="s">
        <v>729</v>
      </c>
      <c r="R575" t="s">
        <v>724</v>
      </c>
      <c r="S575" t="s">
        <v>378</v>
      </c>
      <c r="T575" t="s">
        <v>357</v>
      </c>
      <c r="U575" t="s">
        <v>387</v>
      </c>
      <c r="V575" t="s">
        <v>312</v>
      </c>
      <c r="W575" t="s">
        <v>200</v>
      </c>
      <c r="X575" t="s">
        <v>199</v>
      </c>
      <c r="Y575" t="s">
        <v>274</v>
      </c>
      <c r="Z575">
        <v>7</v>
      </c>
      <c r="AA575">
        <v>7</v>
      </c>
      <c r="AB575">
        <v>7</v>
      </c>
      <c r="AC575">
        <v>7</v>
      </c>
      <c r="AD575">
        <v>3</v>
      </c>
      <c r="AE575">
        <v>7</v>
      </c>
      <c r="AF575">
        <v>7</v>
      </c>
      <c r="AG575">
        <v>7</v>
      </c>
      <c r="AH575">
        <v>7</v>
      </c>
      <c r="AI575">
        <v>7</v>
      </c>
      <c r="AJ575">
        <v>7</v>
      </c>
      <c r="AK575">
        <v>7</v>
      </c>
      <c r="AL575">
        <v>7</v>
      </c>
      <c r="AM575">
        <v>7</v>
      </c>
      <c r="AN575">
        <v>240</v>
      </c>
      <c r="AO575">
        <v>7</v>
      </c>
      <c r="AP575">
        <v>7</v>
      </c>
      <c r="AQ575">
        <v>7</v>
      </c>
      <c r="AR575">
        <v>7</v>
      </c>
      <c r="AS575">
        <v>7</v>
      </c>
      <c r="AT575">
        <v>7</v>
      </c>
      <c r="AU575">
        <v>7</v>
      </c>
      <c r="AV575">
        <v>7</v>
      </c>
      <c r="AW575">
        <v>7</v>
      </c>
      <c r="AX575">
        <v>3</v>
      </c>
      <c r="AY575" cm="1">
        <f t="array" ref="AY575">_xlfn.IFS(AZ575="Positive",1, AZ575="Negative",1, AZ575="Neutral",0)</f>
        <v>1</v>
      </c>
      <c r="AZ575" t="s">
        <v>199</v>
      </c>
      <c r="BA575">
        <v>8</v>
      </c>
      <c r="BB575">
        <v>0</v>
      </c>
      <c r="BC575" s="3">
        <v>5</v>
      </c>
      <c r="BD575" s="3">
        <v>0</v>
      </c>
      <c r="BE575" s="3">
        <v>2</v>
      </c>
      <c r="BF575" s="3">
        <v>0</v>
      </c>
      <c r="BG575" s="3">
        <v>1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 t="s">
        <v>382</v>
      </c>
      <c r="BT575" t="s">
        <v>383</v>
      </c>
      <c r="BU575" t="s">
        <v>385</v>
      </c>
      <c r="BV575" t="s">
        <v>386</v>
      </c>
    </row>
    <row r="576" spans="1:74" hidden="1" x14ac:dyDescent="0.2">
      <c r="A576">
        <v>593</v>
      </c>
      <c r="B576">
        <v>18</v>
      </c>
      <c r="C576" t="s">
        <v>94</v>
      </c>
      <c r="E576" t="s">
        <v>76</v>
      </c>
      <c r="F576">
        <v>17</v>
      </c>
      <c r="G576">
        <v>1997</v>
      </c>
      <c r="H576">
        <v>25</v>
      </c>
      <c r="I576" t="s">
        <v>69</v>
      </c>
      <c r="J576">
        <v>2</v>
      </c>
      <c r="K576" t="s">
        <v>651</v>
      </c>
      <c r="L576" t="s">
        <v>659</v>
      </c>
      <c r="M576">
        <v>10</v>
      </c>
      <c r="N576">
        <v>69</v>
      </c>
      <c r="O576" t="s">
        <v>389</v>
      </c>
      <c r="P576" t="s">
        <v>389</v>
      </c>
      <c r="Q576" t="s">
        <v>721</v>
      </c>
      <c r="R576" t="s">
        <v>730</v>
      </c>
      <c r="S576" t="s">
        <v>378</v>
      </c>
      <c r="T576" t="s">
        <v>357</v>
      </c>
      <c r="U576" t="s">
        <v>391</v>
      </c>
      <c r="V576" t="s">
        <v>392</v>
      </c>
      <c r="W576" t="s">
        <v>200</v>
      </c>
      <c r="X576" t="s">
        <v>199</v>
      </c>
      <c r="Y576" t="s">
        <v>274</v>
      </c>
      <c r="Z576">
        <v>1</v>
      </c>
      <c r="AA576">
        <v>1</v>
      </c>
      <c r="AB576">
        <v>1</v>
      </c>
      <c r="AC576">
        <v>2</v>
      </c>
      <c r="AD576">
        <v>1</v>
      </c>
      <c r="AE576">
        <v>4</v>
      </c>
      <c r="AF576">
        <v>7</v>
      </c>
      <c r="AG576">
        <v>4</v>
      </c>
      <c r="AH576">
        <v>1</v>
      </c>
      <c r="AI576">
        <v>1</v>
      </c>
      <c r="AJ576">
        <v>7</v>
      </c>
      <c r="AK576">
        <v>6</v>
      </c>
      <c r="AL576">
        <v>6</v>
      </c>
      <c r="AM576">
        <v>4</v>
      </c>
      <c r="AN576">
        <v>158</v>
      </c>
      <c r="AO576">
        <v>2</v>
      </c>
      <c r="AP576">
        <v>7</v>
      </c>
      <c r="AQ576">
        <v>4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3</v>
      </c>
      <c r="AY576" cm="1">
        <f t="array" ref="AY576">_xlfn.IFS(AZ576="Positive",1, AZ576="Negative",1, AZ576="Neutral",0)</f>
        <v>1</v>
      </c>
      <c r="AZ576" t="s">
        <v>199</v>
      </c>
      <c r="BA576">
        <v>4</v>
      </c>
      <c r="BB576">
        <v>4</v>
      </c>
      <c r="BC576" s="3">
        <v>2</v>
      </c>
      <c r="BD576" s="3">
        <v>0</v>
      </c>
      <c r="BE576" s="3">
        <v>1</v>
      </c>
      <c r="BF576" s="3">
        <v>0</v>
      </c>
      <c r="BG576" s="3">
        <v>1</v>
      </c>
      <c r="BH576">
        <v>0</v>
      </c>
      <c r="BI576">
        <v>0</v>
      </c>
      <c r="BJ576">
        <v>3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1</v>
      </c>
      <c r="BS576">
        <v>4</v>
      </c>
      <c r="BT576" t="s">
        <v>388</v>
      </c>
      <c r="BU576" t="s">
        <v>370</v>
      </c>
      <c r="BV576" t="s">
        <v>390</v>
      </c>
    </row>
    <row r="577" spans="1:74" hidden="1" x14ac:dyDescent="0.2">
      <c r="A577">
        <v>594</v>
      </c>
      <c r="B577">
        <v>19</v>
      </c>
      <c r="C577" t="s">
        <v>95</v>
      </c>
      <c r="E577" t="s">
        <v>73</v>
      </c>
      <c r="F577">
        <v>30</v>
      </c>
      <c r="G577">
        <v>1999</v>
      </c>
      <c r="H577">
        <v>23</v>
      </c>
      <c r="I577" t="s">
        <v>64</v>
      </c>
      <c r="J577">
        <v>1</v>
      </c>
      <c r="K577" t="s">
        <v>632</v>
      </c>
      <c r="L577" t="s">
        <v>632</v>
      </c>
      <c r="M577">
        <v>4</v>
      </c>
      <c r="N577">
        <v>72</v>
      </c>
      <c r="O577" t="s">
        <v>393</v>
      </c>
      <c r="P577" t="s">
        <v>394</v>
      </c>
      <c r="Q577" t="s">
        <v>731</v>
      </c>
      <c r="R577" t="s">
        <v>732</v>
      </c>
      <c r="S577" t="s">
        <v>396</v>
      </c>
      <c r="T577" t="s">
        <v>379</v>
      </c>
      <c r="U577" t="s">
        <v>397</v>
      </c>
      <c r="V577" t="s">
        <v>398</v>
      </c>
      <c r="W577" t="s">
        <v>200</v>
      </c>
      <c r="X577" t="s">
        <v>199</v>
      </c>
      <c r="Y577" t="s">
        <v>274</v>
      </c>
      <c r="Z577">
        <v>4</v>
      </c>
      <c r="AA577">
        <v>4</v>
      </c>
      <c r="AB577">
        <v>4</v>
      </c>
      <c r="AC577">
        <v>4</v>
      </c>
      <c r="AD577">
        <v>4</v>
      </c>
      <c r="AE577">
        <v>4</v>
      </c>
      <c r="AF577">
        <v>4</v>
      </c>
      <c r="AG577">
        <v>4</v>
      </c>
      <c r="AH577">
        <v>4</v>
      </c>
      <c r="AI577">
        <v>4</v>
      </c>
      <c r="AJ577">
        <v>4</v>
      </c>
      <c r="AK577">
        <v>4</v>
      </c>
      <c r="AL577">
        <v>4</v>
      </c>
      <c r="AM577">
        <v>4</v>
      </c>
      <c r="AN577">
        <v>144</v>
      </c>
      <c r="AO577">
        <v>4</v>
      </c>
      <c r="AP577">
        <v>4</v>
      </c>
      <c r="AQ577">
        <v>4</v>
      </c>
      <c r="AR577">
        <v>4</v>
      </c>
      <c r="AS577">
        <v>4</v>
      </c>
      <c r="AT577">
        <v>4</v>
      </c>
      <c r="AU577">
        <v>4</v>
      </c>
      <c r="AV577">
        <v>4</v>
      </c>
      <c r="AW577">
        <v>4</v>
      </c>
      <c r="AX577">
        <v>2</v>
      </c>
      <c r="AY577" cm="1">
        <f t="array" ref="AY577">_xlfn.IFS(AZ577="Positive",1, AZ577="Negative",1, AZ577="Neutral",0)</f>
        <v>1</v>
      </c>
      <c r="AZ577" t="s">
        <v>199</v>
      </c>
      <c r="BA577">
        <v>5</v>
      </c>
      <c r="BB577">
        <v>2</v>
      </c>
      <c r="BC577" s="3">
        <v>4</v>
      </c>
      <c r="BD577" s="3">
        <v>0</v>
      </c>
      <c r="BE577" s="3">
        <v>1</v>
      </c>
      <c r="BF577" s="3">
        <v>0</v>
      </c>
      <c r="BG577" s="3">
        <v>0</v>
      </c>
      <c r="BH577">
        <v>0</v>
      </c>
      <c r="BI577">
        <v>0</v>
      </c>
      <c r="BJ577">
        <v>2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3</v>
      </c>
      <c r="BT577">
        <v>3</v>
      </c>
      <c r="BU577" t="s">
        <v>395</v>
      </c>
      <c r="BV577" t="s">
        <v>309</v>
      </c>
    </row>
    <row r="578" spans="1:74" hidden="1" x14ac:dyDescent="0.2">
      <c r="A578">
        <v>595</v>
      </c>
      <c r="B578">
        <v>20</v>
      </c>
      <c r="C578" t="s">
        <v>96</v>
      </c>
      <c r="E578" t="s">
        <v>97</v>
      </c>
      <c r="F578">
        <v>27</v>
      </c>
      <c r="G578">
        <v>1998</v>
      </c>
      <c r="H578">
        <v>24</v>
      </c>
      <c r="I578" t="s">
        <v>64</v>
      </c>
      <c r="J578">
        <v>1</v>
      </c>
      <c r="K578" t="s">
        <v>644</v>
      </c>
      <c r="L578" t="s">
        <v>660</v>
      </c>
      <c r="M578">
        <v>2</v>
      </c>
      <c r="N578">
        <v>47</v>
      </c>
      <c r="O578" t="s">
        <v>287</v>
      </c>
      <c r="P578" t="s">
        <v>389</v>
      </c>
      <c r="Q578" t="s">
        <v>714</v>
      </c>
      <c r="R578" t="s">
        <v>733</v>
      </c>
      <c r="S578" t="s">
        <v>281</v>
      </c>
      <c r="T578" t="s">
        <v>401</v>
      </c>
      <c r="U578" t="s">
        <v>293</v>
      </c>
      <c r="V578" t="s">
        <v>392</v>
      </c>
      <c r="W578" t="s">
        <v>200</v>
      </c>
      <c r="X578" t="s">
        <v>199</v>
      </c>
      <c r="Y578" t="s">
        <v>274</v>
      </c>
      <c r="Z578">
        <v>6</v>
      </c>
      <c r="AA578">
        <v>3</v>
      </c>
      <c r="AB578">
        <v>4</v>
      </c>
      <c r="AC578">
        <v>4</v>
      </c>
      <c r="AD578">
        <v>4</v>
      </c>
      <c r="AE578">
        <v>4</v>
      </c>
      <c r="AF578">
        <v>4</v>
      </c>
      <c r="AG578">
        <v>3</v>
      </c>
      <c r="AH578">
        <v>5</v>
      </c>
      <c r="AI578">
        <v>4</v>
      </c>
      <c r="AJ578">
        <v>4</v>
      </c>
      <c r="AK578">
        <v>5</v>
      </c>
      <c r="AL578">
        <v>4</v>
      </c>
      <c r="AM578">
        <v>3</v>
      </c>
      <c r="AN578">
        <v>35</v>
      </c>
      <c r="AO578">
        <v>3</v>
      </c>
      <c r="AP578">
        <v>5</v>
      </c>
      <c r="AQ578">
        <v>4</v>
      </c>
      <c r="AR578">
        <v>3</v>
      </c>
      <c r="AS578">
        <v>5</v>
      </c>
      <c r="AT578">
        <v>4</v>
      </c>
      <c r="AU578">
        <v>4</v>
      </c>
      <c r="AV578">
        <v>4</v>
      </c>
      <c r="AW578">
        <v>4</v>
      </c>
      <c r="AX578">
        <v>2</v>
      </c>
      <c r="AY578" cm="1">
        <f t="array" ref="AY578">_xlfn.IFS(AZ578="Positive",1, AZ578="Negative",1, AZ578="Neutral",0)</f>
        <v>1</v>
      </c>
      <c r="AZ578" t="s">
        <v>199</v>
      </c>
      <c r="BA578">
        <v>7</v>
      </c>
      <c r="BB578">
        <v>0</v>
      </c>
      <c r="BC578" s="3">
        <v>2</v>
      </c>
      <c r="BD578" s="3">
        <v>1</v>
      </c>
      <c r="BE578" s="3">
        <v>2</v>
      </c>
      <c r="BF578" s="3">
        <v>2</v>
      </c>
      <c r="BG578" s="3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 t="s">
        <v>399</v>
      </c>
      <c r="BT578" t="s">
        <v>367</v>
      </c>
      <c r="BU578" t="s">
        <v>400</v>
      </c>
      <c r="BV578" t="s">
        <v>371</v>
      </c>
    </row>
    <row r="579" spans="1:74" hidden="1" x14ac:dyDescent="0.2">
      <c r="A579">
        <v>596</v>
      </c>
      <c r="B579">
        <v>21</v>
      </c>
      <c r="C579" t="s">
        <v>98</v>
      </c>
      <c r="E579" t="s">
        <v>82</v>
      </c>
      <c r="F579">
        <v>27</v>
      </c>
      <c r="G579">
        <v>1997</v>
      </c>
      <c r="H579">
        <v>25</v>
      </c>
      <c r="I579" t="s">
        <v>64</v>
      </c>
      <c r="J579">
        <v>1</v>
      </c>
      <c r="K579" t="s">
        <v>661</v>
      </c>
      <c r="L579" t="s">
        <v>662</v>
      </c>
      <c r="M579">
        <v>6</v>
      </c>
      <c r="N579">
        <v>55</v>
      </c>
      <c r="O579" t="s">
        <v>287</v>
      </c>
      <c r="P579" t="s">
        <v>389</v>
      </c>
      <c r="Q579" t="s">
        <v>734</v>
      </c>
      <c r="R579" t="s">
        <v>735</v>
      </c>
      <c r="S579" t="s">
        <v>403</v>
      </c>
      <c r="T579" t="s">
        <v>404</v>
      </c>
      <c r="U579" t="s">
        <v>293</v>
      </c>
      <c r="V579" t="s">
        <v>392</v>
      </c>
      <c r="W579" t="s">
        <v>200</v>
      </c>
      <c r="X579" t="s">
        <v>199</v>
      </c>
      <c r="Y579" t="s">
        <v>274</v>
      </c>
      <c r="Z579">
        <v>5</v>
      </c>
      <c r="AA579">
        <v>5</v>
      </c>
      <c r="AB579">
        <v>4</v>
      </c>
      <c r="AC579">
        <v>5</v>
      </c>
      <c r="AD579">
        <v>6</v>
      </c>
      <c r="AE579">
        <v>6</v>
      </c>
      <c r="AF579">
        <v>6</v>
      </c>
      <c r="AG579">
        <v>6</v>
      </c>
      <c r="AH579">
        <v>6</v>
      </c>
      <c r="AI579">
        <v>6</v>
      </c>
      <c r="AJ579">
        <v>4</v>
      </c>
      <c r="AK579">
        <v>5</v>
      </c>
      <c r="AL579">
        <v>6</v>
      </c>
      <c r="AM579">
        <v>6</v>
      </c>
      <c r="AN579">
        <v>195</v>
      </c>
      <c r="AO579">
        <v>4</v>
      </c>
      <c r="AP579">
        <v>6</v>
      </c>
      <c r="AQ579">
        <v>5</v>
      </c>
      <c r="AR579">
        <v>5</v>
      </c>
      <c r="AS579">
        <v>5</v>
      </c>
      <c r="AT579">
        <v>5</v>
      </c>
      <c r="AU579">
        <v>4</v>
      </c>
      <c r="AV579">
        <v>5</v>
      </c>
      <c r="AW579">
        <v>6</v>
      </c>
      <c r="AX579">
        <v>3</v>
      </c>
      <c r="AY579" cm="1">
        <f t="array" ref="AY579">_xlfn.IFS(AZ579="Positive",1, AZ579="Negative",1, AZ579="Neutral",0)</f>
        <v>1</v>
      </c>
      <c r="AZ579" t="s">
        <v>199</v>
      </c>
      <c r="BA579">
        <v>7</v>
      </c>
      <c r="BB579">
        <v>0</v>
      </c>
      <c r="BC579" s="3">
        <v>5</v>
      </c>
      <c r="BD579" s="3">
        <v>0</v>
      </c>
      <c r="BE579" s="3">
        <v>0</v>
      </c>
      <c r="BF579" s="3">
        <v>0</v>
      </c>
      <c r="BG579" s="3">
        <v>2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 t="s">
        <v>305</v>
      </c>
      <c r="BT579" t="s">
        <v>305</v>
      </c>
      <c r="BU579" t="s">
        <v>308</v>
      </c>
      <c r="BV579" t="s">
        <v>402</v>
      </c>
    </row>
    <row r="580" spans="1:74" x14ac:dyDescent="0.2">
      <c r="A580">
        <v>597</v>
      </c>
      <c r="B580">
        <v>22</v>
      </c>
      <c r="C580" t="s">
        <v>99</v>
      </c>
      <c r="E580" t="s">
        <v>68</v>
      </c>
      <c r="F580">
        <v>17</v>
      </c>
      <c r="G580">
        <v>1998</v>
      </c>
      <c r="H580">
        <v>24</v>
      </c>
      <c r="I580" t="s">
        <v>64</v>
      </c>
      <c r="J580">
        <v>1</v>
      </c>
      <c r="K580" t="s">
        <v>456</v>
      </c>
      <c r="L580" t="s">
        <v>643</v>
      </c>
      <c r="M580">
        <v>6</v>
      </c>
      <c r="N580">
        <v>55</v>
      </c>
      <c r="O580" t="s">
        <v>332</v>
      </c>
      <c r="P580" t="s">
        <v>405</v>
      </c>
      <c r="Q580" t="s">
        <v>736</v>
      </c>
      <c r="R580" t="s">
        <v>713</v>
      </c>
      <c r="S580" t="s">
        <v>403</v>
      </c>
      <c r="T580" t="s">
        <v>404</v>
      </c>
      <c r="U580" t="s">
        <v>337</v>
      </c>
      <c r="V580" t="s">
        <v>407</v>
      </c>
      <c r="W580" t="s">
        <v>200</v>
      </c>
      <c r="X580" t="s">
        <v>199</v>
      </c>
      <c r="Y580" t="s">
        <v>274</v>
      </c>
      <c r="Z580">
        <v>2</v>
      </c>
      <c r="AA580">
        <v>2</v>
      </c>
      <c r="AB580">
        <v>6</v>
      </c>
      <c r="AC580">
        <v>2</v>
      </c>
      <c r="AD580">
        <v>1</v>
      </c>
      <c r="AE580">
        <v>1</v>
      </c>
      <c r="AF580">
        <v>6</v>
      </c>
      <c r="AG580">
        <v>4</v>
      </c>
      <c r="AH580">
        <v>3</v>
      </c>
      <c r="AI580">
        <v>3</v>
      </c>
      <c r="AJ580">
        <v>6</v>
      </c>
      <c r="AK580">
        <v>5</v>
      </c>
      <c r="AL580">
        <v>7</v>
      </c>
      <c r="AM580">
        <v>4</v>
      </c>
      <c r="AN580">
        <v>35</v>
      </c>
      <c r="AO580">
        <v>6</v>
      </c>
      <c r="AP580">
        <v>6</v>
      </c>
      <c r="AQ580">
        <v>5</v>
      </c>
      <c r="AR580">
        <v>4</v>
      </c>
      <c r="AS580">
        <v>5</v>
      </c>
      <c r="AT580">
        <v>5</v>
      </c>
      <c r="AU580">
        <v>4</v>
      </c>
      <c r="AV580">
        <v>5</v>
      </c>
      <c r="AW580">
        <v>5</v>
      </c>
      <c r="AX580">
        <v>3</v>
      </c>
      <c r="AY580" cm="1">
        <f t="array" ref="AY580">_xlfn.IFS(AZ580="Positive",1, AZ580="Negative",1, AZ580="Neutral",0)</f>
        <v>1</v>
      </c>
      <c r="AZ580" t="s">
        <v>199</v>
      </c>
      <c r="BA580">
        <v>0</v>
      </c>
      <c r="BB580">
        <v>1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>
        <v>0</v>
      </c>
      <c r="BI580">
        <v>0</v>
      </c>
      <c r="BJ580">
        <v>1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 t="s">
        <v>405</v>
      </c>
      <c r="BT580" t="s">
        <v>313</v>
      </c>
      <c r="BU580" t="s">
        <v>406</v>
      </c>
      <c r="BV580" t="s">
        <v>317</v>
      </c>
    </row>
    <row r="581" spans="1:74" x14ac:dyDescent="0.2">
      <c r="A581">
        <v>598</v>
      </c>
      <c r="B581">
        <v>23</v>
      </c>
      <c r="C581" t="s">
        <v>100</v>
      </c>
      <c r="E581" t="s">
        <v>78</v>
      </c>
      <c r="F581">
        <v>31</v>
      </c>
      <c r="G581">
        <v>2000</v>
      </c>
      <c r="H581">
        <v>22</v>
      </c>
      <c r="I581" t="s">
        <v>69</v>
      </c>
      <c r="J581">
        <v>2</v>
      </c>
      <c r="K581" t="s">
        <v>663</v>
      </c>
      <c r="L581" t="s">
        <v>652</v>
      </c>
      <c r="M581">
        <v>0</v>
      </c>
      <c r="N581">
        <v>58</v>
      </c>
      <c r="O581" t="s">
        <v>408</v>
      </c>
      <c r="P581" t="s">
        <v>409</v>
      </c>
      <c r="Q581" t="s">
        <v>737</v>
      </c>
      <c r="R581" t="s">
        <v>722</v>
      </c>
      <c r="S581" t="s">
        <v>411</v>
      </c>
      <c r="T581" t="s">
        <v>364</v>
      </c>
      <c r="U581" t="s">
        <v>412</v>
      </c>
      <c r="V581" t="s">
        <v>413</v>
      </c>
      <c r="W581" t="s">
        <v>200</v>
      </c>
      <c r="X581" t="s">
        <v>199</v>
      </c>
      <c r="Y581" t="s">
        <v>274</v>
      </c>
      <c r="Z581">
        <v>6</v>
      </c>
      <c r="AA581">
        <v>7</v>
      </c>
      <c r="AB581">
        <v>7</v>
      </c>
      <c r="AC581">
        <v>7</v>
      </c>
      <c r="AD581">
        <v>1</v>
      </c>
      <c r="AE581">
        <v>7</v>
      </c>
      <c r="AF581">
        <v>3</v>
      </c>
      <c r="AG581">
        <v>2</v>
      </c>
      <c r="AH581">
        <v>7</v>
      </c>
      <c r="AI581">
        <v>1</v>
      </c>
      <c r="AJ581">
        <v>7</v>
      </c>
      <c r="AK581">
        <v>7</v>
      </c>
      <c r="AL581">
        <v>7</v>
      </c>
      <c r="AM581">
        <v>7</v>
      </c>
      <c r="AN581">
        <v>240</v>
      </c>
      <c r="AO581">
        <v>1</v>
      </c>
      <c r="AP581">
        <v>7</v>
      </c>
      <c r="AQ581">
        <v>7</v>
      </c>
      <c r="AR581">
        <v>6</v>
      </c>
      <c r="AS581">
        <v>7</v>
      </c>
      <c r="AT581">
        <v>6</v>
      </c>
      <c r="AU581">
        <v>7</v>
      </c>
      <c r="AV581">
        <v>6</v>
      </c>
      <c r="AW581">
        <v>7</v>
      </c>
      <c r="AX581">
        <v>3</v>
      </c>
      <c r="AY581" cm="1">
        <f t="array" ref="AY581">_xlfn.IFS(AZ581="Positive",1, AZ581="Negative",1, AZ581="Neutral",0)</f>
        <v>1</v>
      </c>
      <c r="AZ581" t="s">
        <v>199</v>
      </c>
      <c r="BA581">
        <v>0</v>
      </c>
      <c r="BB581">
        <v>1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>
        <v>0</v>
      </c>
      <c r="BI581">
        <v>0</v>
      </c>
      <c r="BJ581">
        <v>1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 t="s">
        <v>405</v>
      </c>
      <c r="BT581" t="s">
        <v>382</v>
      </c>
      <c r="BU581" t="s">
        <v>406</v>
      </c>
      <c r="BV581" t="s">
        <v>410</v>
      </c>
    </row>
    <row r="582" spans="1:74" hidden="1" x14ac:dyDescent="0.2">
      <c r="A582">
        <v>599</v>
      </c>
      <c r="B582">
        <v>24</v>
      </c>
      <c r="C582" t="s">
        <v>101</v>
      </c>
      <c r="E582" t="s">
        <v>76</v>
      </c>
      <c r="F582">
        <v>18</v>
      </c>
      <c r="G582">
        <v>2000</v>
      </c>
      <c r="H582">
        <v>22</v>
      </c>
      <c r="I582" t="s">
        <v>64</v>
      </c>
      <c r="J582">
        <v>1</v>
      </c>
      <c r="K582" t="s">
        <v>664</v>
      </c>
      <c r="L582" t="s">
        <v>648</v>
      </c>
      <c r="M582">
        <v>9</v>
      </c>
      <c r="N582">
        <v>48</v>
      </c>
      <c r="O582" t="s">
        <v>415</v>
      </c>
      <c r="P582" t="s">
        <v>416</v>
      </c>
      <c r="Q582" t="s">
        <v>738</v>
      </c>
      <c r="R582" t="s">
        <v>718</v>
      </c>
      <c r="S582" t="s">
        <v>349</v>
      </c>
      <c r="T582" t="s">
        <v>418</v>
      </c>
      <c r="U582" t="s">
        <v>419</v>
      </c>
      <c r="V582" t="s">
        <v>420</v>
      </c>
      <c r="W582" t="s">
        <v>200</v>
      </c>
      <c r="X582" t="s">
        <v>199</v>
      </c>
      <c r="Y582" t="s">
        <v>274</v>
      </c>
      <c r="Z582">
        <v>5</v>
      </c>
      <c r="AA582">
        <v>5</v>
      </c>
      <c r="AB582">
        <v>6</v>
      </c>
      <c r="AC582">
        <v>2</v>
      </c>
      <c r="AD582">
        <v>1</v>
      </c>
      <c r="AE582">
        <v>1</v>
      </c>
      <c r="AF582">
        <v>5</v>
      </c>
      <c r="AG582">
        <v>6</v>
      </c>
      <c r="AH582">
        <v>6</v>
      </c>
      <c r="AI582">
        <v>2</v>
      </c>
      <c r="AJ582">
        <v>6</v>
      </c>
      <c r="AK582">
        <v>4</v>
      </c>
      <c r="AL582">
        <v>5</v>
      </c>
      <c r="AM582">
        <v>4</v>
      </c>
      <c r="AN582">
        <v>147</v>
      </c>
      <c r="AO582">
        <v>6</v>
      </c>
      <c r="AP582">
        <v>5</v>
      </c>
      <c r="AQ582">
        <v>4</v>
      </c>
      <c r="AR582">
        <v>2</v>
      </c>
      <c r="AS582">
        <v>2</v>
      </c>
      <c r="AT582">
        <v>2</v>
      </c>
      <c r="AU582">
        <v>2</v>
      </c>
      <c r="AV582">
        <v>2</v>
      </c>
      <c r="AW582">
        <v>2</v>
      </c>
      <c r="AX582">
        <v>2</v>
      </c>
      <c r="AY582" cm="1">
        <f t="array" ref="AY582">_xlfn.IFS(AZ582="Positive",1, AZ582="Negative",1, AZ582="Neutral",0)</f>
        <v>1</v>
      </c>
      <c r="AZ582" t="s">
        <v>199</v>
      </c>
      <c r="BA582">
        <v>6</v>
      </c>
      <c r="BB582">
        <v>1</v>
      </c>
      <c r="BC582" s="3">
        <v>3</v>
      </c>
      <c r="BD582" s="3">
        <v>1</v>
      </c>
      <c r="BE582" s="3">
        <v>2</v>
      </c>
      <c r="BF582" s="3">
        <v>0</v>
      </c>
      <c r="BG582" s="3">
        <v>0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 t="s">
        <v>414</v>
      </c>
      <c r="BT582">
        <v>2</v>
      </c>
      <c r="BU582" t="s">
        <v>417</v>
      </c>
      <c r="BV582" t="s">
        <v>340</v>
      </c>
    </row>
    <row r="583" spans="1:74" x14ac:dyDescent="0.2">
      <c r="B583">
        <v>25</v>
      </c>
      <c r="C583" t="s">
        <v>102</v>
      </c>
      <c r="E583" t="s">
        <v>63</v>
      </c>
      <c r="F583">
        <v>3</v>
      </c>
      <c r="G583">
        <v>2001</v>
      </c>
      <c r="H583">
        <v>21</v>
      </c>
      <c r="I583" t="s">
        <v>69</v>
      </c>
      <c r="J583">
        <v>2</v>
      </c>
      <c r="K583" t="s">
        <v>661</v>
      </c>
      <c r="L583" t="s">
        <v>665</v>
      </c>
      <c r="M583">
        <v>0</v>
      </c>
      <c r="N583">
        <v>56</v>
      </c>
      <c r="O583" t="s">
        <v>421</v>
      </c>
      <c r="P583" t="s">
        <v>394</v>
      </c>
      <c r="Q583" t="s">
        <v>734</v>
      </c>
      <c r="R583" t="s">
        <v>739</v>
      </c>
      <c r="S583" t="s">
        <v>411</v>
      </c>
      <c r="T583" t="s">
        <v>423</v>
      </c>
      <c r="U583" t="s">
        <v>424</v>
      </c>
      <c r="V583" t="s">
        <v>398</v>
      </c>
      <c r="W583" t="s">
        <v>200</v>
      </c>
      <c r="X583" t="s">
        <v>199</v>
      </c>
      <c r="Y583" t="s">
        <v>274</v>
      </c>
      <c r="Z583">
        <v>3</v>
      </c>
      <c r="AA583">
        <v>3</v>
      </c>
      <c r="AB583">
        <v>1</v>
      </c>
      <c r="AC583">
        <v>4</v>
      </c>
      <c r="AD583">
        <v>2</v>
      </c>
      <c r="AE583">
        <v>1</v>
      </c>
      <c r="AF583">
        <v>5</v>
      </c>
      <c r="AG583">
        <v>3</v>
      </c>
      <c r="AH583">
        <v>3</v>
      </c>
      <c r="AI583">
        <v>2</v>
      </c>
      <c r="AJ583">
        <v>6</v>
      </c>
      <c r="AK583">
        <v>4</v>
      </c>
      <c r="AL583">
        <v>3</v>
      </c>
      <c r="AM583">
        <v>1</v>
      </c>
      <c r="AN583">
        <v>131</v>
      </c>
      <c r="AO583">
        <v>1</v>
      </c>
      <c r="AP583">
        <v>2</v>
      </c>
      <c r="AQ583">
        <v>5</v>
      </c>
      <c r="AR583">
        <v>2</v>
      </c>
      <c r="AS583">
        <v>3</v>
      </c>
      <c r="AT583">
        <v>3</v>
      </c>
      <c r="AU583">
        <v>3</v>
      </c>
      <c r="AV583">
        <v>2</v>
      </c>
      <c r="AW583">
        <v>2</v>
      </c>
      <c r="AX583">
        <v>1</v>
      </c>
      <c r="AY583">
        <v>1</v>
      </c>
      <c r="AZ583" t="s">
        <v>199</v>
      </c>
      <c r="BA583">
        <f>SUM(BC583:BG583)</f>
        <v>0</v>
      </c>
      <c r="BB583">
        <f>SUM(BH583:BR583)</f>
        <v>2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>
        <v>0</v>
      </c>
      <c r="BI583">
        <v>0</v>
      </c>
      <c r="BJ583">
        <v>0</v>
      </c>
      <c r="BK583">
        <v>1</v>
      </c>
      <c r="BL583">
        <v>1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 t="s">
        <v>285</v>
      </c>
      <c r="BT583" t="s">
        <v>322</v>
      </c>
      <c r="BU583" t="s">
        <v>289</v>
      </c>
      <c r="BV583" t="s">
        <v>422</v>
      </c>
    </row>
    <row r="584" spans="1:74" hidden="1" x14ac:dyDescent="0.2">
      <c r="A584">
        <v>601</v>
      </c>
      <c r="B584">
        <v>26</v>
      </c>
      <c r="C584" t="s">
        <v>103</v>
      </c>
      <c r="E584" t="s">
        <v>97</v>
      </c>
      <c r="F584">
        <v>14</v>
      </c>
      <c r="G584">
        <v>2001</v>
      </c>
      <c r="H584">
        <v>21</v>
      </c>
      <c r="I584" t="s">
        <v>64</v>
      </c>
      <c r="J584">
        <v>1</v>
      </c>
      <c r="K584" t="s">
        <v>663</v>
      </c>
      <c r="L584" t="s">
        <v>645</v>
      </c>
      <c r="M584">
        <v>7</v>
      </c>
      <c r="N584">
        <v>67</v>
      </c>
      <c r="O584" t="s">
        <v>277</v>
      </c>
      <c r="P584" t="s">
        <v>427</v>
      </c>
      <c r="Q584" t="s">
        <v>737</v>
      </c>
      <c r="R584" t="s">
        <v>715</v>
      </c>
      <c r="S584" t="s">
        <v>430</v>
      </c>
      <c r="T584" t="s">
        <v>431</v>
      </c>
      <c r="U584" t="s">
        <v>283</v>
      </c>
      <c r="V584" t="s">
        <v>432</v>
      </c>
      <c r="W584" t="s">
        <v>200</v>
      </c>
      <c r="X584" t="s">
        <v>199</v>
      </c>
      <c r="Y584" t="s">
        <v>274</v>
      </c>
      <c r="Z584">
        <v>7</v>
      </c>
      <c r="AA584">
        <v>7</v>
      </c>
      <c r="AB584">
        <v>7</v>
      </c>
      <c r="AC584">
        <v>5</v>
      </c>
      <c r="AD584">
        <v>3</v>
      </c>
      <c r="AE584">
        <v>2</v>
      </c>
      <c r="AF584">
        <v>2</v>
      </c>
      <c r="AG584">
        <v>1</v>
      </c>
      <c r="AH584">
        <v>6</v>
      </c>
      <c r="AI584">
        <v>1</v>
      </c>
      <c r="AJ584">
        <v>7</v>
      </c>
      <c r="AK584">
        <v>6</v>
      </c>
      <c r="AL584">
        <v>6</v>
      </c>
      <c r="AM584">
        <v>6</v>
      </c>
      <c r="AN584">
        <v>29</v>
      </c>
      <c r="AO584">
        <v>3</v>
      </c>
      <c r="AP584">
        <v>7</v>
      </c>
      <c r="AQ584">
        <v>5</v>
      </c>
      <c r="AR584">
        <v>7</v>
      </c>
      <c r="AS584">
        <v>7</v>
      </c>
      <c r="AT584">
        <v>7</v>
      </c>
      <c r="AU584">
        <v>7</v>
      </c>
      <c r="AV584">
        <v>7</v>
      </c>
      <c r="AW584">
        <v>6</v>
      </c>
      <c r="AX584">
        <v>3</v>
      </c>
      <c r="AY584" cm="1">
        <f t="array" ref="AY584">_xlfn.IFS(AZ584="Positive",1, AZ584="Negative",1, AZ584="Neutral",0)</f>
        <v>1</v>
      </c>
      <c r="AZ584" t="s">
        <v>199</v>
      </c>
      <c r="BA584">
        <v>17</v>
      </c>
      <c r="BB584">
        <v>6</v>
      </c>
      <c r="BC584" s="3">
        <v>10</v>
      </c>
      <c r="BD584" s="3">
        <v>1</v>
      </c>
      <c r="BE584" s="3">
        <v>2</v>
      </c>
      <c r="BF584" s="3">
        <v>4</v>
      </c>
      <c r="BG584" s="3">
        <v>0</v>
      </c>
      <c r="BH584">
        <v>0</v>
      </c>
      <c r="BI584">
        <v>0</v>
      </c>
      <c r="BJ584">
        <v>1</v>
      </c>
      <c r="BK584">
        <v>0</v>
      </c>
      <c r="BL584">
        <v>0</v>
      </c>
      <c r="BM584">
        <v>3</v>
      </c>
      <c r="BN584">
        <v>2</v>
      </c>
      <c r="BO584">
        <v>0</v>
      </c>
      <c r="BP584">
        <v>0</v>
      </c>
      <c r="BQ584">
        <v>0</v>
      </c>
      <c r="BR584">
        <v>0</v>
      </c>
      <c r="BS584" t="s">
        <v>425</v>
      </c>
      <c r="BT584" t="s">
        <v>426</v>
      </c>
      <c r="BU584" t="s">
        <v>428</v>
      </c>
      <c r="BV584" t="s">
        <v>429</v>
      </c>
    </row>
    <row r="585" spans="1:74" hidden="1" x14ac:dyDescent="0.2">
      <c r="A585">
        <v>602</v>
      </c>
      <c r="B585">
        <v>27</v>
      </c>
      <c r="C585" t="s">
        <v>104</v>
      </c>
      <c r="E585" t="s">
        <v>85</v>
      </c>
      <c r="F585">
        <v>26</v>
      </c>
      <c r="G585">
        <v>2001</v>
      </c>
      <c r="H585">
        <v>21</v>
      </c>
      <c r="I585" t="s">
        <v>64</v>
      </c>
      <c r="J585">
        <v>1</v>
      </c>
      <c r="K585" t="s">
        <v>651</v>
      </c>
      <c r="L585" t="s">
        <v>647</v>
      </c>
      <c r="M585">
        <v>7</v>
      </c>
      <c r="N585">
        <v>69</v>
      </c>
      <c r="O585">
        <v>6</v>
      </c>
      <c r="P585" t="s">
        <v>353</v>
      </c>
      <c r="Q585" t="s">
        <v>721</v>
      </c>
      <c r="R585" t="s">
        <v>717</v>
      </c>
      <c r="S585" t="s">
        <v>430</v>
      </c>
      <c r="T585" t="s">
        <v>357</v>
      </c>
      <c r="U585" t="s">
        <v>436</v>
      </c>
      <c r="V585" t="s">
        <v>437</v>
      </c>
      <c r="W585" t="s">
        <v>200</v>
      </c>
      <c r="X585" t="s">
        <v>199</v>
      </c>
      <c r="Y585" t="s">
        <v>274</v>
      </c>
      <c r="Z585">
        <v>7</v>
      </c>
      <c r="AA585">
        <v>7</v>
      </c>
      <c r="AB585">
        <v>7</v>
      </c>
      <c r="AC585">
        <v>5</v>
      </c>
      <c r="AD585">
        <v>7</v>
      </c>
      <c r="AE585">
        <v>7</v>
      </c>
      <c r="AF585">
        <v>1</v>
      </c>
      <c r="AG585">
        <v>1</v>
      </c>
      <c r="AH585">
        <v>7</v>
      </c>
      <c r="AI585">
        <v>1</v>
      </c>
      <c r="AJ585">
        <v>7</v>
      </c>
      <c r="AK585">
        <v>7</v>
      </c>
      <c r="AL585">
        <v>7</v>
      </c>
      <c r="AM585">
        <v>6</v>
      </c>
      <c r="AN585">
        <v>65</v>
      </c>
      <c r="AO585">
        <v>1</v>
      </c>
      <c r="AP585">
        <v>7</v>
      </c>
      <c r="AQ585">
        <v>7</v>
      </c>
      <c r="AR585">
        <v>7</v>
      </c>
      <c r="AS585">
        <v>7</v>
      </c>
      <c r="AT585">
        <v>7</v>
      </c>
      <c r="AU585">
        <v>7</v>
      </c>
      <c r="AV585">
        <v>7</v>
      </c>
      <c r="AW585">
        <v>7</v>
      </c>
      <c r="AX585">
        <v>3</v>
      </c>
      <c r="AY585" cm="1">
        <f t="array" ref="AY585">_xlfn.IFS(AZ585="Positive",1, AZ585="Negative",1, AZ585="Neutral",0)</f>
        <v>1</v>
      </c>
      <c r="AZ585" t="s">
        <v>199</v>
      </c>
      <c r="BA585">
        <v>8</v>
      </c>
      <c r="BB585">
        <v>6</v>
      </c>
      <c r="BC585" s="3">
        <v>3</v>
      </c>
      <c r="BD585" s="3">
        <v>0</v>
      </c>
      <c r="BE585" s="3">
        <v>2</v>
      </c>
      <c r="BF585" s="3">
        <v>2</v>
      </c>
      <c r="BG585" s="3">
        <v>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5</v>
      </c>
      <c r="BN585">
        <v>0</v>
      </c>
      <c r="BO585">
        <v>0</v>
      </c>
      <c r="BP585">
        <v>0</v>
      </c>
      <c r="BQ585">
        <v>0</v>
      </c>
      <c r="BR585">
        <v>1</v>
      </c>
      <c r="BS585" t="s">
        <v>388</v>
      </c>
      <c r="BT585" t="s">
        <v>433</v>
      </c>
      <c r="BU585" t="s">
        <v>434</v>
      </c>
      <c r="BV585" t="s">
        <v>435</v>
      </c>
    </row>
    <row r="586" spans="1:74" hidden="1" x14ac:dyDescent="0.2">
      <c r="A586">
        <v>603</v>
      </c>
      <c r="B586">
        <v>28</v>
      </c>
      <c r="C586" t="s">
        <v>105</v>
      </c>
      <c r="E586" t="s">
        <v>85</v>
      </c>
      <c r="F586">
        <v>15</v>
      </c>
      <c r="G586">
        <v>2001</v>
      </c>
      <c r="H586">
        <v>21</v>
      </c>
      <c r="I586" t="s">
        <v>64</v>
      </c>
      <c r="J586">
        <v>1</v>
      </c>
      <c r="K586" t="s">
        <v>655</v>
      </c>
      <c r="L586" t="s">
        <v>653</v>
      </c>
      <c r="M586">
        <v>8</v>
      </c>
      <c r="N586">
        <v>65</v>
      </c>
      <c r="O586" t="s">
        <v>376</v>
      </c>
      <c r="P586" t="s">
        <v>438</v>
      </c>
      <c r="Q586" t="s">
        <v>725</v>
      </c>
      <c r="R586" t="s">
        <v>724</v>
      </c>
      <c r="S586" t="s">
        <v>291</v>
      </c>
      <c r="T586" t="s">
        <v>439</v>
      </c>
      <c r="U586" t="s">
        <v>440</v>
      </c>
      <c r="V586" t="s">
        <v>441</v>
      </c>
      <c r="W586" t="s">
        <v>200</v>
      </c>
      <c r="X586" t="s">
        <v>199</v>
      </c>
      <c r="Y586" t="s">
        <v>274</v>
      </c>
      <c r="Z586">
        <v>7</v>
      </c>
      <c r="AA586">
        <v>7</v>
      </c>
      <c r="AB586">
        <v>7</v>
      </c>
      <c r="AC586">
        <v>7</v>
      </c>
      <c r="AD586">
        <v>4</v>
      </c>
      <c r="AE586">
        <v>6</v>
      </c>
      <c r="AF586">
        <v>7</v>
      </c>
      <c r="AG586">
        <v>7</v>
      </c>
      <c r="AH586">
        <v>7</v>
      </c>
      <c r="AI586">
        <v>1</v>
      </c>
      <c r="AJ586">
        <v>7</v>
      </c>
      <c r="AK586">
        <v>7</v>
      </c>
      <c r="AL586">
        <v>7</v>
      </c>
      <c r="AM586">
        <v>1</v>
      </c>
      <c r="AN586">
        <v>157</v>
      </c>
      <c r="AO586">
        <v>7</v>
      </c>
      <c r="AP586">
        <v>7</v>
      </c>
      <c r="AQ586">
        <v>7</v>
      </c>
      <c r="AR586">
        <v>7</v>
      </c>
      <c r="AS586">
        <v>5</v>
      </c>
      <c r="AT586">
        <v>7</v>
      </c>
      <c r="AU586">
        <v>7</v>
      </c>
      <c r="AV586">
        <v>7</v>
      </c>
      <c r="AW586">
        <v>7</v>
      </c>
      <c r="AX586">
        <v>3</v>
      </c>
      <c r="AY586" cm="1">
        <f t="array" ref="AY586">_xlfn.IFS(AZ586="Positive",1, AZ586="Negative",1, AZ586="Neutral",0)</f>
        <v>1</v>
      </c>
      <c r="AZ586" t="s">
        <v>199</v>
      </c>
      <c r="BA586">
        <v>20</v>
      </c>
      <c r="BB586">
        <v>0</v>
      </c>
      <c r="BC586" s="3">
        <v>16</v>
      </c>
      <c r="BD586" s="3">
        <v>0</v>
      </c>
      <c r="BE586" s="3">
        <v>1</v>
      </c>
      <c r="BF586" s="3">
        <v>1</v>
      </c>
      <c r="BG586" s="3">
        <v>2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 t="s">
        <v>414</v>
      </c>
      <c r="BT586">
        <v>3</v>
      </c>
      <c r="BU586" t="s">
        <v>417</v>
      </c>
      <c r="BV586" t="s">
        <v>309</v>
      </c>
    </row>
    <row r="587" spans="1:74" x14ac:dyDescent="0.2">
      <c r="A587">
        <v>604</v>
      </c>
      <c r="B587">
        <v>29</v>
      </c>
      <c r="C587" t="s">
        <v>106</v>
      </c>
      <c r="E587" t="s">
        <v>78</v>
      </c>
      <c r="F587">
        <v>3</v>
      </c>
      <c r="G587">
        <v>1999</v>
      </c>
      <c r="H587">
        <v>23</v>
      </c>
      <c r="I587" t="s">
        <v>64</v>
      </c>
      <c r="J587">
        <v>1</v>
      </c>
      <c r="K587" t="s">
        <v>644</v>
      </c>
      <c r="L587" t="s">
        <v>666</v>
      </c>
      <c r="M587">
        <v>17</v>
      </c>
      <c r="N587">
        <v>60</v>
      </c>
      <c r="O587" t="s">
        <v>442</v>
      </c>
      <c r="P587" t="s">
        <v>409</v>
      </c>
      <c r="Q587" t="s">
        <v>714</v>
      </c>
      <c r="R587" t="s">
        <v>740</v>
      </c>
      <c r="S587" t="s">
        <v>443</v>
      </c>
      <c r="T587" t="s">
        <v>444</v>
      </c>
      <c r="U587" t="s">
        <v>445</v>
      </c>
      <c r="V587" t="s">
        <v>413</v>
      </c>
      <c r="W587" t="s">
        <v>200</v>
      </c>
      <c r="X587" t="s">
        <v>199</v>
      </c>
      <c r="Y587" t="s">
        <v>274</v>
      </c>
      <c r="Z587">
        <v>6</v>
      </c>
      <c r="AA587">
        <v>6</v>
      </c>
      <c r="AB587">
        <v>7</v>
      </c>
      <c r="AC587">
        <v>7</v>
      </c>
      <c r="AD587">
        <v>5</v>
      </c>
      <c r="AE587">
        <v>3</v>
      </c>
      <c r="AF587">
        <v>3</v>
      </c>
      <c r="AG587">
        <v>1</v>
      </c>
      <c r="AH587">
        <v>6</v>
      </c>
      <c r="AI587">
        <v>1</v>
      </c>
      <c r="AJ587">
        <v>7</v>
      </c>
      <c r="AK587">
        <v>7</v>
      </c>
      <c r="AL587">
        <v>7</v>
      </c>
      <c r="AM587">
        <v>6</v>
      </c>
      <c r="AN587">
        <v>135</v>
      </c>
      <c r="AO587">
        <v>5</v>
      </c>
      <c r="AP587">
        <v>7</v>
      </c>
      <c r="AQ587">
        <v>7</v>
      </c>
      <c r="AR587">
        <v>6</v>
      </c>
      <c r="AS587">
        <v>7</v>
      </c>
      <c r="AT587">
        <v>6</v>
      </c>
      <c r="AU587">
        <v>6</v>
      </c>
      <c r="AV587">
        <v>6</v>
      </c>
      <c r="AW587">
        <v>6</v>
      </c>
      <c r="AX587">
        <v>3</v>
      </c>
      <c r="AY587" cm="1">
        <f t="array" ref="AY587">_xlfn.IFS(AZ587="Positive",1, AZ587="Negative",1, AZ587="Neutral",0)</f>
        <v>1</v>
      </c>
      <c r="AZ587" t="s">
        <v>199</v>
      </c>
      <c r="BA587">
        <v>0</v>
      </c>
      <c r="BB587">
        <v>5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>
        <v>0</v>
      </c>
      <c r="BI587">
        <v>0</v>
      </c>
      <c r="BJ587">
        <v>2</v>
      </c>
      <c r="BK587">
        <v>1</v>
      </c>
      <c r="BL587">
        <v>2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 t="s">
        <v>296</v>
      </c>
      <c r="BT587" t="s">
        <v>276</v>
      </c>
      <c r="BU587" t="s">
        <v>362</v>
      </c>
      <c r="BV587" t="s">
        <v>280</v>
      </c>
    </row>
    <row r="588" spans="1:74" hidden="1" x14ac:dyDescent="0.2">
      <c r="A588">
        <v>605</v>
      </c>
      <c r="B588">
        <v>30</v>
      </c>
      <c r="C588" t="s">
        <v>107</v>
      </c>
      <c r="E588" t="s">
        <v>73</v>
      </c>
      <c r="F588">
        <v>30</v>
      </c>
      <c r="G588">
        <v>1999</v>
      </c>
      <c r="H588">
        <v>23</v>
      </c>
      <c r="I588" t="s">
        <v>64</v>
      </c>
      <c r="J588">
        <v>1</v>
      </c>
      <c r="K588" t="s">
        <v>661</v>
      </c>
      <c r="L588" t="s">
        <v>652</v>
      </c>
      <c r="M588">
        <v>6</v>
      </c>
      <c r="N588">
        <v>66</v>
      </c>
      <c r="O588" t="s">
        <v>446</v>
      </c>
      <c r="P588" t="s">
        <v>369</v>
      </c>
      <c r="Q588" t="s">
        <v>734</v>
      </c>
      <c r="R588" t="s">
        <v>722</v>
      </c>
      <c r="S588" t="s">
        <v>403</v>
      </c>
      <c r="T588" t="s">
        <v>282</v>
      </c>
      <c r="U588" t="s">
        <v>448</v>
      </c>
      <c r="V588" t="s">
        <v>374</v>
      </c>
      <c r="W588" t="s">
        <v>200</v>
      </c>
      <c r="X588" t="s">
        <v>199</v>
      </c>
      <c r="Y588" t="s">
        <v>274</v>
      </c>
      <c r="Z588">
        <v>5</v>
      </c>
      <c r="AA588">
        <v>6</v>
      </c>
      <c r="AB588">
        <v>5</v>
      </c>
      <c r="AC588">
        <v>6</v>
      </c>
      <c r="AD588">
        <v>6</v>
      </c>
      <c r="AE588">
        <v>5</v>
      </c>
      <c r="AF588">
        <v>3</v>
      </c>
      <c r="AG588">
        <v>3</v>
      </c>
      <c r="AH588">
        <v>5</v>
      </c>
      <c r="AI588">
        <v>2</v>
      </c>
      <c r="AJ588">
        <v>6</v>
      </c>
      <c r="AK588">
        <v>3</v>
      </c>
      <c r="AL588">
        <v>3</v>
      </c>
      <c r="AM588">
        <v>6</v>
      </c>
      <c r="AN588">
        <v>169</v>
      </c>
      <c r="AO588">
        <v>5</v>
      </c>
      <c r="AP588">
        <v>4</v>
      </c>
      <c r="AQ588">
        <v>5</v>
      </c>
      <c r="AR588">
        <v>5</v>
      </c>
      <c r="AS588">
        <v>4</v>
      </c>
      <c r="AT588">
        <v>5</v>
      </c>
      <c r="AU588">
        <v>3</v>
      </c>
      <c r="AV588">
        <v>4</v>
      </c>
      <c r="AW588">
        <v>6</v>
      </c>
      <c r="AX588">
        <v>2</v>
      </c>
      <c r="AY588" cm="1">
        <f t="array" ref="AY588">_xlfn.IFS(AZ588="Positive",1, AZ588="Negative",1, AZ588="Neutral",0)</f>
        <v>1</v>
      </c>
      <c r="AZ588" t="s">
        <v>199</v>
      </c>
      <c r="BA588">
        <v>4</v>
      </c>
      <c r="BB588">
        <v>3</v>
      </c>
      <c r="BC588" s="3">
        <v>3</v>
      </c>
      <c r="BD588" s="3">
        <v>0</v>
      </c>
      <c r="BE588" s="3">
        <v>1</v>
      </c>
      <c r="BF588" s="3">
        <v>0</v>
      </c>
      <c r="BG588" s="3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3</v>
      </c>
      <c r="BN588">
        <v>0</v>
      </c>
      <c r="BO588">
        <v>0</v>
      </c>
      <c r="BP588">
        <v>0</v>
      </c>
      <c r="BQ588">
        <v>0</v>
      </c>
      <c r="BR588">
        <v>0</v>
      </c>
      <c r="BS588" t="s">
        <v>414</v>
      </c>
      <c r="BT588" t="s">
        <v>399</v>
      </c>
      <c r="BU588" t="s">
        <v>417</v>
      </c>
      <c r="BV588" t="s">
        <v>447</v>
      </c>
    </row>
    <row r="589" spans="1:74" hidden="1" x14ac:dyDescent="0.2">
      <c r="A589">
        <v>606</v>
      </c>
      <c r="B589">
        <v>31</v>
      </c>
      <c r="C589" t="s">
        <v>108</v>
      </c>
      <c r="E589" t="s">
        <v>97</v>
      </c>
      <c r="F589">
        <v>24</v>
      </c>
      <c r="G589">
        <v>1999</v>
      </c>
      <c r="H589">
        <v>23</v>
      </c>
      <c r="I589" t="s">
        <v>64</v>
      </c>
      <c r="J589">
        <v>1</v>
      </c>
      <c r="K589" t="s">
        <v>667</v>
      </c>
      <c r="L589" t="s">
        <v>668</v>
      </c>
      <c r="M589">
        <v>2</v>
      </c>
      <c r="N589">
        <v>62</v>
      </c>
      <c r="O589" t="s">
        <v>339</v>
      </c>
      <c r="P589" t="s">
        <v>339</v>
      </c>
      <c r="Q589" t="s">
        <v>741</v>
      </c>
      <c r="R589" t="s">
        <v>742</v>
      </c>
      <c r="S589" t="s">
        <v>281</v>
      </c>
      <c r="T589" t="s">
        <v>319</v>
      </c>
      <c r="U589" t="s">
        <v>452</v>
      </c>
      <c r="V589" t="s">
        <v>343</v>
      </c>
      <c r="W589" t="s">
        <v>200</v>
      </c>
      <c r="X589" t="s">
        <v>199</v>
      </c>
      <c r="Y589" t="s">
        <v>274</v>
      </c>
      <c r="Z589">
        <v>4</v>
      </c>
      <c r="AA589">
        <v>2</v>
      </c>
      <c r="AB589">
        <v>3</v>
      </c>
      <c r="AC589">
        <v>1</v>
      </c>
      <c r="AD589">
        <v>1</v>
      </c>
      <c r="AE589">
        <v>1</v>
      </c>
      <c r="AF589">
        <v>2</v>
      </c>
      <c r="AG589">
        <v>3</v>
      </c>
      <c r="AH589">
        <v>1</v>
      </c>
      <c r="AI589">
        <v>1</v>
      </c>
      <c r="AJ589">
        <v>7</v>
      </c>
      <c r="AK589">
        <v>3</v>
      </c>
      <c r="AL589">
        <v>7</v>
      </c>
      <c r="AM589">
        <v>2</v>
      </c>
      <c r="AN589">
        <v>151</v>
      </c>
      <c r="AO589">
        <v>5</v>
      </c>
      <c r="AP589">
        <v>7</v>
      </c>
      <c r="AQ589">
        <v>6</v>
      </c>
      <c r="AR589">
        <v>3</v>
      </c>
      <c r="AS589">
        <v>2</v>
      </c>
      <c r="AT589">
        <v>2</v>
      </c>
      <c r="AU589">
        <v>2</v>
      </c>
      <c r="AV589">
        <v>2</v>
      </c>
      <c r="AW589">
        <v>2</v>
      </c>
      <c r="AX589">
        <v>3</v>
      </c>
      <c r="AY589" cm="1">
        <f t="array" ref="AY589">_xlfn.IFS(AZ589="Positive",1, AZ589="Negative",1, AZ589="Neutral",0)</f>
        <v>1</v>
      </c>
      <c r="AZ589" t="s">
        <v>199</v>
      </c>
      <c r="BA589">
        <v>3</v>
      </c>
      <c r="BB589">
        <v>6</v>
      </c>
      <c r="BC589" s="3">
        <v>2</v>
      </c>
      <c r="BD589" s="3">
        <v>0</v>
      </c>
      <c r="BE589" s="3">
        <v>0</v>
      </c>
      <c r="BF589" s="3">
        <v>1</v>
      </c>
      <c r="BG589" s="3">
        <v>0</v>
      </c>
      <c r="BH589">
        <v>0</v>
      </c>
      <c r="BI589">
        <v>0</v>
      </c>
      <c r="BJ589">
        <v>3</v>
      </c>
      <c r="BK589">
        <v>0</v>
      </c>
      <c r="BL589">
        <v>0</v>
      </c>
      <c r="BM589">
        <v>1</v>
      </c>
      <c r="BN589">
        <v>0</v>
      </c>
      <c r="BO589">
        <v>0</v>
      </c>
      <c r="BP589">
        <v>0</v>
      </c>
      <c r="BQ589">
        <v>2</v>
      </c>
      <c r="BR589">
        <v>0</v>
      </c>
      <c r="BS589" t="s">
        <v>367</v>
      </c>
      <c r="BT589" t="s">
        <v>449</v>
      </c>
      <c r="BU589" t="s">
        <v>450</v>
      </c>
      <c r="BV589" t="s">
        <v>451</v>
      </c>
    </row>
    <row r="590" spans="1:74" hidden="1" x14ac:dyDescent="0.2">
      <c r="A590">
        <v>607</v>
      </c>
      <c r="B590">
        <v>32</v>
      </c>
      <c r="C590" t="s">
        <v>109</v>
      </c>
      <c r="E590" t="s">
        <v>68</v>
      </c>
      <c r="F590">
        <v>9</v>
      </c>
      <c r="G590">
        <v>1999</v>
      </c>
      <c r="H590">
        <v>23</v>
      </c>
      <c r="I590" t="s">
        <v>69</v>
      </c>
      <c r="J590">
        <v>2</v>
      </c>
      <c r="K590" t="s">
        <v>481</v>
      </c>
      <c r="L590" t="s">
        <v>633</v>
      </c>
      <c r="M590">
        <v>8</v>
      </c>
      <c r="N590">
        <v>54</v>
      </c>
      <c r="O590" t="s">
        <v>393</v>
      </c>
      <c r="P590" t="s">
        <v>314</v>
      </c>
      <c r="Q590" t="s">
        <v>743</v>
      </c>
      <c r="R590" t="s">
        <v>711</v>
      </c>
      <c r="S590" t="s">
        <v>291</v>
      </c>
      <c r="T590" t="s">
        <v>455</v>
      </c>
      <c r="U590" t="s">
        <v>397</v>
      </c>
      <c r="V590" t="s">
        <v>351</v>
      </c>
      <c r="W590" t="s">
        <v>200</v>
      </c>
      <c r="X590" t="s">
        <v>199</v>
      </c>
      <c r="Y590" t="s">
        <v>274</v>
      </c>
      <c r="Z590">
        <v>7</v>
      </c>
      <c r="AA590">
        <v>7</v>
      </c>
      <c r="AB590">
        <v>7</v>
      </c>
      <c r="AC590">
        <v>7</v>
      </c>
      <c r="AD590">
        <v>1</v>
      </c>
      <c r="AE590">
        <v>3</v>
      </c>
      <c r="AF590">
        <v>1</v>
      </c>
      <c r="AG590">
        <v>6</v>
      </c>
      <c r="AH590">
        <v>7</v>
      </c>
      <c r="AI590">
        <v>1</v>
      </c>
      <c r="AJ590">
        <v>6</v>
      </c>
      <c r="AK590">
        <v>6</v>
      </c>
      <c r="AL590">
        <v>5</v>
      </c>
      <c r="AM590">
        <v>1</v>
      </c>
      <c r="AN590">
        <v>78</v>
      </c>
      <c r="AO590">
        <v>5</v>
      </c>
      <c r="AP590">
        <v>7</v>
      </c>
      <c r="AQ590">
        <v>6</v>
      </c>
      <c r="AR590">
        <v>6</v>
      </c>
      <c r="AS590">
        <v>6</v>
      </c>
      <c r="AT590">
        <v>7</v>
      </c>
      <c r="AU590">
        <v>6</v>
      </c>
      <c r="AV590">
        <v>5</v>
      </c>
      <c r="AW590">
        <v>3</v>
      </c>
      <c r="AX590">
        <v>3</v>
      </c>
      <c r="AY590" cm="1">
        <f t="array" ref="AY590">_xlfn.IFS(AZ590="Positive",1, AZ590="Negative",1, AZ590="Neutral",0)</f>
        <v>1</v>
      </c>
      <c r="AZ590" t="s">
        <v>199</v>
      </c>
      <c r="BA590">
        <v>18</v>
      </c>
      <c r="BB590">
        <v>0</v>
      </c>
      <c r="BC590" s="3">
        <v>14</v>
      </c>
      <c r="BD590" s="3">
        <v>0</v>
      </c>
      <c r="BE590" s="3">
        <v>1</v>
      </c>
      <c r="BF590" s="3">
        <v>3</v>
      </c>
      <c r="BG590" s="3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 t="s">
        <v>305</v>
      </c>
      <c r="BT590" t="s">
        <v>453</v>
      </c>
      <c r="BU590" t="s">
        <v>308</v>
      </c>
      <c r="BV590" t="s">
        <v>454</v>
      </c>
    </row>
    <row r="591" spans="1:74" hidden="1" x14ac:dyDescent="0.2">
      <c r="A591">
        <v>608</v>
      </c>
      <c r="B591">
        <v>33</v>
      </c>
      <c r="C591" t="s">
        <v>110</v>
      </c>
      <c r="E591" t="s">
        <v>63</v>
      </c>
      <c r="F591">
        <v>4</v>
      </c>
      <c r="G591">
        <v>1998</v>
      </c>
      <c r="H591">
        <v>24</v>
      </c>
      <c r="I591" t="s">
        <v>69</v>
      </c>
      <c r="J591">
        <v>2</v>
      </c>
      <c r="K591" t="s">
        <v>642</v>
      </c>
      <c r="L591" t="s">
        <v>652</v>
      </c>
      <c r="M591">
        <v>20</v>
      </c>
      <c r="N591">
        <v>46</v>
      </c>
      <c r="O591" t="s">
        <v>339</v>
      </c>
      <c r="P591" t="s">
        <v>456</v>
      </c>
      <c r="Q591" t="s">
        <v>712</v>
      </c>
      <c r="R591" t="s">
        <v>722</v>
      </c>
      <c r="S591" t="s">
        <v>301</v>
      </c>
      <c r="T591" t="s">
        <v>457</v>
      </c>
      <c r="U591" t="s">
        <v>452</v>
      </c>
      <c r="V591" t="s">
        <v>458</v>
      </c>
      <c r="W591" t="s">
        <v>200</v>
      </c>
      <c r="X591" t="s">
        <v>199</v>
      </c>
      <c r="Y591" t="s">
        <v>274</v>
      </c>
      <c r="Z591">
        <v>5</v>
      </c>
      <c r="AA591">
        <v>5</v>
      </c>
      <c r="AB591">
        <v>4</v>
      </c>
      <c r="AC591">
        <v>6</v>
      </c>
      <c r="AD591">
        <v>1</v>
      </c>
      <c r="AE591">
        <v>2</v>
      </c>
      <c r="AF591">
        <v>6</v>
      </c>
      <c r="AG591">
        <v>5</v>
      </c>
      <c r="AH591">
        <v>4</v>
      </c>
      <c r="AI591">
        <v>1</v>
      </c>
      <c r="AJ591">
        <v>6</v>
      </c>
      <c r="AK591">
        <v>3</v>
      </c>
      <c r="AL591">
        <v>6</v>
      </c>
      <c r="AM591">
        <v>1</v>
      </c>
      <c r="AN591">
        <v>52</v>
      </c>
      <c r="AO591">
        <v>1</v>
      </c>
      <c r="AP591">
        <v>7</v>
      </c>
      <c r="AQ591">
        <v>5</v>
      </c>
      <c r="AR591">
        <v>2</v>
      </c>
      <c r="AS591">
        <v>4</v>
      </c>
      <c r="AT591">
        <v>4</v>
      </c>
      <c r="AU591">
        <v>5</v>
      </c>
      <c r="AV591">
        <v>5</v>
      </c>
      <c r="AW591">
        <v>6</v>
      </c>
      <c r="AX591">
        <v>3</v>
      </c>
      <c r="AY591" cm="1">
        <f t="array" ref="AY591">_xlfn.IFS(AZ591="Positive",1, AZ591="Negative",1, AZ591="Neutral",0)</f>
        <v>1</v>
      </c>
      <c r="AZ591" t="s">
        <v>199</v>
      </c>
      <c r="BA591">
        <v>6</v>
      </c>
      <c r="BB591">
        <v>3</v>
      </c>
      <c r="BC591" s="3">
        <v>5</v>
      </c>
      <c r="BD591" s="3">
        <v>1</v>
      </c>
      <c r="BE591" s="3">
        <v>0</v>
      </c>
      <c r="BF591" s="3">
        <v>0</v>
      </c>
      <c r="BG591" s="3">
        <v>0</v>
      </c>
      <c r="BH591">
        <v>0</v>
      </c>
      <c r="BI591">
        <v>0</v>
      </c>
      <c r="BJ591">
        <v>3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 t="s">
        <v>382</v>
      </c>
      <c r="BT591" t="s">
        <v>382</v>
      </c>
      <c r="BU591" t="s">
        <v>385</v>
      </c>
      <c r="BV591" t="s">
        <v>410</v>
      </c>
    </row>
    <row r="592" spans="1:74" hidden="1" x14ac:dyDescent="0.2">
      <c r="A592">
        <v>609</v>
      </c>
      <c r="B592">
        <v>34</v>
      </c>
      <c r="C592" t="s">
        <v>111</v>
      </c>
      <c r="E592" t="s">
        <v>88</v>
      </c>
      <c r="F592">
        <v>5</v>
      </c>
      <c r="G592">
        <v>1999</v>
      </c>
      <c r="H592">
        <v>23</v>
      </c>
      <c r="I592" t="s">
        <v>69</v>
      </c>
      <c r="J592">
        <v>2</v>
      </c>
      <c r="K592" t="s">
        <v>517</v>
      </c>
      <c r="L592" t="s">
        <v>632</v>
      </c>
      <c r="M592">
        <v>9</v>
      </c>
      <c r="N592">
        <v>60</v>
      </c>
      <c r="O592" t="s">
        <v>456</v>
      </c>
      <c r="P592" t="s">
        <v>394</v>
      </c>
      <c r="Q592" t="s">
        <v>744</v>
      </c>
      <c r="R592" t="s">
        <v>732</v>
      </c>
      <c r="S592" t="s">
        <v>349</v>
      </c>
      <c r="T592" t="s">
        <v>444</v>
      </c>
      <c r="U592" t="s">
        <v>459</v>
      </c>
      <c r="V592" t="s">
        <v>398</v>
      </c>
      <c r="W592" t="s">
        <v>200</v>
      </c>
      <c r="X592" t="s">
        <v>199</v>
      </c>
      <c r="Y592" t="s">
        <v>274</v>
      </c>
      <c r="Z592">
        <v>7</v>
      </c>
      <c r="AA592">
        <v>7</v>
      </c>
      <c r="AB592">
        <v>7</v>
      </c>
      <c r="AC592">
        <v>7</v>
      </c>
      <c r="AD592">
        <v>2</v>
      </c>
      <c r="AE592">
        <v>2</v>
      </c>
      <c r="AF592">
        <v>5</v>
      </c>
      <c r="AG592">
        <v>1</v>
      </c>
      <c r="AH592">
        <v>7</v>
      </c>
      <c r="AI592">
        <v>1</v>
      </c>
      <c r="AJ592">
        <v>7</v>
      </c>
      <c r="AK592">
        <v>7</v>
      </c>
      <c r="AL592">
        <v>7</v>
      </c>
      <c r="AM592">
        <v>5</v>
      </c>
      <c r="AN592">
        <v>113</v>
      </c>
      <c r="AO592">
        <v>2</v>
      </c>
      <c r="AP592">
        <v>7</v>
      </c>
      <c r="AQ592">
        <v>7</v>
      </c>
      <c r="AR592">
        <v>3</v>
      </c>
      <c r="AS592">
        <v>2</v>
      </c>
      <c r="AT592">
        <v>3</v>
      </c>
      <c r="AU592">
        <v>5</v>
      </c>
      <c r="AV592">
        <v>5</v>
      </c>
      <c r="AW592">
        <v>7</v>
      </c>
      <c r="AX592">
        <v>3</v>
      </c>
      <c r="AY592" cm="1">
        <f t="array" ref="AY592">_xlfn.IFS(AZ592="Positive",1, AZ592="Negative",1, AZ592="Neutral",0)</f>
        <v>1</v>
      </c>
      <c r="AZ592" t="s">
        <v>199</v>
      </c>
      <c r="BA592">
        <v>8</v>
      </c>
      <c r="BB592">
        <v>2</v>
      </c>
      <c r="BC592" s="3">
        <v>6</v>
      </c>
      <c r="BD592" s="3">
        <v>0</v>
      </c>
      <c r="BE592" s="3">
        <v>1</v>
      </c>
      <c r="BF592" s="3">
        <v>1</v>
      </c>
      <c r="BG592" s="3">
        <v>0</v>
      </c>
      <c r="BH592">
        <v>0</v>
      </c>
      <c r="BI592">
        <v>0</v>
      </c>
      <c r="BJ592">
        <v>0</v>
      </c>
      <c r="BK592">
        <v>0</v>
      </c>
      <c r="BL592">
        <v>1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</v>
      </c>
      <c r="BS592" t="s">
        <v>313</v>
      </c>
      <c r="BT592" t="s">
        <v>383</v>
      </c>
      <c r="BU592" t="s">
        <v>316</v>
      </c>
      <c r="BV592" t="s">
        <v>386</v>
      </c>
    </row>
    <row r="593" spans="1:74" hidden="1" x14ac:dyDescent="0.2">
      <c r="A593">
        <v>610</v>
      </c>
      <c r="B593">
        <v>35</v>
      </c>
      <c r="C593" t="s">
        <v>112</v>
      </c>
      <c r="E593" t="s">
        <v>68</v>
      </c>
      <c r="F593">
        <v>5</v>
      </c>
      <c r="G593">
        <v>1998</v>
      </c>
      <c r="H593">
        <v>24</v>
      </c>
      <c r="I593" t="s">
        <v>64</v>
      </c>
      <c r="J593">
        <v>1</v>
      </c>
      <c r="K593" t="s">
        <v>416</v>
      </c>
      <c r="L593" t="s">
        <v>669</v>
      </c>
      <c r="M593">
        <v>9</v>
      </c>
      <c r="N593">
        <v>56</v>
      </c>
      <c r="O593" t="s">
        <v>288</v>
      </c>
      <c r="P593" t="s">
        <v>460</v>
      </c>
      <c r="Q593" t="s">
        <v>723</v>
      </c>
      <c r="R593" t="s">
        <v>745</v>
      </c>
      <c r="S593" t="s">
        <v>349</v>
      </c>
      <c r="T593" t="s">
        <v>423</v>
      </c>
      <c r="U593" t="s">
        <v>461</v>
      </c>
      <c r="V593" t="s">
        <v>462</v>
      </c>
      <c r="W593" t="s">
        <v>200</v>
      </c>
      <c r="X593" t="s">
        <v>199</v>
      </c>
      <c r="Y593" t="s">
        <v>274</v>
      </c>
      <c r="Z593">
        <v>4</v>
      </c>
      <c r="AA593">
        <v>4</v>
      </c>
      <c r="AB593">
        <v>6</v>
      </c>
      <c r="AC593">
        <v>6</v>
      </c>
      <c r="AD593">
        <v>2</v>
      </c>
      <c r="AE593">
        <v>6</v>
      </c>
      <c r="AF593">
        <v>2</v>
      </c>
      <c r="AG593">
        <v>4</v>
      </c>
      <c r="AH593">
        <v>4</v>
      </c>
      <c r="AI593">
        <v>1</v>
      </c>
      <c r="AJ593">
        <v>7</v>
      </c>
      <c r="AK593">
        <v>4</v>
      </c>
      <c r="AL593">
        <v>3</v>
      </c>
      <c r="AM593">
        <v>3</v>
      </c>
      <c r="AN593">
        <v>88</v>
      </c>
      <c r="AO593">
        <v>1</v>
      </c>
      <c r="AP593">
        <v>7</v>
      </c>
      <c r="AQ593">
        <v>5</v>
      </c>
      <c r="AR593">
        <v>4</v>
      </c>
      <c r="AS593">
        <v>4</v>
      </c>
      <c r="AT593">
        <v>3</v>
      </c>
      <c r="AU593">
        <v>4</v>
      </c>
      <c r="AV593">
        <v>3</v>
      </c>
      <c r="AW593">
        <v>3</v>
      </c>
      <c r="AX593">
        <v>3</v>
      </c>
      <c r="AY593" cm="1">
        <f t="array" ref="AY593">_xlfn.IFS(AZ593="Positive",1, AZ593="Negative",1, AZ593="Neutral",0)</f>
        <v>1</v>
      </c>
      <c r="AZ593" t="s">
        <v>199</v>
      </c>
      <c r="BA593">
        <v>6</v>
      </c>
      <c r="BB593">
        <v>0</v>
      </c>
      <c r="BC593" s="3">
        <v>5</v>
      </c>
      <c r="BD593" s="3">
        <v>0</v>
      </c>
      <c r="BE593" s="3">
        <v>1</v>
      </c>
      <c r="BF593" s="3">
        <v>0</v>
      </c>
      <c r="BG593" s="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 t="s">
        <v>382</v>
      </c>
      <c r="BT593" t="s">
        <v>433</v>
      </c>
      <c r="BU593" t="s">
        <v>385</v>
      </c>
      <c r="BV593" t="s">
        <v>435</v>
      </c>
    </row>
    <row r="594" spans="1:74" hidden="1" x14ac:dyDescent="0.2">
      <c r="A594">
        <v>611</v>
      </c>
      <c r="B594">
        <v>36</v>
      </c>
      <c r="C594" t="s">
        <v>113</v>
      </c>
      <c r="E594" t="s">
        <v>78</v>
      </c>
      <c r="F594">
        <v>8</v>
      </c>
      <c r="G594">
        <v>1998</v>
      </c>
      <c r="H594">
        <v>24</v>
      </c>
      <c r="I594" t="s">
        <v>64</v>
      </c>
      <c r="J594">
        <v>1</v>
      </c>
      <c r="K594" t="s">
        <v>517</v>
      </c>
      <c r="L594" t="s">
        <v>670</v>
      </c>
      <c r="M594">
        <v>10</v>
      </c>
      <c r="N594">
        <v>58</v>
      </c>
      <c r="O594" t="s">
        <v>384</v>
      </c>
      <c r="P594" t="s">
        <v>376</v>
      </c>
      <c r="Q594" t="s">
        <v>744</v>
      </c>
      <c r="R594" t="s">
        <v>746</v>
      </c>
      <c r="S594" t="s">
        <v>378</v>
      </c>
      <c r="T594" t="s">
        <v>364</v>
      </c>
      <c r="U594" t="s">
        <v>387</v>
      </c>
      <c r="V594" t="s">
        <v>381</v>
      </c>
      <c r="W594" t="s">
        <v>200</v>
      </c>
      <c r="X594" t="s">
        <v>199</v>
      </c>
      <c r="Y594" t="s">
        <v>274</v>
      </c>
      <c r="Z594">
        <v>6</v>
      </c>
      <c r="AA594">
        <v>2</v>
      </c>
      <c r="AB594">
        <v>6</v>
      </c>
      <c r="AC594">
        <v>1</v>
      </c>
      <c r="AD594">
        <v>1</v>
      </c>
      <c r="AE594">
        <v>7</v>
      </c>
      <c r="AF594">
        <v>3</v>
      </c>
      <c r="AG594">
        <v>3</v>
      </c>
      <c r="AH594">
        <v>1</v>
      </c>
      <c r="AI594">
        <v>2</v>
      </c>
      <c r="AJ594">
        <v>6</v>
      </c>
      <c r="AK594">
        <v>5</v>
      </c>
      <c r="AL594">
        <v>5</v>
      </c>
      <c r="AM594">
        <v>7</v>
      </c>
      <c r="AN594">
        <v>11</v>
      </c>
      <c r="AO594">
        <v>1</v>
      </c>
      <c r="AP594">
        <v>6</v>
      </c>
      <c r="AQ594">
        <v>6</v>
      </c>
      <c r="AR594">
        <v>6</v>
      </c>
      <c r="AS594">
        <v>7</v>
      </c>
      <c r="AT594">
        <v>5</v>
      </c>
      <c r="AU594">
        <v>6</v>
      </c>
      <c r="AV594">
        <v>7</v>
      </c>
      <c r="AW594">
        <v>7</v>
      </c>
      <c r="AX594">
        <v>3</v>
      </c>
      <c r="AY594" cm="1">
        <f t="array" ref="AY594">_xlfn.IFS(AZ594="Positive",1, AZ594="Negative",1, AZ594="Neutral",0)</f>
        <v>1</v>
      </c>
      <c r="AZ594" t="s">
        <v>199</v>
      </c>
      <c r="BA594">
        <v>13</v>
      </c>
      <c r="BB594">
        <v>0</v>
      </c>
      <c r="BC594" s="3">
        <v>7</v>
      </c>
      <c r="BD594" s="3">
        <v>2</v>
      </c>
      <c r="BE594" s="3">
        <v>0</v>
      </c>
      <c r="BF594" s="3">
        <v>2</v>
      </c>
      <c r="BG594" s="3">
        <v>2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 t="s">
        <v>463</v>
      </c>
      <c r="BT594" t="s">
        <v>464</v>
      </c>
      <c r="BU594" t="s">
        <v>465</v>
      </c>
      <c r="BV594" t="s">
        <v>466</v>
      </c>
    </row>
    <row r="595" spans="1:74" hidden="1" x14ac:dyDescent="0.2">
      <c r="A595">
        <v>612</v>
      </c>
      <c r="B595">
        <v>37</v>
      </c>
      <c r="C595" t="s">
        <v>114</v>
      </c>
      <c r="E595" t="s">
        <v>88</v>
      </c>
      <c r="F595">
        <v>25</v>
      </c>
      <c r="G595">
        <v>2000</v>
      </c>
      <c r="H595">
        <v>22</v>
      </c>
      <c r="I595" t="s">
        <v>64</v>
      </c>
      <c r="J595">
        <v>1</v>
      </c>
      <c r="K595" t="s">
        <v>416</v>
      </c>
      <c r="L595" t="s">
        <v>634</v>
      </c>
      <c r="M595">
        <v>15</v>
      </c>
      <c r="N595">
        <v>61</v>
      </c>
      <c r="O595" t="s">
        <v>468</v>
      </c>
      <c r="P595">
        <v>6</v>
      </c>
      <c r="Q595" t="s">
        <v>723</v>
      </c>
      <c r="R595" t="s">
        <v>747</v>
      </c>
      <c r="S595" t="s">
        <v>363</v>
      </c>
      <c r="T595" t="s">
        <v>292</v>
      </c>
      <c r="U595" t="s">
        <v>470</v>
      </c>
      <c r="V595" t="s">
        <v>471</v>
      </c>
      <c r="W595" t="s">
        <v>200</v>
      </c>
      <c r="X595" t="s">
        <v>199</v>
      </c>
      <c r="Y595" t="s">
        <v>274</v>
      </c>
      <c r="Z595">
        <v>3</v>
      </c>
      <c r="AA595">
        <v>2</v>
      </c>
      <c r="AB595">
        <v>5</v>
      </c>
      <c r="AC595">
        <v>3</v>
      </c>
      <c r="AD595">
        <v>1</v>
      </c>
      <c r="AE595">
        <v>1</v>
      </c>
      <c r="AF595">
        <v>2</v>
      </c>
      <c r="AG595">
        <v>4</v>
      </c>
      <c r="AH595">
        <v>3</v>
      </c>
      <c r="AI595">
        <v>1</v>
      </c>
      <c r="AJ595">
        <v>6</v>
      </c>
      <c r="AK595">
        <v>5</v>
      </c>
      <c r="AL595">
        <v>5</v>
      </c>
      <c r="AM595">
        <v>2</v>
      </c>
      <c r="AN595">
        <v>72</v>
      </c>
      <c r="AO595">
        <v>1</v>
      </c>
      <c r="AP595">
        <v>6</v>
      </c>
      <c r="AQ595">
        <v>5</v>
      </c>
      <c r="AR595">
        <v>7</v>
      </c>
      <c r="AS595">
        <v>7</v>
      </c>
      <c r="AT595">
        <v>7</v>
      </c>
      <c r="AU595">
        <v>7</v>
      </c>
      <c r="AV595">
        <v>7</v>
      </c>
      <c r="AW595">
        <v>6</v>
      </c>
      <c r="AX595">
        <v>3</v>
      </c>
      <c r="AY595" cm="1">
        <f t="array" ref="AY595">_xlfn.IFS(AZ595="Positive",1, AZ595="Negative",1, AZ595="Neutral",0)</f>
        <v>1</v>
      </c>
      <c r="AZ595" t="s">
        <v>199</v>
      </c>
      <c r="BA595">
        <v>10</v>
      </c>
      <c r="BB595">
        <v>4</v>
      </c>
      <c r="BC595" s="3">
        <v>6</v>
      </c>
      <c r="BD595" s="3">
        <v>0</v>
      </c>
      <c r="BE595" s="3">
        <v>1</v>
      </c>
      <c r="BF595" s="3">
        <v>0</v>
      </c>
      <c r="BG595" s="3">
        <v>3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3</v>
      </c>
      <c r="BN595">
        <v>0</v>
      </c>
      <c r="BO595">
        <v>1</v>
      </c>
      <c r="BP595">
        <v>0</v>
      </c>
      <c r="BQ595">
        <v>0</v>
      </c>
      <c r="BR595">
        <v>0</v>
      </c>
      <c r="BS595" t="s">
        <v>467</v>
      </c>
      <c r="BT595" t="s">
        <v>399</v>
      </c>
      <c r="BU595" t="s">
        <v>469</v>
      </c>
      <c r="BV595" t="s">
        <v>447</v>
      </c>
    </row>
    <row r="596" spans="1:74" hidden="1" x14ac:dyDescent="0.2">
      <c r="A596">
        <v>613</v>
      </c>
      <c r="B596">
        <v>38</v>
      </c>
      <c r="C596" t="s">
        <v>115</v>
      </c>
      <c r="E596" t="s">
        <v>85</v>
      </c>
      <c r="F596">
        <v>27</v>
      </c>
      <c r="G596">
        <v>1999</v>
      </c>
      <c r="H596">
        <v>23</v>
      </c>
      <c r="I596" t="s">
        <v>64</v>
      </c>
      <c r="J596">
        <v>1</v>
      </c>
      <c r="K596" t="s">
        <v>671</v>
      </c>
      <c r="L596" t="s">
        <v>670</v>
      </c>
      <c r="M596">
        <v>3</v>
      </c>
      <c r="N596">
        <v>48</v>
      </c>
      <c r="O596" t="s">
        <v>315</v>
      </c>
      <c r="P596" t="s">
        <v>405</v>
      </c>
      <c r="Q596" t="s">
        <v>748</v>
      </c>
      <c r="R596" t="s">
        <v>746</v>
      </c>
      <c r="S596" t="s">
        <v>372</v>
      </c>
      <c r="T596" t="s">
        <v>418</v>
      </c>
      <c r="U596" t="s">
        <v>474</v>
      </c>
      <c r="V596" t="s">
        <v>407</v>
      </c>
      <c r="W596" t="s">
        <v>200</v>
      </c>
      <c r="X596" t="s">
        <v>199</v>
      </c>
      <c r="Y596" t="s">
        <v>274</v>
      </c>
      <c r="Z596">
        <v>6</v>
      </c>
      <c r="AA596">
        <v>6</v>
      </c>
      <c r="AB596">
        <v>6</v>
      </c>
      <c r="AC596">
        <v>2</v>
      </c>
      <c r="AD596">
        <v>2</v>
      </c>
      <c r="AE596">
        <v>2</v>
      </c>
      <c r="AF596">
        <v>2</v>
      </c>
      <c r="AG596">
        <v>2</v>
      </c>
      <c r="AH596">
        <v>6</v>
      </c>
      <c r="AI596">
        <v>1</v>
      </c>
      <c r="AJ596">
        <v>7</v>
      </c>
      <c r="AK596">
        <v>5</v>
      </c>
      <c r="AL596">
        <v>6</v>
      </c>
      <c r="AM596">
        <v>6</v>
      </c>
      <c r="AN596">
        <v>1</v>
      </c>
      <c r="AO596">
        <v>5</v>
      </c>
      <c r="AP596">
        <v>7</v>
      </c>
      <c r="AQ596">
        <v>4</v>
      </c>
      <c r="AR596">
        <v>4</v>
      </c>
      <c r="AS596">
        <v>4</v>
      </c>
      <c r="AT596">
        <v>5</v>
      </c>
      <c r="AU596">
        <v>5</v>
      </c>
      <c r="AV596">
        <v>5</v>
      </c>
      <c r="AW596">
        <v>7</v>
      </c>
      <c r="AX596">
        <v>3</v>
      </c>
      <c r="AY596" cm="1">
        <f t="array" ref="AY596">_xlfn.IFS(AZ596="Positive",1, AZ596="Negative",1, AZ596="Neutral",0)</f>
        <v>1</v>
      </c>
      <c r="AZ596" t="s">
        <v>199</v>
      </c>
      <c r="BA596">
        <v>11</v>
      </c>
      <c r="BB596">
        <v>1</v>
      </c>
      <c r="BC596" s="3">
        <v>10</v>
      </c>
      <c r="BD596" s="3">
        <v>0</v>
      </c>
      <c r="BE596" s="3">
        <v>1</v>
      </c>
      <c r="BF596" s="3">
        <v>0</v>
      </c>
      <c r="BG596" s="3">
        <v>0</v>
      </c>
      <c r="BH596">
        <v>0</v>
      </c>
      <c r="BI596">
        <v>0</v>
      </c>
      <c r="BJ596">
        <v>1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 t="s">
        <v>453</v>
      </c>
      <c r="BT596" t="s">
        <v>295</v>
      </c>
      <c r="BU596" t="s">
        <v>472</v>
      </c>
      <c r="BV596" t="s">
        <v>473</v>
      </c>
    </row>
    <row r="597" spans="1:74" hidden="1" x14ac:dyDescent="0.2">
      <c r="A597">
        <v>614</v>
      </c>
      <c r="B597">
        <v>39</v>
      </c>
      <c r="C597" t="s">
        <v>116</v>
      </c>
      <c r="E597" t="s">
        <v>71</v>
      </c>
      <c r="F597">
        <v>28</v>
      </c>
      <c r="G597">
        <v>2001</v>
      </c>
      <c r="H597">
        <v>21</v>
      </c>
      <c r="I597" t="s">
        <v>69</v>
      </c>
      <c r="J597">
        <v>2</v>
      </c>
      <c r="K597" t="s">
        <v>517</v>
      </c>
      <c r="L597" t="s">
        <v>672</v>
      </c>
      <c r="M597">
        <v>4</v>
      </c>
      <c r="N597">
        <v>63</v>
      </c>
      <c r="O597" t="s">
        <v>394</v>
      </c>
      <c r="P597" t="s">
        <v>354</v>
      </c>
      <c r="Q597" t="s">
        <v>744</v>
      </c>
      <c r="R597" t="s">
        <v>749</v>
      </c>
      <c r="S597" t="s">
        <v>396</v>
      </c>
      <c r="T597" t="s">
        <v>477</v>
      </c>
      <c r="U597" t="s">
        <v>478</v>
      </c>
      <c r="V597" t="s">
        <v>359</v>
      </c>
      <c r="W597" t="s">
        <v>200</v>
      </c>
      <c r="X597" t="s">
        <v>199</v>
      </c>
      <c r="Y597" t="s">
        <v>274</v>
      </c>
      <c r="Z597">
        <v>2</v>
      </c>
      <c r="AA597">
        <v>5</v>
      </c>
      <c r="AB597">
        <v>5</v>
      </c>
      <c r="AC597">
        <v>5</v>
      </c>
      <c r="AD597">
        <v>1</v>
      </c>
      <c r="AE597">
        <v>1</v>
      </c>
      <c r="AF597">
        <v>1</v>
      </c>
      <c r="AG597">
        <v>5</v>
      </c>
      <c r="AH597">
        <v>1</v>
      </c>
      <c r="AI597">
        <v>1</v>
      </c>
      <c r="AJ597">
        <v>6</v>
      </c>
      <c r="AK597">
        <v>6</v>
      </c>
      <c r="AL597">
        <v>6</v>
      </c>
      <c r="AM597">
        <v>2</v>
      </c>
      <c r="AN597">
        <v>48</v>
      </c>
      <c r="AO597">
        <v>1</v>
      </c>
      <c r="AP597">
        <v>6</v>
      </c>
      <c r="AQ597">
        <v>4</v>
      </c>
      <c r="AR597">
        <v>1</v>
      </c>
      <c r="AS597">
        <v>5</v>
      </c>
      <c r="AT597">
        <v>2</v>
      </c>
      <c r="AU597">
        <v>5</v>
      </c>
      <c r="AV597">
        <v>5</v>
      </c>
      <c r="AW597">
        <v>2</v>
      </c>
      <c r="AX597">
        <v>3</v>
      </c>
      <c r="AY597" cm="1">
        <f t="array" ref="AY597">_xlfn.IFS(AZ597="Positive",1, AZ597="Negative",1, AZ597="Neutral",0)</f>
        <v>1</v>
      </c>
      <c r="AZ597" t="s">
        <v>199</v>
      </c>
      <c r="BA597">
        <v>6</v>
      </c>
      <c r="BB597">
        <v>6</v>
      </c>
      <c r="BC597" s="3">
        <v>4</v>
      </c>
      <c r="BD597" s="3">
        <v>0</v>
      </c>
      <c r="BE597" s="3">
        <v>1</v>
      </c>
      <c r="BF597" s="3">
        <v>0</v>
      </c>
      <c r="BG597" s="3">
        <v>1</v>
      </c>
      <c r="BH597">
        <v>0</v>
      </c>
      <c r="BI597">
        <v>0</v>
      </c>
      <c r="BJ597">
        <v>4</v>
      </c>
      <c r="BK597">
        <v>2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 t="s">
        <v>399</v>
      </c>
      <c r="BT597" t="s">
        <v>475</v>
      </c>
      <c r="BU597" t="s">
        <v>400</v>
      </c>
      <c r="BV597" t="s">
        <v>476</v>
      </c>
    </row>
    <row r="598" spans="1:74" hidden="1" x14ac:dyDescent="0.2">
      <c r="A598">
        <v>615</v>
      </c>
      <c r="B598">
        <v>40</v>
      </c>
      <c r="C598" t="s">
        <v>117</v>
      </c>
      <c r="E598" t="s">
        <v>88</v>
      </c>
      <c r="F598">
        <v>15</v>
      </c>
      <c r="G598">
        <v>2001</v>
      </c>
      <c r="H598">
        <v>21</v>
      </c>
      <c r="I598" t="s">
        <v>69</v>
      </c>
      <c r="J598">
        <v>2</v>
      </c>
      <c r="K598" t="s">
        <v>673</v>
      </c>
      <c r="L598" t="s">
        <v>648</v>
      </c>
      <c r="M598">
        <v>5</v>
      </c>
      <c r="N598">
        <v>48</v>
      </c>
      <c r="O598" t="s">
        <v>393</v>
      </c>
      <c r="P598" t="s">
        <v>369</v>
      </c>
      <c r="Q598" t="s">
        <v>750</v>
      </c>
      <c r="R598" t="s">
        <v>718</v>
      </c>
      <c r="S598" t="s">
        <v>318</v>
      </c>
      <c r="T598" t="s">
        <v>418</v>
      </c>
      <c r="U598" t="s">
        <v>397</v>
      </c>
      <c r="V598" t="s">
        <v>374</v>
      </c>
      <c r="W598" t="s">
        <v>200</v>
      </c>
      <c r="X598" t="s">
        <v>199</v>
      </c>
      <c r="Y598" t="s">
        <v>274</v>
      </c>
      <c r="Z598">
        <v>5</v>
      </c>
      <c r="AA598">
        <v>5</v>
      </c>
      <c r="AB598">
        <v>4</v>
      </c>
      <c r="AC598">
        <v>2</v>
      </c>
      <c r="AD598">
        <v>5</v>
      </c>
      <c r="AE598">
        <v>5</v>
      </c>
      <c r="AF598">
        <v>2</v>
      </c>
      <c r="AG598">
        <v>2</v>
      </c>
      <c r="AH598">
        <v>5</v>
      </c>
      <c r="AI598">
        <v>1</v>
      </c>
      <c r="AJ598">
        <v>7</v>
      </c>
      <c r="AK598">
        <v>6</v>
      </c>
      <c r="AL598">
        <v>6</v>
      </c>
      <c r="AM598">
        <v>2</v>
      </c>
      <c r="AN598">
        <v>83</v>
      </c>
      <c r="AO598">
        <v>1</v>
      </c>
      <c r="AP598">
        <v>7</v>
      </c>
      <c r="AQ598">
        <v>6</v>
      </c>
      <c r="AR598">
        <v>4</v>
      </c>
      <c r="AS598">
        <v>6</v>
      </c>
      <c r="AT598">
        <v>3</v>
      </c>
      <c r="AU598">
        <v>6</v>
      </c>
      <c r="AV598">
        <v>6</v>
      </c>
      <c r="AW598">
        <v>6</v>
      </c>
      <c r="AX598">
        <v>3</v>
      </c>
      <c r="AY598" cm="1">
        <f t="array" ref="AY598">_xlfn.IFS(AZ598="Positive",1, AZ598="Negative",1, AZ598="Neutral",0)</f>
        <v>1</v>
      </c>
      <c r="AZ598" t="s">
        <v>199</v>
      </c>
      <c r="BA598">
        <v>18</v>
      </c>
      <c r="BB598">
        <v>3</v>
      </c>
      <c r="BC598" s="3">
        <v>10</v>
      </c>
      <c r="BD598" s="3">
        <v>0</v>
      </c>
      <c r="BE598" s="3">
        <v>3</v>
      </c>
      <c r="BF598" s="3">
        <v>2</v>
      </c>
      <c r="BG598" s="3">
        <v>3</v>
      </c>
      <c r="BH598">
        <v>0</v>
      </c>
      <c r="BI598">
        <v>0</v>
      </c>
      <c r="BJ598">
        <v>1</v>
      </c>
      <c r="BK598">
        <v>0</v>
      </c>
      <c r="BL598">
        <v>0</v>
      </c>
      <c r="BM598">
        <v>2</v>
      </c>
      <c r="BN598">
        <v>0</v>
      </c>
      <c r="BO598">
        <v>0</v>
      </c>
      <c r="BP598">
        <v>0</v>
      </c>
      <c r="BQ598">
        <v>0</v>
      </c>
      <c r="BR598">
        <v>0</v>
      </c>
      <c r="BS598" t="s">
        <v>323</v>
      </c>
      <c r="BT598">
        <v>2</v>
      </c>
      <c r="BU598" t="s">
        <v>479</v>
      </c>
      <c r="BV598" t="s">
        <v>340</v>
      </c>
    </row>
    <row r="599" spans="1:74" x14ac:dyDescent="0.2">
      <c r="A599">
        <v>616</v>
      </c>
      <c r="B599">
        <v>41</v>
      </c>
      <c r="C599" t="s">
        <v>118</v>
      </c>
      <c r="E599" t="s">
        <v>88</v>
      </c>
      <c r="F599">
        <v>27</v>
      </c>
      <c r="G599">
        <v>1998</v>
      </c>
      <c r="H599">
        <v>24</v>
      </c>
      <c r="I599" t="s">
        <v>69</v>
      </c>
      <c r="J599">
        <v>2</v>
      </c>
      <c r="K599" t="s">
        <v>656</v>
      </c>
      <c r="L599" t="s">
        <v>653</v>
      </c>
      <c r="M599">
        <v>8</v>
      </c>
      <c r="N599">
        <v>59</v>
      </c>
      <c r="O599" t="s">
        <v>339</v>
      </c>
      <c r="P599" t="s">
        <v>481</v>
      </c>
      <c r="Q599" t="s">
        <v>751</v>
      </c>
      <c r="R599" t="s">
        <v>724</v>
      </c>
      <c r="S599" t="s">
        <v>291</v>
      </c>
      <c r="T599" t="s">
        <v>341</v>
      </c>
      <c r="U599" t="s">
        <v>452</v>
      </c>
      <c r="V599" t="s">
        <v>483</v>
      </c>
      <c r="W599" t="s">
        <v>200</v>
      </c>
      <c r="X599" t="s">
        <v>199</v>
      </c>
      <c r="Y599" t="s">
        <v>274</v>
      </c>
      <c r="Z599">
        <v>5</v>
      </c>
      <c r="AA599">
        <v>4</v>
      </c>
      <c r="AB599">
        <v>5</v>
      </c>
      <c r="AC599">
        <v>2</v>
      </c>
      <c r="AD599">
        <v>1</v>
      </c>
      <c r="AE599">
        <v>1</v>
      </c>
      <c r="AF599">
        <v>1</v>
      </c>
      <c r="AG599">
        <v>4</v>
      </c>
      <c r="AH599">
        <v>3</v>
      </c>
      <c r="AI599">
        <v>1</v>
      </c>
      <c r="AJ599">
        <v>6</v>
      </c>
      <c r="AK599">
        <v>5</v>
      </c>
      <c r="AL599">
        <v>5</v>
      </c>
      <c r="AM599">
        <v>1</v>
      </c>
      <c r="AN599">
        <v>240</v>
      </c>
      <c r="AO599">
        <v>2</v>
      </c>
      <c r="AP599">
        <v>6</v>
      </c>
      <c r="AQ599">
        <v>4</v>
      </c>
      <c r="AR599">
        <v>3</v>
      </c>
      <c r="AS599">
        <v>2</v>
      </c>
      <c r="AT599">
        <v>2</v>
      </c>
      <c r="AU599">
        <v>3</v>
      </c>
      <c r="AV599">
        <v>3</v>
      </c>
      <c r="AW599">
        <v>3</v>
      </c>
      <c r="AX599">
        <v>3</v>
      </c>
      <c r="AY599" cm="1">
        <f t="array" ref="AY599">_xlfn.IFS(AZ599="Positive",1, AZ599="Negative",1, AZ599="Neutral",0)</f>
        <v>1</v>
      </c>
      <c r="AZ599" t="s">
        <v>199</v>
      </c>
      <c r="BA599">
        <v>0</v>
      </c>
      <c r="BB599">
        <v>2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>
        <v>0</v>
      </c>
      <c r="BI599">
        <v>0</v>
      </c>
      <c r="BJ599">
        <v>1</v>
      </c>
      <c r="BK599">
        <v>1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 t="s">
        <v>295</v>
      </c>
      <c r="BT599" t="s">
        <v>480</v>
      </c>
      <c r="BU599" t="s">
        <v>299</v>
      </c>
      <c r="BV599" t="s">
        <v>482</v>
      </c>
    </row>
    <row r="600" spans="1:74" hidden="1" x14ac:dyDescent="0.2">
      <c r="A600">
        <v>617</v>
      </c>
      <c r="B600">
        <v>42</v>
      </c>
      <c r="C600" t="s">
        <v>119</v>
      </c>
      <c r="E600" t="s">
        <v>88</v>
      </c>
      <c r="F600">
        <v>17</v>
      </c>
      <c r="G600">
        <v>2001</v>
      </c>
      <c r="H600">
        <v>21</v>
      </c>
      <c r="I600" t="s">
        <v>64</v>
      </c>
      <c r="J600">
        <v>1</v>
      </c>
      <c r="K600" t="s">
        <v>674</v>
      </c>
      <c r="L600" t="s">
        <v>636</v>
      </c>
      <c r="M600">
        <v>10</v>
      </c>
      <c r="N600">
        <v>68</v>
      </c>
      <c r="O600" t="s">
        <v>485</v>
      </c>
      <c r="P600" t="s">
        <v>389</v>
      </c>
      <c r="Q600" t="s">
        <v>752</v>
      </c>
      <c r="R600" t="s">
        <v>705</v>
      </c>
      <c r="S600" t="s">
        <v>378</v>
      </c>
      <c r="T600" t="s">
        <v>487</v>
      </c>
      <c r="U600" t="s">
        <v>488</v>
      </c>
      <c r="V600" t="s">
        <v>392</v>
      </c>
      <c r="W600" t="s">
        <v>200</v>
      </c>
      <c r="X600" t="s">
        <v>199</v>
      </c>
      <c r="Y600" t="s">
        <v>274</v>
      </c>
      <c r="Z600">
        <v>5</v>
      </c>
      <c r="AA600">
        <v>5</v>
      </c>
      <c r="AB600">
        <v>6</v>
      </c>
      <c r="AC600">
        <v>6</v>
      </c>
      <c r="AD600">
        <v>6</v>
      </c>
      <c r="AE600">
        <v>7</v>
      </c>
      <c r="AF600">
        <v>4</v>
      </c>
      <c r="AG600">
        <v>3</v>
      </c>
      <c r="AH600">
        <v>5</v>
      </c>
      <c r="AI600">
        <v>2</v>
      </c>
      <c r="AJ600">
        <v>6</v>
      </c>
      <c r="AK600">
        <v>5</v>
      </c>
      <c r="AL600">
        <v>5</v>
      </c>
      <c r="AM600">
        <v>6</v>
      </c>
      <c r="AN600">
        <v>37</v>
      </c>
      <c r="AO600">
        <v>2</v>
      </c>
      <c r="AP600">
        <v>6</v>
      </c>
      <c r="AQ600">
        <v>5</v>
      </c>
      <c r="AR600">
        <v>5</v>
      </c>
      <c r="AS600">
        <v>3</v>
      </c>
      <c r="AT600">
        <v>5</v>
      </c>
      <c r="AU600">
        <v>3</v>
      </c>
      <c r="AV600">
        <v>5</v>
      </c>
      <c r="AW600">
        <v>6</v>
      </c>
      <c r="AX600">
        <v>3</v>
      </c>
      <c r="AY600" cm="1">
        <f t="array" ref="AY600">_xlfn.IFS(AZ600="Positive",1, AZ600="Negative",1, AZ600="Neutral",0)</f>
        <v>1</v>
      </c>
      <c r="AZ600" t="s">
        <v>199</v>
      </c>
      <c r="BA600">
        <v>21</v>
      </c>
      <c r="BB600">
        <v>2</v>
      </c>
      <c r="BC600" s="3">
        <v>12</v>
      </c>
      <c r="BD600" s="3">
        <v>3</v>
      </c>
      <c r="BE600" s="3">
        <v>2</v>
      </c>
      <c r="BF600" s="3">
        <v>4</v>
      </c>
      <c r="BG600" s="3">
        <v>0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1</v>
      </c>
      <c r="BS600" t="s">
        <v>388</v>
      </c>
      <c r="BT600" t="s">
        <v>484</v>
      </c>
      <c r="BU600" t="s">
        <v>434</v>
      </c>
      <c r="BV600" t="s">
        <v>486</v>
      </c>
    </row>
    <row r="601" spans="1:74" hidden="1" x14ac:dyDescent="0.2">
      <c r="A601">
        <v>618</v>
      </c>
      <c r="B601">
        <v>43</v>
      </c>
      <c r="C601" t="s">
        <v>120</v>
      </c>
      <c r="E601" t="s">
        <v>85</v>
      </c>
      <c r="F601">
        <v>3</v>
      </c>
      <c r="G601">
        <v>1998</v>
      </c>
      <c r="H601">
        <v>24</v>
      </c>
      <c r="I601" t="s">
        <v>69</v>
      </c>
      <c r="J601">
        <v>2</v>
      </c>
      <c r="K601" t="s">
        <v>642</v>
      </c>
      <c r="L601" t="s">
        <v>634</v>
      </c>
      <c r="M601">
        <v>1</v>
      </c>
      <c r="N601">
        <v>49</v>
      </c>
      <c r="O601" t="s">
        <v>456</v>
      </c>
      <c r="P601" t="s">
        <v>394</v>
      </c>
      <c r="Q601" t="s">
        <v>712</v>
      </c>
      <c r="R601" t="s">
        <v>747</v>
      </c>
      <c r="S601" t="s">
        <v>335</v>
      </c>
      <c r="T601" t="s">
        <v>491</v>
      </c>
      <c r="U601" t="s">
        <v>459</v>
      </c>
      <c r="V601" t="s">
        <v>398</v>
      </c>
      <c r="W601" t="s">
        <v>200</v>
      </c>
      <c r="X601" t="s">
        <v>199</v>
      </c>
      <c r="Y601" t="s">
        <v>274</v>
      </c>
      <c r="Z601">
        <v>5</v>
      </c>
      <c r="AA601">
        <v>4</v>
      </c>
      <c r="AB601">
        <v>5</v>
      </c>
      <c r="AC601">
        <v>5</v>
      </c>
      <c r="AD601">
        <v>3</v>
      </c>
      <c r="AE601">
        <v>6</v>
      </c>
      <c r="AF601">
        <v>4</v>
      </c>
      <c r="AG601">
        <v>6</v>
      </c>
      <c r="AH601">
        <v>4</v>
      </c>
      <c r="AI601">
        <v>5</v>
      </c>
      <c r="AJ601">
        <v>5</v>
      </c>
      <c r="AK601">
        <v>3</v>
      </c>
      <c r="AL601">
        <v>5</v>
      </c>
      <c r="AM601">
        <v>2</v>
      </c>
      <c r="AN601">
        <v>105</v>
      </c>
      <c r="AO601">
        <v>5</v>
      </c>
      <c r="AP601">
        <v>5</v>
      </c>
      <c r="AQ601">
        <v>6</v>
      </c>
      <c r="AR601">
        <v>4</v>
      </c>
      <c r="AS601">
        <v>3</v>
      </c>
      <c r="AT601">
        <v>3</v>
      </c>
      <c r="AU601">
        <v>4</v>
      </c>
      <c r="AV601">
        <v>6</v>
      </c>
      <c r="AW601">
        <v>6</v>
      </c>
      <c r="AX601">
        <v>2</v>
      </c>
      <c r="AY601" cm="1">
        <f t="array" ref="AY601">_xlfn.IFS(AZ601="Positive",1, AZ601="Negative",1, AZ601="Neutral",0)</f>
        <v>1</v>
      </c>
      <c r="AZ601" t="s">
        <v>199</v>
      </c>
      <c r="BA601">
        <v>13</v>
      </c>
      <c r="BB601">
        <v>1</v>
      </c>
      <c r="BC601" s="3">
        <v>10</v>
      </c>
      <c r="BD601" s="3">
        <v>0</v>
      </c>
      <c r="BE601" s="3">
        <v>1</v>
      </c>
      <c r="BF601" s="3">
        <v>2</v>
      </c>
      <c r="BG601" s="3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1</v>
      </c>
      <c r="BS601" t="s">
        <v>489</v>
      </c>
      <c r="BT601" t="s">
        <v>399</v>
      </c>
      <c r="BU601" t="s">
        <v>490</v>
      </c>
      <c r="BV601" t="s">
        <v>447</v>
      </c>
    </row>
    <row r="602" spans="1:74" x14ac:dyDescent="0.2">
      <c r="A602">
        <v>619</v>
      </c>
      <c r="B602">
        <v>44</v>
      </c>
      <c r="C602" t="s">
        <v>121</v>
      </c>
      <c r="E602" t="s">
        <v>80</v>
      </c>
      <c r="F602">
        <v>19</v>
      </c>
      <c r="G602">
        <v>1999</v>
      </c>
      <c r="H602">
        <v>23</v>
      </c>
      <c r="I602" t="s">
        <v>64</v>
      </c>
      <c r="J602">
        <v>1</v>
      </c>
      <c r="K602" t="s">
        <v>658</v>
      </c>
      <c r="L602" t="s">
        <v>634</v>
      </c>
      <c r="M602">
        <v>9</v>
      </c>
      <c r="N602">
        <v>52</v>
      </c>
      <c r="O602" t="s">
        <v>493</v>
      </c>
      <c r="P602" t="s">
        <v>315</v>
      </c>
      <c r="Q602" t="s">
        <v>729</v>
      </c>
      <c r="R602" t="s">
        <v>747</v>
      </c>
      <c r="S602" t="s">
        <v>349</v>
      </c>
      <c r="T602" t="s">
        <v>495</v>
      </c>
      <c r="U602" t="s">
        <v>496</v>
      </c>
      <c r="V602" t="s">
        <v>321</v>
      </c>
      <c r="W602" t="s">
        <v>200</v>
      </c>
      <c r="X602" t="s">
        <v>199</v>
      </c>
      <c r="Y602" t="s">
        <v>274</v>
      </c>
      <c r="Z602">
        <v>6</v>
      </c>
      <c r="AA602">
        <v>5</v>
      </c>
      <c r="AB602">
        <v>3</v>
      </c>
      <c r="AC602">
        <v>4</v>
      </c>
      <c r="AD602">
        <v>4</v>
      </c>
      <c r="AE602">
        <v>5</v>
      </c>
      <c r="AF602">
        <v>3</v>
      </c>
      <c r="AG602">
        <v>3</v>
      </c>
      <c r="AH602">
        <v>3</v>
      </c>
      <c r="AI602">
        <v>1</v>
      </c>
      <c r="AJ602">
        <v>7</v>
      </c>
      <c r="AK602">
        <v>7</v>
      </c>
      <c r="AL602">
        <v>7</v>
      </c>
      <c r="AM602">
        <v>1</v>
      </c>
      <c r="AN602">
        <v>190</v>
      </c>
      <c r="AO602">
        <v>1</v>
      </c>
      <c r="AP602">
        <v>7</v>
      </c>
      <c r="AQ602">
        <v>7</v>
      </c>
      <c r="AR602">
        <v>4</v>
      </c>
      <c r="AS602">
        <v>5</v>
      </c>
      <c r="AT602">
        <v>4</v>
      </c>
      <c r="AU602">
        <v>4</v>
      </c>
      <c r="AV602">
        <v>4</v>
      </c>
      <c r="AW602">
        <v>4</v>
      </c>
      <c r="AX602">
        <v>3</v>
      </c>
      <c r="AY602" cm="1">
        <f t="array" ref="AY602">_xlfn.IFS(AZ602="Positive",1, AZ602="Negative",1, AZ602="Neutral",0)</f>
        <v>1</v>
      </c>
      <c r="AZ602" t="s">
        <v>199</v>
      </c>
      <c r="BA602">
        <v>0</v>
      </c>
      <c r="BB602">
        <v>1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>
        <v>0</v>
      </c>
      <c r="BI602">
        <v>0</v>
      </c>
      <c r="BJ602">
        <v>1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 t="s">
        <v>322</v>
      </c>
      <c r="BT602" t="s">
        <v>492</v>
      </c>
      <c r="BU602" t="s">
        <v>326</v>
      </c>
      <c r="BV602" t="s">
        <v>494</v>
      </c>
    </row>
    <row r="603" spans="1:74" hidden="1" x14ac:dyDescent="0.2">
      <c r="A603">
        <v>620</v>
      </c>
      <c r="B603">
        <v>45</v>
      </c>
      <c r="C603" t="s">
        <v>122</v>
      </c>
      <c r="E603" t="s">
        <v>76</v>
      </c>
      <c r="F603">
        <v>4</v>
      </c>
      <c r="G603">
        <v>2000</v>
      </c>
      <c r="H603">
        <v>22</v>
      </c>
      <c r="I603" t="s">
        <v>64</v>
      </c>
      <c r="J603">
        <v>1</v>
      </c>
      <c r="K603" t="s">
        <v>652</v>
      </c>
      <c r="L603" t="s">
        <v>653</v>
      </c>
      <c r="M603">
        <v>6</v>
      </c>
      <c r="N603">
        <v>62</v>
      </c>
      <c r="O603" t="s">
        <v>497</v>
      </c>
      <c r="P603" t="s">
        <v>278</v>
      </c>
      <c r="Q603" t="s">
        <v>753</v>
      </c>
      <c r="R603" t="s">
        <v>724</v>
      </c>
      <c r="S603" t="s">
        <v>403</v>
      </c>
      <c r="T603" t="s">
        <v>319</v>
      </c>
      <c r="U603" t="s">
        <v>498</v>
      </c>
      <c r="V603" t="s">
        <v>284</v>
      </c>
      <c r="W603" t="s">
        <v>200</v>
      </c>
      <c r="X603" t="s">
        <v>199</v>
      </c>
      <c r="Y603" t="s">
        <v>274</v>
      </c>
      <c r="Z603">
        <v>5</v>
      </c>
      <c r="AA603">
        <v>3</v>
      </c>
      <c r="AB603">
        <v>7</v>
      </c>
      <c r="AC603">
        <v>3</v>
      </c>
      <c r="AD603">
        <v>2</v>
      </c>
      <c r="AE603">
        <v>3</v>
      </c>
      <c r="AF603">
        <v>5</v>
      </c>
      <c r="AG603">
        <v>4</v>
      </c>
      <c r="AH603">
        <v>4</v>
      </c>
      <c r="AI603">
        <v>3</v>
      </c>
      <c r="AJ603">
        <v>5</v>
      </c>
      <c r="AK603">
        <v>4</v>
      </c>
      <c r="AL603">
        <v>4</v>
      </c>
      <c r="AM603">
        <v>3</v>
      </c>
      <c r="AN603">
        <v>178</v>
      </c>
      <c r="AO603">
        <v>4</v>
      </c>
      <c r="AP603">
        <v>5</v>
      </c>
      <c r="AQ603">
        <v>3</v>
      </c>
      <c r="AR603">
        <v>5</v>
      </c>
      <c r="AS603">
        <v>5</v>
      </c>
      <c r="AT603">
        <v>6</v>
      </c>
      <c r="AU603">
        <v>5</v>
      </c>
      <c r="AV603">
        <v>5</v>
      </c>
      <c r="AW603">
        <v>6</v>
      </c>
      <c r="AX603">
        <v>2</v>
      </c>
      <c r="AY603" cm="1">
        <f t="array" ref="AY603">_xlfn.IFS(AZ603="Positive",1, AZ603="Negative",1, AZ603="Neutral",0)</f>
        <v>1</v>
      </c>
      <c r="AZ603" t="s">
        <v>199</v>
      </c>
      <c r="BA603">
        <v>9</v>
      </c>
      <c r="BB603">
        <v>1</v>
      </c>
      <c r="BC603" s="3">
        <v>6</v>
      </c>
      <c r="BD603" s="3">
        <v>0</v>
      </c>
      <c r="BE603" s="3">
        <v>1</v>
      </c>
      <c r="BF603" s="3">
        <v>0</v>
      </c>
      <c r="BG603" s="3">
        <v>2</v>
      </c>
      <c r="BH603">
        <v>0</v>
      </c>
      <c r="BI603">
        <v>0</v>
      </c>
      <c r="BJ603">
        <v>1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 t="s">
        <v>285</v>
      </c>
      <c r="BT603" t="s">
        <v>383</v>
      </c>
      <c r="BU603" t="s">
        <v>289</v>
      </c>
      <c r="BV603" t="s">
        <v>386</v>
      </c>
    </row>
    <row r="604" spans="1:74" hidden="1" x14ac:dyDescent="0.2">
      <c r="A604">
        <v>621</v>
      </c>
      <c r="B604">
        <v>46</v>
      </c>
      <c r="C604" t="s">
        <v>123</v>
      </c>
      <c r="E604" t="s">
        <v>68</v>
      </c>
      <c r="F604">
        <v>22</v>
      </c>
      <c r="G604">
        <v>2000</v>
      </c>
      <c r="H604">
        <v>22</v>
      </c>
      <c r="I604" t="s">
        <v>64</v>
      </c>
      <c r="J604">
        <v>1</v>
      </c>
      <c r="K604" t="s">
        <v>674</v>
      </c>
      <c r="L604" t="s">
        <v>675</v>
      </c>
      <c r="M604">
        <v>12</v>
      </c>
      <c r="N604">
        <v>69</v>
      </c>
      <c r="O604" t="s">
        <v>456</v>
      </c>
      <c r="P604" t="s">
        <v>315</v>
      </c>
      <c r="Q604" t="s">
        <v>752</v>
      </c>
      <c r="R604" t="s">
        <v>754</v>
      </c>
      <c r="S604" t="s">
        <v>499</v>
      </c>
      <c r="T604" t="s">
        <v>357</v>
      </c>
      <c r="U604" t="s">
        <v>459</v>
      </c>
      <c r="V604" t="s">
        <v>321</v>
      </c>
      <c r="W604" t="s">
        <v>200</v>
      </c>
      <c r="X604" t="s">
        <v>199</v>
      </c>
      <c r="Y604" t="s">
        <v>274</v>
      </c>
      <c r="Z604">
        <v>6</v>
      </c>
      <c r="AA604">
        <v>6</v>
      </c>
      <c r="AB604">
        <v>6</v>
      </c>
      <c r="AC604">
        <v>5</v>
      </c>
      <c r="AD604">
        <v>6</v>
      </c>
      <c r="AE604">
        <v>5</v>
      </c>
      <c r="AF604">
        <v>1</v>
      </c>
      <c r="AG604">
        <v>1</v>
      </c>
      <c r="AH604">
        <v>5</v>
      </c>
      <c r="AI604">
        <v>2</v>
      </c>
      <c r="AJ604">
        <v>6</v>
      </c>
      <c r="AK604">
        <v>6</v>
      </c>
      <c r="AL604">
        <v>2</v>
      </c>
      <c r="AM604">
        <v>5</v>
      </c>
      <c r="AN604">
        <v>29</v>
      </c>
      <c r="AO604">
        <v>4</v>
      </c>
      <c r="AP604">
        <v>5</v>
      </c>
      <c r="AQ604">
        <v>5</v>
      </c>
      <c r="AR604">
        <v>5</v>
      </c>
      <c r="AS604">
        <v>5</v>
      </c>
      <c r="AT604">
        <v>5</v>
      </c>
      <c r="AU604">
        <v>5</v>
      </c>
      <c r="AV604">
        <v>5</v>
      </c>
      <c r="AW604">
        <v>5</v>
      </c>
      <c r="AX604">
        <v>2</v>
      </c>
      <c r="AY604" cm="1">
        <f t="array" ref="AY604">_xlfn.IFS(AZ604="Positive",1, AZ604="Negative",1, AZ604="Neutral",0)</f>
        <v>1</v>
      </c>
      <c r="AZ604" t="s">
        <v>199</v>
      </c>
      <c r="BA604">
        <v>16</v>
      </c>
      <c r="BB604">
        <v>5</v>
      </c>
      <c r="BC604" s="3">
        <v>10</v>
      </c>
      <c r="BD604" s="3">
        <v>0</v>
      </c>
      <c r="BE604" s="3">
        <v>1</v>
      </c>
      <c r="BF604" s="3">
        <v>3</v>
      </c>
      <c r="BG604" s="3">
        <v>2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3</v>
      </c>
      <c r="BN604">
        <v>1</v>
      </c>
      <c r="BO604">
        <v>0</v>
      </c>
      <c r="BP604">
        <v>0</v>
      </c>
      <c r="BQ604">
        <v>0</v>
      </c>
      <c r="BR604">
        <v>0</v>
      </c>
      <c r="BS604" t="s">
        <v>414</v>
      </c>
      <c r="BT604" t="s">
        <v>313</v>
      </c>
      <c r="BU604" t="s">
        <v>417</v>
      </c>
      <c r="BV604" t="s">
        <v>317</v>
      </c>
    </row>
    <row r="605" spans="1:74" hidden="1" x14ac:dyDescent="0.2">
      <c r="A605">
        <v>622</v>
      </c>
      <c r="B605">
        <v>47</v>
      </c>
      <c r="C605" t="s">
        <v>124</v>
      </c>
      <c r="E605" t="s">
        <v>73</v>
      </c>
      <c r="F605">
        <v>22</v>
      </c>
      <c r="G605">
        <v>2001</v>
      </c>
      <c r="H605">
        <v>21</v>
      </c>
      <c r="I605" t="s">
        <v>64</v>
      </c>
      <c r="J605">
        <v>1</v>
      </c>
      <c r="K605" t="s">
        <v>676</v>
      </c>
      <c r="L605" t="s">
        <v>632</v>
      </c>
      <c r="M605">
        <v>18</v>
      </c>
      <c r="N605">
        <v>78</v>
      </c>
      <c r="O605" t="s">
        <v>500</v>
      </c>
      <c r="P605" t="s">
        <v>338</v>
      </c>
      <c r="Q605" t="s">
        <v>755</v>
      </c>
      <c r="R605" t="s">
        <v>732</v>
      </c>
      <c r="S605" t="s">
        <v>501</v>
      </c>
      <c r="T605" t="s">
        <v>502</v>
      </c>
      <c r="U605" t="s">
        <v>503</v>
      </c>
      <c r="V605" t="s">
        <v>504</v>
      </c>
      <c r="W605" t="s">
        <v>200</v>
      </c>
      <c r="X605" t="s">
        <v>199</v>
      </c>
      <c r="Y605" t="s">
        <v>274</v>
      </c>
      <c r="Z605">
        <v>7</v>
      </c>
      <c r="AA605">
        <v>7</v>
      </c>
      <c r="AB605">
        <v>7</v>
      </c>
      <c r="AC605">
        <v>7</v>
      </c>
      <c r="AD605">
        <v>7</v>
      </c>
      <c r="AE605">
        <v>7</v>
      </c>
      <c r="AF605">
        <v>1</v>
      </c>
      <c r="AG605">
        <v>1</v>
      </c>
      <c r="AH605">
        <v>1</v>
      </c>
      <c r="AI605">
        <v>1</v>
      </c>
      <c r="AJ605">
        <v>7</v>
      </c>
      <c r="AK605">
        <v>7</v>
      </c>
      <c r="AL605">
        <v>7</v>
      </c>
      <c r="AM605">
        <v>6</v>
      </c>
      <c r="AN605">
        <v>6</v>
      </c>
      <c r="AO605">
        <v>1</v>
      </c>
      <c r="AP605">
        <v>7</v>
      </c>
      <c r="AQ605">
        <v>7</v>
      </c>
      <c r="AR605">
        <v>7</v>
      </c>
      <c r="AS605">
        <v>7</v>
      </c>
      <c r="AT605">
        <v>7</v>
      </c>
      <c r="AU605">
        <v>7</v>
      </c>
      <c r="AV605">
        <v>7</v>
      </c>
      <c r="AW605">
        <v>7</v>
      </c>
      <c r="AX605">
        <v>3</v>
      </c>
      <c r="AY605" cm="1">
        <f t="array" ref="AY605">_xlfn.IFS(AZ605="Positive",1, AZ605="Negative",1, AZ605="Neutral",0)</f>
        <v>1</v>
      </c>
      <c r="AZ605" t="s">
        <v>199</v>
      </c>
      <c r="BA605">
        <v>11</v>
      </c>
      <c r="BB605">
        <v>1</v>
      </c>
      <c r="BC605" s="3">
        <v>6</v>
      </c>
      <c r="BD605" s="3">
        <v>2</v>
      </c>
      <c r="BE605" s="3">
        <v>2</v>
      </c>
      <c r="BF605" s="3">
        <v>1</v>
      </c>
      <c r="BG605" s="3">
        <v>0</v>
      </c>
      <c r="BH605">
        <v>0</v>
      </c>
      <c r="BI605">
        <v>0</v>
      </c>
      <c r="BJ605">
        <v>1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 t="s">
        <v>322</v>
      </c>
      <c r="BT605" t="s">
        <v>453</v>
      </c>
      <c r="BU605" t="s">
        <v>326</v>
      </c>
      <c r="BV605" t="s">
        <v>454</v>
      </c>
    </row>
    <row r="606" spans="1:74" hidden="1" x14ac:dyDescent="0.2">
      <c r="A606">
        <v>623</v>
      </c>
      <c r="B606">
        <v>48</v>
      </c>
      <c r="C606" t="s">
        <v>125</v>
      </c>
      <c r="E606" t="s">
        <v>63</v>
      </c>
      <c r="F606">
        <v>6</v>
      </c>
      <c r="G606">
        <v>1999</v>
      </c>
      <c r="H606">
        <v>23</v>
      </c>
      <c r="I606" t="s">
        <v>64</v>
      </c>
      <c r="J606">
        <v>1</v>
      </c>
      <c r="K606" t="s">
        <v>657</v>
      </c>
      <c r="L606" t="s">
        <v>669</v>
      </c>
      <c r="M606">
        <v>5</v>
      </c>
      <c r="N606">
        <v>75</v>
      </c>
      <c r="O606">
        <v>7</v>
      </c>
      <c r="P606" t="s">
        <v>505</v>
      </c>
      <c r="Q606" t="s">
        <v>727</v>
      </c>
      <c r="R606" t="s">
        <v>745</v>
      </c>
      <c r="S606" t="s">
        <v>318</v>
      </c>
      <c r="T606" t="s">
        <v>507</v>
      </c>
      <c r="U606" t="s">
        <v>508</v>
      </c>
      <c r="V606" t="s">
        <v>509</v>
      </c>
      <c r="W606" t="s">
        <v>200</v>
      </c>
      <c r="X606" t="s">
        <v>199</v>
      </c>
      <c r="Y606" t="s">
        <v>274</v>
      </c>
      <c r="Z606">
        <v>7</v>
      </c>
      <c r="AA606">
        <v>7</v>
      </c>
      <c r="AB606">
        <v>7</v>
      </c>
      <c r="AC606">
        <v>7</v>
      </c>
      <c r="AD606">
        <v>7</v>
      </c>
      <c r="AE606">
        <v>6</v>
      </c>
      <c r="AF606">
        <v>1</v>
      </c>
      <c r="AG606">
        <v>1</v>
      </c>
      <c r="AH606">
        <v>7</v>
      </c>
      <c r="AI606">
        <v>1</v>
      </c>
      <c r="AJ606">
        <v>7</v>
      </c>
      <c r="AK606">
        <v>7</v>
      </c>
      <c r="AL606">
        <v>7</v>
      </c>
      <c r="AM606">
        <v>7</v>
      </c>
      <c r="AN606">
        <v>10</v>
      </c>
      <c r="AO606">
        <v>7</v>
      </c>
      <c r="AP606">
        <v>7</v>
      </c>
      <c r="AQ606">
        <v>7</v>
      </c>
      <c r="AR606">
        <v>7</v>
      </c>
      <c r="AS606">
        <v>1</v>
      </c>
      <c r="AT606">
        <v>7</v>
      </c>
      <c r="AU606">
        <v>1</v>
      </c>
      <c r="AV606">
        <v>7</v>
      </c>
      <c r="AW606">
        <v>7</v>
      </c>
      <c r="AX606">
        <v>3</v>
      </c>
      <c r="AY606" cm="1">
        <f t="array" ref="AY606">_xlfn.IFS(AZ606="Positive",1, AZ606="Negative",1, AZ606="Neutral",0)</f>
        <v>1</v>
      </c>
      <c r="AZ606" t="s">
        <v>199</v>
      </c>
      <c r="BA606">
        <v>10</v>
      </c>
      <c r="BB606">
        <v>3</v>
      </c>
      <c r="BC606" s="3">
        <v>8</v>
      </c>
      <c r="BD606" s="3">
        <v>0</v>
      </c>
      <c r="BE606" s="3">
        <v>0</v>
      </c>
      <c r="BF606" s="3">
        <v>1</v>
      </c>
      <c r="BG606" s="3">
        <v>1</v>
      </c>
      <c r="BH606">
        <v>0</v>
      </c>
      <c r="BI606">
        <v>0</v>
      </c>
      <c r="BJ606">
        <v>3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5</v>
      </c>
      <c r="BT606" t="s">
        <v>464</v>
      </c>
      <c r="BU606" t="s">
        <v>506</v>
      </c>
      <c r="BV606" t="s">
        <v>466</v>
      </c>
    </row>
    <row r="607" spans="1:74" hidden="1" x14ac:dyDescent="0.2">
      <c r="A607">
        <v>624</v>
      </c>
      <c r="B607">
        <v>49</v>
      </c>
      <c r="C607" t="s">
        <v>126</v>
      </c>
      <c r="E607" t="s">
        <v>73</v>
      </c>
      <c r="F607">
        <v>2</v>
      </c>
      <c r="G607">
        <v>1999</v>
      </c>
      <c r="H607">
        <v>23</v>
      </c>
      <c r="I607" t="s">
        <v>64</v>
      </c>
      <c r="J607">
        <v>1</v>
      </c>
      <c r="K607" t="s">
        <v>674</v>
      </c>
      <c r="L607" t="s">
        <v>677</v>
      </c>
      <c r="M607">
        <v>4</v>
      </c>
      <c r="N607">
        <v>56</v>
      </c>
      <c r="O607" t="s">
        <v>353</v>
      </c>
      <c r="P607" t="s">
        <v>361</v>
      </c>
      <c r="Q607" t="s">
        <v>752</v>
      </c>
      <c r="R607" t="s">
        <v>756</v>
      </c>
      <c r="S607" t="s">
        <v>396</v>
      </c>
      <c r="T607" t="s">
        <v>423</v>
      </c>
      <c r="U607" t="s">
        <v>358</v>
      </c>
      <c r="V607" t="s">
        <v>366</v>
      </c>
      <c r="W607" t="s">
        <v>200</v>
      </c>
      <c r="X607" t="s">
        <v>199</v>
      </c>
      <c r="Y607" t="s">
        <v>274</v>
      </c>
      <c r="Z607">
        <v>7</v>
      </c>
      <c r="AA607">
        <v>7</v>
      </c>
      <c r="AB607">
        <v>7</v>
      </c>
      <c r="AC607">
        <v>7</v>
      </c>
      <c r="AD607">
        <v>7</v>
      </c>
      <c r="AE607">
        <v>7</v>
      </c>
      <c r="AF607">
        <v>4</v>
      </c>
      <c r="AG607">
        <v>6</v>
      </c>
      <c r="AH607">
        <v>7</v>
      </c>
      <c r="AI607">
        <v>2</v>
      </c>
      <c r="AJ607">
        <v>6</v>
      </c>
      <c r="AK607">
        <v>7</v>
      </c>
      <c r="AL607">
        <v>7</v>
      </c>
      <c r="AM607">
        <v>5</v>
      </c>
      <c r="AN607">
        <v>60</v>
      </c>
      <c r="AO607">
        <v>5</v>
      </c>
      <c r="AP607">
        <v>6</v>
      </c>
      <c r="AQ607">
        <v>7</v>
      </c>
      <c r="AR607">
        <v>7</v>
      </c>
      <c r="AS607">
        <v>7</v>
      </c>
      <c r="AT607">
        <v>7</v>
      </c>
      <c r="AU607">
        <v>7</v>
      </c>
      <c r="AV607">
        <v>7</v>
      </c>
      <c r="AW607">
        <v>7</v>
      </c>
      <c r="AX607">
        <v>3</v>
      </c>
      <c r="AY607" cm="1">
        <f t="array" ref="AY607">_xlfn.IFS(AZ607="Positive",1, AZ607="Negative",1, AZ607="Neutral",0)</f>
        <v>1</v>
      </c>
      <c r="AZ607" t="s">
        <v>199</v>
      </c>
      <c r="BA607">
        <v>10</v>
      </c>
      <c r="BB607">
        <v>0</v>
      </c>
      <c r="BC607" s="3">
        <v>7</v>
      </c>
      <c r="BD607" s="3">
        <v>0</v>
      </c>
      <c r="BE607" s="3">
        <v>1</v>
      </c>
      <c r="BF607" s="3">
        <v>2</v>
      </c>
      <c r="BG607" s="3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 t="s">
        <v>510</v>
      </c>
      <c r="BT607" t="s">
        <v>489</v>
      </c>
      <c r="BU607" t="s">
        <v>511</v>
      </c>
      <c r="BV607" t="s">
        <v>512</v>
      </c>
    </row>
    <row r="608" spans="1:74" x14ac:dyDescent="0.2">
      <c r="A608">
        <v>625</v>
      </c>
      <c r="B608">
        <v>50</v>
      </c>
      <c r="C608" t="s">
        <v>127</v>
      </c>
      <c r="E608" t="s">
        <v>76</v>
      </c>
      <c r="F608">
        <v>7</v>
      </c>
      <c r="G608">
        <v>1999</v>
      </c>
      <c r="H608">
        <v>23</v>
      </c>
      <c r="I608" t="s">
        <v>69</v>
      </c>
      <c r="J608">
        <v>2</v>
      </c>
      <c r="K608" t="s">
        <v>678</v>
      </c>
      <c r="L608" t="s">
        <v>659</v>
      </c>
      <c r="M608">
        <v>17</v>
      </c>
      <c r="N608">
        <v>49</v>
      </c>
      <c r="O608" t="s">
        <v>314</v>
      </c>
      <c r="P608" t="s">
        <v>278</v>
      </c>
      <c r="Q608" t="s">
        <v>757</v>
      </c>
      <c r="R608" t="s">
        <v>730</v>
      </c>
      <c r="S608" t="s">
        <v>443</v>
      </c>
      <c r="T608" t="s">
        <v>491</v>
      </c>
      <c r="U608" t="s">
        <v>320</v>
      </c>
      <c r="V608" t="s">
        <v>284</v>
      </c>
      <c r="W608" t="s">
        <v>200</v>
      </c>
      <c r="X608" t="s">
        <v>199</v>
      </c>
      <c r="Y608" t="s">
        <v>274</v>
      </c>
      <c r="Z608">
        <v>6</v>
      </c>
      <c r="AA608">
        <v>6</v>
      </c>
      <c r="AB608">
        <v>5</v>
      </c>
      <c r="AC608">
        <v>4</v>
      </c>
      <c r="AD608">
        <v>4</v>
      </c>
      <c r="AE608">
        <v>7</v>
      </c>
      <c r="AF608">
        <v>3</v>
      </c>
      <c r="AG608">
        <v>3</v>
      </c>
      <c r="AH608">
        <v>5</v>
      </c>
      <c r="AI608">
        <v>1</v>
      </c>
      <c r="AJ608">
        <v>6</v>
      </c>
      <c r="AK608">
        <v>5</v>
      </c>
      <c r="AL608">
        <v>6</v>
      </c>
      <c r="AM608">
        <v>6</v>
      </c>
      <c r="AN608">
        <v>240</v>
      </c>
      <c r="AO608">
        <v>4</v>
      </c>
      <c r="AP608">
        <v>4</v>
      </c>
      <c r="AQ608">
        <v>5</v>
      </c>
      <c r="AR608">
        <v>5</v>
      </c>
      <c r="AS608">
        <v>4</v>
      </c>
      <c r="AT608">
        <v>6</v>
      </c>
      <c r="AU608">
        <v>5</v>
      </c>
      <c r="AV608">
        <v>4</v>
      </c>
      <c r="AW608">
        <v>7</v>
      </c>
      <c r="AX608">
        <v>2</v>
      </c>
      <c r="AY608" cm="1">
        <f t="array" ref="AY608">_xlfn.IFS(AZ608="Positive",1, AZ608="Negative",1, AZ608="Neutral",0)</f>
        <v>1</v>
      </c>
      <c r="AZ608" t="s">
        <v>199</v>
      </c>
      <c r="BA608">
        <v>0</v>
      </c>
      <c r="BB608">
        <v>4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>
        <v>0</v>
      </c>
      <c r="BI608">
        <v>0</v>
      </c>
      <c r="BJ608">
        <v>3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1</v>
      </c>
      <c r="BS608" t="s">
        <v>352</v>
      </c>
      <c r="BT608" t="s">
        <v>388</v>
      </c>
      <c r="BU608" t="s">
        <v>355</v>
      </c>
      <c r="BV608" t="s">
        <v>390</v>
      </c>
    </row>
    <row r="609" spans="1:74" hidden="1" x14ac:dyDescent="0.2">
      <c r="A609">
        <v>626</v>
      </c>
      <c r="B609">
        <v>51</v>
      </c>
      <c r="C609" t="s">
        <v>128</v>
      </c>
      <c r="E609" t="s">
        <v>63</v>
      </c>
      <c r="F609">
        <v>4</v>
      </c>
      <c r="G609">
        <v>2001</v>
      </c>
      <c r="H609">
        <v>21</v>
      </c>
      <c r="I609" t="s">
        <v>64</v>
      </c>
      <c r="J609">
        <v>1</v>
      </c>
      <c r="K609" t="s">
        <v>642</v>
      </c>
      <c r="L609" t="s">
        <v>679</v>
      </c>
      <c r="M609">
        <v>11</v>
      </c>
      <c r="N609">
        <v>62</v>
      </c>
      <c r="O609" t="s">
        <v>513</v>
      </c>
      <c r="P609" t="s">
        <v>405</v>
      </c>
      <c r="Q609" t="s">
        <v>712</v>
      </c>
      <c r="R609" t="s">
        <v>758</v>
      </c>
      <c r="S609" t="s">
        <v>514</v>
      </c>
      <c r="T609" t="s">
        <v>319</v>
      </c>
      <c r="U609" t="s">
        <v>515</v>
      </c>
      <c r="V609" t="s">
        <v>407</v>
      </c>
      <c r="W609" t="s">
        <v>200</v>
      </c>
      <c r="X609" t="s">
        <v>199</v>
      </c>
      <c r="Y609" t="s">
        <v>274</v>
      </c>
      <c r="Z609">
        <v>4</v>
      </c>
      <c r="AA609">
        <v>4</v>
      </c>
      <c r="AB609">
        <v>6</v>
      </c>
      <c r="AC609">
        <v>1</v>
      </c>
      <c r="AD609">
        <v>1</v>
      </c>
      <c r="AE609">
        <v>1</v>
      </c>
      <c r="AF609">
        <v>4</v>
      </c>
      <c r="AG609">
        <v>2</v>
      </c>
      <c r="AH609">
        <v>3</v>
      </c>
      <c r="AI609">
        <v>1</v>
      </c>
      <c r="AJ609">
        <v>5</v>
      </c>
      <c r="AK609">
        <v>5</v>
      </c>
      <c r="AL609">
        <v>5</v>
      </c>
      <c r="AM609">
        <v>2</v>
      </c>
      <c r="AN609">
        <v>168</v>
      </c>
      <c r="AO609">
        <v>1</v>
      </c>
      <c r="AP609">
        <v>7</v>
      </c>
      <c r="AQ609">
        <v>3</v>
      </c>
      <c r="AR609">
        <v>3</v>
      </c>
      <c r="AS609">
        <v>3</v>
      </c>
      <c r="AT609">
        <v>2</v>
      </c>
      <c r="AU609">
        <v>4</v>
      </c>
      <c r="AV609">
        <v>4</v>
      </c>
      <c r="AW609">
        <v>5</v>
      </c>
      <c r="AX609">
        <v>3</v>
      </c>
      <c r="AY609" cm="1">
        <f t="array" ref="AY609">_xlfn.IFS(AZ609="Positive",1, AZ609="Negative",1, AZ609="Neutral",0)</f>
        <v>1</v>
      </c>
      <c r="AZ609" t="s">
        <v>199</v>
      </c>
      <c r="BA609">
        <v>6</v>
      </c>
      <c r="BB609">
        <v>5</v>
      </c>
      <c r="BC609" s="3">
        <v>4</v>
      </c>
      <c r="BD609" s="3">
        <v>0</v>
      </c>
      <c r="BE609" s="3">
        <v>1</v>
      </c>
      <c r="BF609" s="3">
        <v>0</v>
      </c>
      <c r="BG609" s="3">
        <v>1</v>
      </c>
      <c r="BH609">
        <v>0</v>
      </c>
      <c r="BI609">
        <v>0</v>
      </c>
      <c r="BJ609">
        <v>2</v>
      </c>
      <c r="BK609">
        <v>0</v>
      </c>
      <c r="BL609">
        <v>0</v>
      </c>
      <c r="BM609">
        <v>2</v>
      </c>
      <c r="BN609">
        <v>0</v>
      </c>
      <c r="BO609">
        <v>0</v>
      </c>
      <c r="BP609">
        <v>1</v>
      </c>
      <c r="BQ609">
        <v>0</v>
      </c>
      <c r="BR609">
        <v>0</v>
      </c>
      <c r="BS609" t="s">
        <v>463</v>
      </c>
      <c r="BT609" t="s">
        <v>275</v>
      </c>
      <c r="BU609" t="s">
        <v>465</v>
      </c>
      <c r="BV609" t="s">
        <v>334</v>
      </c>
    </row>
    <row r="610" spans="1:74" hidden="1" x14ac:dyDescent="0.2">
      <c r="A610">
        <v>628</v>
      </c>
      <c r="B610">
        <v>53</v>
      </c>
      <c r="C610" t="s">
        <v>130</v>
      </c>
      <c r="E610" t="s">
        <v>97</v>
      </c>
      <c r="F610">
        <v>21</v>
      </c>
      <c r="G610">
        <v>1998</v>
      </c>
      <c r="H610">
        <v>24</v>
      </c>
      <c r="I610" t="s">
        <v>64</v>
      </c>
      <c r="J610">
        <v>1</v>
      </c>
      <c r="K610" t="s">
        <v>416</v>
      </c>
      <c r="L610" t="s">
        <v>680</v>
      </c>
      <c r="M610">
        <v>6</v>
      </c>
      <c r="N610">
        <v>53</v>
      </c>
      <c r="O610" t="s">
        <v>520</v>
      </c>
      <c r="P610">
        <v>5</v>
      </c>
      <c r="Q610" t="s">
        <v>723</v>
      </c>
      <c r="R610" t="s">
        <v>759</v>
      </c>
      <c r="S610" t="s">
        <v>403</v>
      </c>
      <c r="T610" t="s">
        <v>522</v>
      </c>
      <c r="U610" t="s">
        <v>523</v>
      </c>
      <c r="V610" t="s">
        <v>524</v>
      </c>
      <c r="W610" t="s">
        <v>200</v>
      </c>
      <c r="X610" t="s">
        <v>199</v>
      </c>
      <c r="Y610" t="s">
        <v>274</v>
      </c>
      <c r="Z610">
        <v>7</v>
      </c>
      <c r="AA610">
        <v>7</v>
      </c>
      <c r="AB610">
        <v>7</v>
      </c>
      <c r="AC610">
        <v>7</v>
      </c>
      <c r="AD610">
        <v>1</v>
      </c>
      <c r="AE610">
        <v>7</v>
      </c>
      <c r="AF610">
        <v>1</v>
      </c>
      <c r="AG610">
        <v>1</v>
      </c>
      <c r="AH610">
        <v>6</v>
      </c>
      <c r="AI610">
        <v>1</v>
      </c>
      <c r="AJ610">
        <v>7</v>
      </c>
      <c r="AK610">
        <v>7</v>
      </c>
      <c r="AL610">
        <v>7</v>
      </c>
      <c r="AM610">
        <v>7</v>
      </c>
      <c r="AN610">
        <v>6</v>
      </c>
      <c r="AO610">
        <v>1</v>
      </c>
      <c r="AP610">
        <v>7</v>
      </c>
      <c r="AQ610">
        <v>7</v>
      </c>
      <c r="AR610">
        <v>7</v>
      </c>
      <c r="AS610">
        <v>6</v>
      </c>
      <c r="AT610">
        <v>7</v>
      </c>
      <c r="AU610">
        <v>6</v>
      </c>
      <c r="AV610">
        <v>7</v>
      </c>
      <c r="AW610">
        <v>7</v>
      </c>
      <c r="AX610">
        <v>3</v>
      </c>
      <c r="AY610" cm="1">
        <f t="array" ref="AY610">_xlfn.IFS(AZ610="Positive",1, AZ610="Negative",1, AZ610="Neutral",0)</f>
        <v>1</v>
      </c>
      <c r="AZ610" t="s">
        <v>199</v>
      </c>
      <c r="BA610">
        <v>37</v>
      </c>
      <c r="BB610">
        <v>2</v>
      </c>
      <c r="BC610" s="3">
        <v>16</v>
      </c>
      <c r="BD610" s="3">
        <v>0</v>
      </c>
      <c r="BE610" s="3">
        <v>2</v>
      </c>
      <c r="BF610" s="3">
        <v>7</v>
      </c>
      <c r="BG610" s="3">
        <v>12</v>
      </c>
      <c r="BH610">
        <v>0</v>
      </c>
      <c r="BI610">
        <v>0</v>
      </c>
      <c r="BJ610">
        <v>1</v>
      </c>
      <c r="BK610">
        <v>1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4</v>
      </c>
      <c r="BT610">
        <v>1</v>
      </c>
      <c r="BU610" t="s">
        <v>370</v>
      </c>
      <c r="BV610" t="s">
        <v>521</v>
      </c>
    </row>
    <row r="611" spans="1:74" x14ac:dyDescent="0.2">
      <c r="A611">
        <v>629</v>
      </c>
      <c r="B611">
        <v>54</v>
      </c>
      <c r="C611" t="s">
        <v>131</v>
      </c>
      <c r="E611" t="s">
        <v>93</v>
      </c>
      <c r="F611">
        <v>22</v>
      </c>
      <c r="G611">
        <v>1998</v>
      </c>
      <c r="H611">
        <v>24</v>
      </c>
      <c r="I611" t="s">
        <v>64</v>
      </c>
      <c r="J611">
        <v>1</v>
      </c>
      <c r="K611" t="s">
        <v>456</v>
      </c>
      <c r="L611" t="s">
        <v>681</v>
      </c>
      <c r="M611">
        <v>9</v>
      </c>
      <c r="N611">
        <v>53</v>
      </c>
      <c r="O611" t="s">
        <v>525</v>
      </c>
      <c r="P611" t="s">
        <v>306</v>
      </c>
      <c r="Q611" t="s">
        <v>736</v>
      </c>
      <c r="R611" t="s">
        <v>760</v>
      </c>
      <c r="S611" t="s">
        <v>349</v>
      </c>
      <c r="T611" t="s">
        <v>522</v>
      </c>
      <c r="U611" t="s">
        <v>527</v>
      </c>
      <c r="V611" t="s">
        <v>528</v>
      </c>
      <c r="W611" t="s">
        <v>200</v>
      </c>
      <c r="X611" t="s">
        <v>199</v>
      </c>
      <c r="Y611" t="s">
        <v>274</v>
      </c>
      <c r="Z611">
        <v>6</v>
      </c>
      <c r="AA611">
        <v>4</v>
      </c>
      <c r="AB611">
        <v>3</v>
      </c>
      <c r="AC611">
        <v>2</v>
      </c>
      <c r="AD611">
        <v>2</v>
      </c>
      <c r="AE611">
        <v>6</v>
      </c>
      <c r="AF611">
        <v>4</v>
      </c>
      <c r="AG611">
        <v>3</v>
      </c>
      <c r="AH611">
        <v>4</v>
      </c>
      <c r="AI611">
        <v>1</v>
      </c>
      <c r="AJ611">
        <v>7</v>
      </c>
      <c r="AK611">
        <v>6</v>
      </c>
      <c r="AL611">
        <v>7</v>
      </c>
      <c r="AM611">
        <v>3</v>
      </c>
      <c r="AN611">
        <v>115</v>
      </c>
      <c r="AO611">
        <v>6</v>
      </c>
      <c r="AP611">
        <v>7</v>
      </c>
      <c r="AQ611">
        <v>7</v>
      </c>
      <c r="AR611">
        <v>5</v>
      </c>
      <c r="AS611">
        <v>7</v>
      </c>
      <c r="AT611">
        <v>7</v>
      </c>
      <c r="AU611">
        <v>6</v>
      </c>
      <c r="AV611">
        <v>5</v>
      </c>
      <c r="AW611">
        <v>6</v>
      </c>
      <c r="AX611">
        <v>3</v>
      </c>
      <c r="AY611" cm="1">
        <f t="array" ref="AY611">_xlfn.IFS(AZ611="Positive",1, AZ611="Negative",1, AZ611="Neutral",0)</f>
        <v>1</v>
      </c>
      <c r="AZ611" t="s">
        <v>199</v>
      </c>
      <c r="BA611">
        <v>0</v>
      </c>
      <c r="BB611">
        <v>6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>
        <v>0</v>
      </c>
      <c r="BI611">
        <v>0</v>
      </c>
      <c r="BJ611">
        <v>5</v>
      </c>
      <c r="BK611">
        <v>0</v>
      </c>
      <c r="BL611">
        <v>1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 t="s">
        <v>375</v>
      </c>
      <c r="BT611" t="s">
        <v>352</v>
      </c>
      <c r="BU611" t="s">
        <v>377</v>
      </c>
      <c r="BV611" t="s">
        <v>526</v>
      </c>
    </row>
    <row r="612" spans="1:74" hidden="1" x14ac:dyDescent="0.2">
      <c r="A612">
        <v>630</v>
      </c>
      <c r="B612">
        <v>55</v>
      </c>
      <c r="C612" t="s">
        <v>132</v>
      </c>
      <c r="E612" t="s">
        <v>80</v>
      </c>
      <c r="F612">
        <v>5</v>
      </c>
      <c r="G612">
        <v>1997</v>
      </c>
      <c r="H612">
        <v>25</v>
      </c>
      <c r="I612" t="s">
        <v>64</v>
      </c>
      <c r="J612">
        <v>1</v>
      </c>
      <c r="K612" t="s">
        <v>658</v>
      </c>
      <c r="L612" t="s">
        <v>632</v>
      </c>
      <c r="M612">
        <v>10</v>
      </c>
      <c r="N612">
        <v>62</v>
      </c>
      <c r="O612" t="s">
        <v>408</v>
      </c>
      <c r="P612" t="s">
        <v>354</v>
      </c>
      <c r="Q612" t="s">
        <v>729</v>
      </c>
      <c r="R612" t="s">
        <v>732</v>
      </c>
      <c r="S612" t="s">
        <v>378</v>
      </c>
      <c r="T612" t="s">
        <v>319</v>
      </c>
      <c r="U612" t="s">
        <v>412</v>
      </c>
      <c r="V612" t="s">
        <v>359</v>
      </c>
      <c r="W612" t="s">
        <v>200</v>
      </c>
      <c r="X612" t="s">
        <v>199</v>
      </c>
      <c r="Y612" t="s">
        <v>274</v>
      </c>
      <c r="Z612">
        <v>6</v>
      </c>
      <c r="AA612">
        <v>5</v>
      </c>
      <c r="AB612">
        <v>6</v>
      </c>
      <c r="AC612">
        <v>7</v>
      </c>
      <c r="AD612">
        <v>2</v>
      </c>
      <c r="AE612">
        <v>4</v>
      </c>
      <c r="AF612">
        <v>6</v>
      </c>
      <c r="AG612">
        <v>5</v>
      </c>
      <c r="AH612">
        <v>2</v>
      </c>
      <c r="AI612">
        <v>1</v>
      </c>
      <c r="AJ612">
        <v>6</v>
      </c>
      <c r="AK612">
        <v>5</v>
      </c>
      <c r="AL612">
        <v>5</v>
      </c>
      <c r="AM612">
        <v>5</v>
      </c>
      <c r="AN612">
        <v>64</v>
      </c>
      <c r="AO612">
        <v>5</v>
      </c>
      <c r="AP612">
        <v>6</v>
      </c>
      <c r="AQ612">
        <v>6</v>
      </c>
      <c r="AR612">
        <v>6</v>
      </c>
      <c r="AS612">
        <v>5</v>
      </c>
      <c r="AT612">
        <v>6</v>
      </c>
      <c r="AU612">
        <v>2</v>
      </c>
      <c r="AV612">
        <v>5</v>
      </c>
      <c r="AW612">
        <v>6</v>
      </c>
      <c r="AX612">
        <v>3</v>
      </c>
      <c r="AY612" cm="1">
        <f t="array" ref="AY612">_xlfn.IFS(AZ612="Positive",1, AZ612="Negative",1, AZ612="Neutral",0)</f>
        <v>1</v>
      </c>
      <c r="AZ612" t="s">
        <v>199</v>
      </c>
      <c r="BA612">
        <v>7</v>
      </c>
      <c r="BB612">
        <v>2</v>
      </c>
      <c r="BC612" s="3">
        <v>5</v>
      </c>
      <c r="BD612" s="3">
        <v>0</v>
      </c>
      <c r="BE612" s="3">
        <v>1</v>
      </c>
      <c r="BF612" s="3">
        <v>1</v>
      </c>
      <c r="BG612" s="3">
        <v>0</v>
      </c>
      <c r="BH612">
        <v>0</v>
      </c>
      <c r="BI612">
        <v>0</v>
      </c>
      <c r="BJ612">
        <v>2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 t="s">
        <v>382</v>
      </c>
      <c r="BT612">
        <v>3</v>
      </c>
      <c r="BU612" t="s">
        <v>385</v>
      </c>
      <c r="BV612" t="s">
        <v>309</v>
      </c>
    </row>
    <row r="613" spans="1:74" hidden="1" x14ac:dyDescent="0.2">
      <c r="A613">
        <v>631</v>
      </c>
      <c r="B613">
        <v>56</v>
      </c>
      <c r="C613" t="s">
        <v>133</v>
      </c>
      <c r="E613" t="s">
        <v>71</v>
      </c>
      <c r="F613">
        <v>16</v>
      </c>
      <c r="G613">
        <v>1999</v>
      </c>
      <c r="H613">
        <v>23</v>
      </c>
      <c r="I613" t="s">
        <v>69</v>
      </c>
      <c r="J613">
        <v>2</v>
      </c>
      <c r="K613" t="s">
        <v>661</v>
      </c>
      <c r="L613" t="s">
        <v>682</v>
      </c>
      <c r="M613">
        <v>10</v>
      </c>
      <c r="N613">
        <v>63</v>
      </c>
      <c r="O613" t="s">
        <v>529</v>
      </c>
      <c r="P613" t="s">
        <v>438</v>
      </c>
      <c r="Q613" t="s">
        <v>734</v>
      </c>
      <c r="R613" t="s">
        <v>761</v>
      </c>
      <c r="S613" t="s">
        <v>378</v>
      </c>
      <c r="T613" t="s">
        <v>477</v>
      </c>
      <c r="U613" t="s">
        <v>531</v>
      </c>
      <c r="V613" t="s">
        <v>441</v>
      </c>
      <c r="W613" t="s">
        <v>200</v>
      </c>
      <c r="X613" t="s">
        <v>199</v>
      </c>
      <c r="Y613" t="s">
        <v>274</v>
      </c>
      <c r="Z613">
        <v>7</v>
      </c>
      <c r="AA613">
        <v>7</v>
      </c>
      <c r="AB613">
        <v>7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7</v>
      </c>
      <c r="AI613">
        <v>1</v>
      </c>
      <c r="AJ613">
        <v>7</v>
      </c>
      <c r="AK613">
        <v>7</v>
      </c>
      <c r="AL613">
        <v>7</v>
      </c>
      <c r="AM613">
        <v>5</v>
      </c>
      <c r="AN613">
        <v>98</v>
      </c>
      <c r="AO613">
        <v>7</v>
      </c>
      <c r="AP613">
        <v>7</v>
      </c>
      <c r="AQ613">
        <v>7</v>
      </c>
      <c r="AR613">
        <v>4</v>
      </c>
      <c r="AS613">
        <v>7</v>
      </c>
      <c r="AT613">
        <v>7</v>
      </c>
      <c r="AU613">
        <v>7</v>
      </c>
      <c r="AV613">
        <v>7</v>
      </c>
      <c r="AW613">
        <v>7</v>
      </c>
      <c r="AX613">
        <v>3</v>
      </c>
      <c r="AY613" cm="1">
        <f t="array" ref="AY613">_xlfn.IFS(AZ613="Positive",1, AZ613="Negative",1, AZ613="Neutral",0)</f>
        <v>1</v>
      </c>
      <c r="AZ613" t="s">
        <v>199</v>
      </c>
      <c r="BA613">
        <v>7</v>
      </c>
      <c r="BB613">
        <v>5</v>
      </c>
      <c r="BC613" s="3">
        <v>4</v>
      </c>
      <c r="BD613" s="3">
        <v>1</v>
      </c>
      <c r="BE613" s="3">
        <v>1</v>
      </c>
      <c r="BF613" s="3">
        <v>0</v>
      </c>
      <c r="BG613" s="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4</v>
      </c>
      <c r="BS613" t="s">
        <v>285</v>
      </c>
      <c r="BT613" t="s">
        <v>414</v>
      </c>
      <c r="BU613" t="s">
        <v>289</v>
      </c>
      <c r="BV613" t="s">
        <v>530</v>
      </c>
    </row>
    <row r="614" spans="1:74" hidden="1" x14ac:dyDescent="0.2">
      <c r="B614">
        <v>57</v>
      </c>
      <c r="C614" t="s">
        <v>134</v>
      </c>
      <c r="E614" t="s">
        <v>71</v>
      </c>
      <c r="F614">
        <v>2</v>
      </c>
      <c r="G614">
        <v>2000</v>
      </c>
      <c r="H614">
        <v>22</v>
      </c>
      <c r="I614" t="s">
        <v>64</v>
      </c>
      <c r="J614">
        <v>1</v>
      </c>
      <c r="K614" t="s">
        <v>683</v>
      </c>
      <c r="L614" t="s">
        <v>648</v>
      </c>
      <c r="M614">
        <v>7</v>
      </c>
      <c r="N614">
        <v>68</v>
      </c>
      <c r="O614" t="s">
        <v>532</v>
      </c>
      <c r="P614" t="s">
        <v>325</v>
      </c>
      <c r="Q614" t="s">
        <v>762</v>
      </c>
      <c r="R614" t="s">
        <v>718</v>
      </c>
      <c r="S614" t="s">
        <v>430</v>
      </c>
      <c r="T614" t="s">
        <v>487</v>
      </c>
      <c r="U614" t="s">
        <v>533</v>
      </c>
      <c r="V614" t="s">
        <v>331</v>
      </c>
      <c r="W614" t="s">
        <v>200</v>
      </c>
      <c r="X614" t="s">
        <v>199</v>
      </c>
      <c r="Y614" t="s">
        <v>274</v>
      </c>
      <c r="Z614">
        <v>7</v>
      </c>
      <c r="AA614">
        <v>4</v>
      </c>
      <c r="AB614">
        <v>7</v>
      </c>
      <c r="AC614">
        <v>7</v>
      </c>
      <c r="AD614">
        <v>1</v>
      </c>
      <c r="AE614">
        <v>1</v>
      </c>
      <c r="AF614">
        <v>1</v>
      </c>
      <c r="AG614">
        <v>2</v>
      </c>
      <c r="AH614">
        <v>4</v>
      </c>
      <c r="AI614">
        <v>3</v>
      </c>
      <c r="AJ614">
        <v>6</v>
      </c>
      <c r="AK614">
        <v>4</v>
      </c>
      <c r="AL614">
        <v>3</v>
      </c>
      <c r="AM614">
        <v>3</v>
      </c>
      <c r="AN614">
        <v>102</v>
      </c>
      <c r="AO614">
        <v>4</v>
      </c>
      <c r="AP614">
        <v>2</v>
      </c>
      <c r="AQ614">
        <v>4</v>
      </c>
      <c r="AR614">
        <v>7</v>
      </c>
      <c r="AS614">
        <v>6</v>
      </c>
      <c r="AT614">
        <v>6</v>
      </c>
      <c r="AU614">
        <v>7</v>
      </c>
      <c r="AV614">
        <v>7</v>
      </c>
      <c r="AW614">
        <v>5</v>
      </c>
      <c r="AX614">
        <v>1</v>
      </c>
      <c r="AY614">
        <v>1</v>
      </c>
      <c r="AZ614" t="s">
        <v>199</v>
      </c>
      <c r="BA614">
        <f>SUM(BC614:BG614)</f>
        <v>13</v>
      </c>
      <c r="BB614">
        <f>SUM(BH614:BR614)</f>
        <v>0</v>
      </c>
      <c r="BC614" s="3">
        <v>8</v>
      </c>
      <c r="BD614" s="3">
        <v>0</v>
      </c>
      <c r="BE614" s="3">
        <v>1</v>
      </c>
      <c r="BF614" s="3">
        <v>1</v>
      </c>
      <c r="BG614" s="3">
        <v>3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 t="s">
        <v>323</v>
      </c>
      <c r="BT614" t="s">
        <v>323</v>
      </c>
      <c r="BU614" t="s">
        <v>479</v>
      </c>
      <c r="BV614" t="s">
        <v>327</v>
      </c>
    </row>
    <row r="615" spans="1:74" hidden="1" x14ac:dyDescent="0.2">
      <c r="A615">
        <v>633</v>
      </c>
      <c r="B615">
        <v>58</v>
      </c>
      <c r="C615" t="s">
        <v>135</v>
      </c>
      <c r="E615" t="s">
        <v>97</v>
      </c>
      <c r="F615">
        <v>27</v>
      </c>
      <c r="G615">
        <v>2001</v>
      </c>
      <c r="H615">
        <v>21</v>
      </c>
      <c r="I615" t="s">
        <v>64</v>
      </c>
      <c r="J615">
        <v>1</v>
      </c>
      <c r="K615" t="s">
        <v>679</v>
      </c>
      <c r="L615" t="s">
        <v>668</v>
      </c>
      <c r="M615">
        <v>7</v>
      </c>
      <c r="N615">
        <v>56</v>
      </c>
      <c r="O615" t="s">
        <v>408</v>
      </c>
      <c r="P615" t="s">
        <v>277</v>
      </c>
      <c r="Q615" t="s">
        <v>763</v>
      </c>
      <c r="R615" t="s">
        <v>742</v>
      </c>
      <c r="S615" t="s">
        <v>430</v>
      </c>
      <c r="T615" t="s">
        <v>423</v>
      </c>
      <c r="U615" t="s">
        <v>412</v>
      </c>
      <c r="V615" t="s">
        <v>535</v>
      </c>
      <c r="W615" t="s">
        <v>200</v>
      </c>
      <c r="X615" t="s">
        <v>199</v>
      </c>
      <c r="Y615" t="s">
        <v>274</v>
      </c>
      <c r="Z615">
        <v>2</v>
      </c>
      <c r="AA615">
        <v>1</v>
      </c>
      <c r="AB615">
        <v>2</v>
      </c>
      <c r="AC615">
        <v>1</v>
      </c>
      <c r="AD615">
        <v>1</v>
      </c>
      <c r="AE615">
        <v>1</v>
      </c>
      <c r="AF615">
        <v>6</v>
      </c>
      <c r="AG615">
        <v>7</v>
      </c>
      <c r="AH615">
        <v>1</v>
      </c>
      <c r="AI615">
        <v>3</v>
      </c>
      <c r="AJ615">
        <v>5</v>
      </c>
      <c r="AK615">
        <v>2</v>
      </c>
      <c r="AL615">
        <v>3</v>
      </c>
      <c r="AM615">
        <v>1</v>
      </c>
      <c r="AN615">
        <v>240</v>
      </c>
      <c r="AO615">
        <v>6</v>
      </c>
      <c r="AP615">
        <v>6</v>
      </c>
      <c r="AQ615">
        <v>7</v>
      </c>
      <c r="AR615">
        <v>2</v>
      </c>
      <c r="AS615">
        <v>3</v>
      </c>
      <c r="AT615">
        <v>2</v>
      </c>
      <c r="AU615">
        <v>5</v>
      </c>
      <c r="AV615">
        <v>7</v>
      </c>
      <c r="AW615">
        <v>2</v>
      </c>
      <c r="AX615">
        <v>3</v>
      </c>
      <c r="AY615" cm="1">
        <f t="array" ref="AY615">_xlfn.IFS(AZ615="Positive",1, AZ615="Negative",1, AZ615="Neutral",0)</f>
        <v>1</v>
      </c>
      <c r="AZ615" t="s">
        <v>199</v>
      </c>
      <c r="BA615">
        <v>10</v>
      </c>
      <c r="BB615">
        <v>2</v>
      </c>
      <c r="BC615" s="3">
        <v>7</v>
      </c>
      <c r="BD615" s="3">
        <v>0</v>
      </c>
      <c r="BE615" s="3">
        <v>1</v>
      </c>
      <c r="BF615" s="3">
        <v>1</v>
      </c>
      <c r="BG615" s="3">
        <v>1</v>
      </c>
      <c r="BH615">
        <v>0</v>
      </c>
      <c r="BI615">
        <v>0</v>
      </c>
      <c r="BJ615">
        <v>2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 t="s">
        <v>475</v>
      </c>
      <c r="BT615" t="s">
        <v>323</v>
      </c>
      <c r="BU615" t="s">
        <v>534</v>
      </c>
      <c r="BV615" t="s">
        <v>327</v>
      </c>
    </row>
    <row r="616" spans="1:74" hidden="1" x14ac:dyDescent="0.2">
      <c r="A616">
        <v>634</v>
      </c>
      <c r="B616">
        <v>59</v>
      </c>
      <c r="C616" t="s">
        <v>136</v>
      </c>
      <c r="E616" t="s">
        <v>76</v>
      </c>
      <c r="F616">
        <v>1</v>
      </c>
      <c r="G616">
        <v>2000</v>
      </c>
      <c r="H616">
        <v>22</v>
      </c>
      <c r="I616" t="s">
        <v>64</v>
      </c>
      <c r="J616">
        <v>1</v>
      </c>
      <c r="K616" t="s">
        <v>639</v>
      </c>
      <c r="L616" t="s">
        <v>666</v>
      </c>
      <c r="M616">
        <v>7</v>
      </c>
      <c r="N616">
        <v>50</v>
      </c>
      <c r="O616" t="s">
        <v>315</v>
      </c>
      <c r="P616" t="s">
        <v>460</v>
      </c>
      <c r="Q616" t="s">
        <v>708</v>
      </c>
      <c r="R616" t="s">
        <v>740</v>
      </c>
      <c r="S616" t="s">
        <v>430</v>
      </c>
      <c r="T616" t="s">
        <v>538</v>
      </c>
      <c r="U616" t="s">
        <v>474</v>
      </c>
      <c r="V616" t="s">
        <v>462</v>
      </c>
      <c r="W616" t="s">
        <v>200</v>
      </c>
      <c r="X616" t="s">
        <v>199</v>
      </c>
      <c r="Y616" t="s">
        <v>274</v>
      </c>
      <c r="Z616">
        <v>5</v>
      </c>
      <c r="AA616">
        <v>5</v>
      </c>
      <c r="AB616">
        <v>6</v>
      </c>
      <c r="AC616">
        <v>5</v>
      </c>
      <c r="AD616">
        <v>4</v>
      </c>
      <c r="AE616">
        <v>2</v>
      </c>
      <c r="AF616">
        <v>6</v>
      </c>
      <c r="AG616">
        <v>5</v>
      </c>
      <c r="AH616">
        <v>7</v>
      </c>
      <c r="AI616">
        <v>1</v>
      </c>
      <c r="AJ616">
        <v>7</v>
      </c>
      <c r="AK616">
        <v>7</v>
      </c>
      <c r="AL616">
        <v>7</v>
      </c>
      <c r="AM616">
        <v>6</v>
      </c>
      <c r="AN616">
        <v>72</v>
      </c>
      <c r="AO616">
        <v>5</v>
      </c>
      <c r="AP616">
        <v>7</v>
      </c>
      <c r="AQ616">
        <v>7</v>
      </c>
      <c r="AR616">
        <v>2</v>
      </c>
      <c r="AS616">
        <v>5</v>
      </c>
      <c r="AT616">
        <v>5</v>
      </c>
      <c r="AU616">
        <v>6</v>
      </c>
      <c r="AV616">
        <v>6</v>
      </c>
      <c r="AW616">
        <v>6</v>
      </c>
      <c r="AX616">
        <v>3</v>
      </c>
      <c r="AY616" cm="1">
        <f t="array" ref="AY616">_xlfn.IFS(AZ616="Positive",1, AZ616="Negative",1, AZ616="Neutral",0)</f>
        <v>1</v>
      </c>
      <c r="AZ616" t="s">
        <v>199</v>
      </c>
      <c r="BA616">
        <v>6</v>
      </c>
      <c r="BB616">
        <v>1</v>
      </c>
      <c r="BC616" s="3">
        <v>3</v>
      </c>
      <c r="BD616" s="3">
        <v>0</v>
      </c>
      <c r="BE616" s="3">
        <v>1</v>
      </c>
      <c r="BF616" s="3">
        <v>0</v>
      </c>
      <c r="BG616" s="3">
        <v>2</v>
      </c>
      <c r="BH616">
        <v>0</v>
      </c>
      <c r="BI616">
        <v>0</v>
      </c>
      <c r="BJ616">
        <v>0</v>
      </c>
      <c r="BK616">
        <v>1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 t="s">
        <v>536</v>
      </c>
      <c r="BT616" t="s">
        <v>475</v>
      </c>
      <c r="BU616" t="s">
        <v>537</v>
      </c>
      <c r="BV616" t="s">
        <v>476</v>
      </c>
    </row>
    <row r="617" spans="1:74" hidden="1" x14ac:dyDescent="0.2">
      <c r="A617">
        <v>635</v>
      </c>
      <c r="B617">
        <v>60</v>
      </c>
      <c r="C617" t="s">
        <v>137</v>
      </c>
      <c r="E617" t="s">
        <v>93</v>
      </c>
      <c r="F617">
        <v>28</v>
      </c>
      <c r="G617">
        <v>2000</v>
      </c>
      <c r="H617">
        <v>22</v>
      </c>
      <c r="I617" t="s">
        <v>64</v>
      </c>
      <c r="J617">
        <v>1</v>
      </c>
      <c r="K617" t="s">
        <v>517</v>
      </c>
      <c r="L617" t="s">
        <v>684</v>
      </c>
      <c r="M617">
        <v>12</v>
      </c>
      <c r="N617">
        <v>64</v>
      </c>
      <c r="O617" t="s">
        <v>513</v>
      </c>
      <c r="P617" t="s">
        <v>539</v>
      </c>
      <c r="Q617" t="s">
        <v>744</v>
      </c>
      <c r="R617" t="s">
        <v>764</v>
      </c>
      <c r="S617" t="s">
        <v>499</v>
      </c>
      <c r="T617" t="s">
        <v>540</v>
      </c>
      <c r="U617" t="s">
        <v>515</v>
      </c>
      <c r="V617" t="s">
        <v>541</v>
      </c>
      <c r="W617" t="s">
        <v>200</v>
      </c>
      <c r="X617" t="s">
        <v>199</v>
      </c>
      <c r="Y617" t="s">
        <v>274</v>
      </c>
      <c r="Z617">
        <v>6</v>
      </c>
      <c r="AA617">
        <v>6</v>
      </c>
      <c r="AB617">
        <v>7</v>
      </c>
      <c r="AC617">
        <v>5</v>
      </c>
      <c r="AD617">
        <v>2</v>
      </c>
      <c r="AE617">
        <v>3</v>
      </c>
      <c r="AF617">
        <v>1</v>
      </c>
      <c r="AG617">
        <v>2</v>
      </c>
      <c r="AH617">
        <v>6</v>
      </c>
      <c r="AI617">
        <v>1</v>
      </c>
      <c r="AJ617">
        <v>7</v>
      </c>
      <c r="AK617">
        <v>6</v>
      </c>
      <c r="AL617">
        <v>6</v>
      </c>
      <c r="AM617">
        <v>2</v>
      </c>
      <c r="AN617">
        <v>63</v>
      </c>
      <c r="AO617">
        <v>2</v>
      </c>
      <c r="AP617">
        <v>6</v>
      </c>
      <c r="AQ617">
        <v>5</v>
      </c>
      <c r="AR617">
        <v>5</v>
      </c>
      <c r="AS617">
        <v>6</v>
      </c>
      <c r="AT617">
        <v>6</v>
      </c>
      <c r="AU617">
        <v>4</v>
      </c>
      <c r="AV617">
        <v>4</v>
      </c>
      <c r="AW617">
        <v>6</v>
      </c>
      <c r="AX617">
        <v>3</v>
      </c>
      <c r="AY617" cm="1">
        <f t="array" ref="AY617">_xlfn.IFS(AZ617="Positive",1, AZ617="Negative",1, AZ617="Neutral",0)</f>
        <v>1</v>
      </c>
      <c r="AZ617" t="s">
        <v>199</v>
      </c>
      <c r="BA617">
        <v>9</v>
      </c>
      <c r="BB617">
        <v>2</v>
      </c>
      <c r="BC617" s="3">
        <v>4</v>
      </c>
      <c r="BD617" s="3">
        <v>0</v>
      </c>
      <c r="BE617" s="3">
        <v>1</v>
      </c>
      <c r="BF617" s="3">
        <v>2</v>
      </c>
      <c r="BG617" s="3">
        <v>2</v>
      </c>
      <c r="BH617">
        <v>0</v>
      </c>
      <c r="BI617">
        <v>0</v>
      </c>
      <c r="BJ617">
        <v>2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 t="s">
        <v>463</v>
      </c>
      <c r="BT617" t="s">
        <v>286</v>
      </c>
      <c r="BU617" t="s">
        <v>465</v>
      </c>
      <c r="BV617" t="s">
        <v>290</v>
      </c>
    </row>
    <row r="618" spans="1:74" hidden="1" x14ac:dyDescent="0.2">
      <c r="A618">
        <v>636</v>
      </c>
      <c r="B618">
        <v>61</v>
      </c>
      <c r="C618" t="s">
        <v>138</v>
      </c>
      <c r="E618" t="s">
        <v>88</v>
      </c>
      <c r="F618">
        <v>20</v>
      </c>
      <c r="G618">
        <v>1998</v>
      </c>
      <c r="H618">
        <v>24</v>
      </c>
      <c r="I618" t="s">
        <v>69</v>
      </c>
      <c r="J618">
        <v>2</v>
      </c>
      <c r="K618" t="s">
        <v>651</v>
      </c>
      <c r="L618" t="s">
        <v>653</v>
      </c>
      <c r="M618">
        <v>8</v>
      </c>
      <c r="N618">
        <v>54</v>
      </c>
      <c r="O618" t="s">
        <v>360</v>
      </c>
      <c r="P618" t="s">
        <v>542</v>
      </c>
      <c r="Q618" t="s">
        <v>721</v>
      </c>
      <c r="R618" t="s">
        <v>724</v>
      </c>
      <c r="S618" t="s">
        <v>291</v>
      </c>
      <c r="T618" t="s">
        <v>455</v>
      </c>
      <c r="U618" t="s">
        <v>365</v>
      </c>
      <c r="V618" t="s">
        <v>543</v>
      </c>
      <c r="W618" t="s">
        <v>200</v>
      </c>
      <c r="X618" t="s">
        <v>199</v>
      </c>
      <c r="Y618" t="s">
        <v>274</v>
      </c>
      <c r="Z618">
        <v>6</v>
      </c>
      <c r="AA618">
        <v>5</v>
      </c>
      <c r="AB618">
        <v>6</v>
      </c>
      <c r="AC618">
        <v>6</v>
      </c>
      <c r="AD618">
        <v>5</v>
      </c>
      <c r="AE618">
        <v>6</v>
      </c>
      <c r="AF618">
        <v>2</v>
      </c>
      <c r="AG618">
        <v>1</v>
      </c>
      <c r="AH618">
        <v>4</v>
      </c>
      <c r="AI618">
        <v>2</v>
      </c>
      <c r="AJ618">
        <v>6</v>
      </c>
      <c r="AK618">
        <v>5</v>
      </c>
      <c r="AL618">
        <v>6</v>
      </c>
      <c r="AM618">
        <v>5</v>
      </c>
      <c r="AN618">
        <v>180</v>
      </c>
      <c r="AO618">
        <v>1</v>
      </c>
      <c r="AP618">
        <v>6</v>
      </c>
      <c r="AQ618">
        <v>5</v>
      </c>
      <c r="AR618">
        <v>6</v>
      </c>
      <c r="AS618">
        <v>6</v>
      </c>
      <c r="AT618">
        <v>6</v>
      </c>
      <c r="AU618">
        <v>6</v>
      </c>
      <c r="AV618">
        <v>6</v>
      </c>
      <c r="AW618">
        <v>7</v>
      </c>
      <c r="AX618">
        <v>3</v>
      </c>
      <c r="AY618" cm="1">
        <f t="array" ref="AY618">_xlfn.IFS(AZ618="Positive",1, AZ618="Negative",1, AZ618="Neutral",0)</f>
        <v>1</v>
      </c>
      <c r="AZ618" t="s">
        <v>199</v>
      </c>
      <c r="BA618">
        <v>5</v>
      </c>
      <c r="BB618">
        <v>7</v>
      </c>
      <c r="BC618" s="3">
        <v>5</v>
      </c>
      <c r="BD618" s="3">
        <v>0</v>
      </c>
      <c r="BE618" s="3">
        <v>0</v>
      </c>
      <c r="BF618" s="3">
        <v>0</v>
      </c>
      <c r="BG618" s="3">
        <v>0</v>
      </c>
      <c r="BH618">
        <v>0</v>
      </c>
      <c r="BI618">
        <v>0</v>
      </c>
      <c r="BJ618">
        <v>4</v>
      </c>
      <c r="BK618">
        <v>0</v>
      </c>
      <c r="BL618">
        <v>3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 t="s">
        <v>510</v>
      </c>
      <c r="BT618" t="s">
        <v>480</v>
      </c>
      <c r="BU618" t="s">
        <v>511</v>
      </c>
      <c r="BV618" t="s">
        <v>482</v>
      </c>
    </row>
    <row r="619" spans="1:74" x14ac:dyDescent="0.2">
      <c r="A619">
        <v>637</v>
      </c>
      <c r="B619">
        <v>62</v>
      </c>
      <c r="C619" t="s">
        <v>139</v>
      </c>
      <c r="E619" t="s">
        <v>80</v>
      </c>
      <c r="F619">
        <v>19</v>
      </c>
      <c r="G619">
        <v>1999</v>
      </c>
      <c r="H619">
        <v>23</v>
      </c>
      <c r="I619" t="s">
        <v>64</v>
      </c>
      <c r="J619">
        <v>1</v>
      </c>
      <c r="K619" t="s">
        <v>652</v>
      </c>
      <c r="L619" t="s">
        <v>677</v>
      </c>
      <c r="M619">
        <v>15</v>
      </c>
      <c r="N619">
        <v>56</v>
      </c>
      <c r="O619" t="s">
        <v>369</v>
      </c>
      <c r="P619" t="s">
        <v>456</v>
      </c>
      <c r="Q619" t="s">
        <v>753</v>
      </c>
      <c r="R619" t="s">
        <v>756</v>
      </c>
      <c r="S619" t="s">
        <v>363</v>
      </c>
      <c r="T619" t="s">
        <v>423</v>
      </c>
      <c r="U619" t="s">
        <v>544</v>
      </c>
      <c r="V619" t="s">
        <v>458</v>
      </c>
      <c r="W619" t="s">
        <v>200</v>
      </c>
      <c r="X619" t="s">
        <v>199</v>
      </c>
      <c r="Y619" t="s">
        <v>274</v>
      </c>
      <c r="Z619">
        <v>7</v>
      </c>
      <c r="AA619">
        <v>7</v>
      </c>
      <c r="AB619">
        <v>7</v>
      </c>
      <c r="AC619">
        <v>7</v>
      </c>
      <c r="AD619">
        <v>4</v>
      </c>
      <c r="AE619">
        <v>6</v>
      </c>
      <c r="AF619">
        <v>6</v>
      </c>
      <c r="AG619">
        <v>1</v>
      </c>
      <c r="AH619">
        <v>7</v>
      </c>
      <c r="AI619">
        <v>1</v>
      </c>
      <c r="AJ619">
        <v>7</v>
      </c>
      <c r="AK619">
        <v>7</v>
      </c>
      <c r="AL619">
        <v>7</v>
      </c>
      <c r="AM619">
        <v>3</v>
      </c>
      <c r="AN619">
        <v>161</v>
      </c>
      <c r="AO619">
        <v>2</v>
      </c>
      <c r="AP619">
        <v>7</v>
      </c>
      <c r="AQ619">
        <v>7</v>
      </c>
      <c r="AR619">
        <v>4</v>
      </c>
      <c r="AS619">
        <v>5</v>
      </c>
      <c r="AT619">
        <v>5</v>
      </c>
      <c r="AU619">
        <v>4</v>
      </c>
      <c r="AV619">
        <v>4</v>
      </c>
      <c r="AW619">
        <v>4</v>
      </c>
      <c r="AX619">
        <v>3</v>
      </c>
      <c r="AY619" cm="1">
        <f t="array" ref="AY619">_xlfn.IFS(AZ619="Positive",1, AZ619="Negative",1, AZ619="Neutral",0)</f>
        <v>1</v>
      </c>
      <c r="AZ619" t="s">
        <v>199</v>
      </c>
      <c r="BA619">
        <v>0</v>
      </c>
      <c r="BB619">
        <v>2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1</v>
      </c>
      <c r="BR619">
        <v>0</v>
      </c>
      <c r="BS619" t="s">
        <v>322</v>
      </c>
      <c r="BT619" t="s">
        <v>313</v>
      </c>
      <c r="BU619" t="s">
        <v>326</v>
      </c>
      <c r="BV619" t="s">
        <v>317</v>
      </c>
    </row>
    <row r="620" spans="1:74" x14ac:dyDescent="0.2">
      <c r="A620">
        <v>638</v>
      </c>
      <c r="B620">
        <v>63</v>
      </c>
      <c r="C620" t="s">
        <v>140</v>
      </c>
      <c r="E620" t="s">
        <v>97</v>
      </c>
      <c r="F620">
        <v>21</v>
      </c>
      <c r="G620">
        <v>1997</v>
      </c>
      <c r="H620">
        <v>25</v>
      </c>
      <c r="I620" t="s">
        <v>64</v>
      </c>
      <c r="J620">
        <v>1</v>
      </c>
      <c r="K620" t="s">
        <v>658</v>
      </c>
      <c r="L620" t="s">
        <v>634</v>
      </c>
      <c r="M620">
        <v>15</v>
      </c>
      <c r="N620">
        <v>60</v>
      </c>
      <c r="O620" t="s">
        <v>463</v>
      </c>
      <c r="P620" t="s">
        <v>545</v>
      </c>
      <c r="Q620" t="s">
        <v>729</v>
      </c>
      <c r="R620" t="s">
        <v>747</v>
      </c>
      <c r="S620" t="s">
        <v>363</v>
      </c>
      <c r="T620" t="s">
        <v>444</v>
      </c>
      <c r="U620" t="s">
        <v>546</v>
      </c>
      <c r="V620" t="s">
        <v>547</v>
      </c>
      <c r="W620" t="s">
        <v>200</v>
      </c>
      <c r="X620" t="s">
        <v>199</v>
      </c>
      <c r="Y620" t="s">
        <v>274</v>
      </c>
      <c r="Z620">
        <v>4</v>
      </c>
      <c r="AA620">
        <v>5</v>
      </c>
      <c r="AB620">
        <v>6</v>
      </c>
      <c r="AC620">
        <v>2</v>
      </c>
      <c r="AD620">
        <v>5</v>
      </c>
      <c r="AE620">
        <v>1</v>
      </c>
      <c r="AF620">
        <v>3</v>
      </c>
      <c r="AG620">
        <v>6</v>
      </c>
      <c r="AH620">
        <v>5</v>
      </c>
      <c r="AI620">
        <v>1</v>
      </c>
      <c r="AJ620">
        <v>6</v>
      </c>
      <c r="AK620">
        <v>6</v>
      </c>
      <c r="AL620">
        <v>6</v>
      </c>
      <c r="AM620">
        <v>6</v>
      </c>
      <c r="AN620">
        <v>136</v>
      </c>
      <c r="AO620">
        <v>6</v>
      </c>
      <c r="AP620">
        <v>6</v>
      </c>
      <c r="AQ620">
        <v>6</v>
      </c>
      <c r="AR620">
        <v>2</v>
      </c>
      <c r="AS620">
        <v>2</v>
      </c>
      <c r="AT620">
        <v>2</v>
      </c>
      <c r="AU620">
        <v>2</v>
      </c>
      <c r="AV620">
        <v>6</v>
      </c>
      <c r="AW620">
        <v>2</v>
      </c>
      <c r="AX620">
        <v>3</v>
      </c>
      <c r="AY620" cm="1">
        <f t="array" ref="AY620">_xlfn.IFS(AZ620="Positive",1, AZ620="Negative",1, AZ620="Neutral",0)</f>
        <v>1</v>
      </c>
      <c r="AZ620" t="s">
        <v>199</v>
      </c>
      <c r="BA620">
        <v>0</v>
      </c>
      <c r="BB620">
        <v>4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>
        <v>0</v>
      </c>
      <c r="BI620">
        <v>0</v>
      </c>
      <c r="BJ620">
        <v>2</v>
      </c>
      <c r="BK620">
        <v>0</v>
      </c>
      <c r="BL620">
        <v>2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 t="s">
        <v>322</v>
      </c>
      <c r="BT620" t="s">
        <v>399</v>
      </c>
      <c r="BU620" t="s">
        <v>326</v>
      </c>
      <c r="BV620" t="s">
        <v>447</v>
      </c>
    </row>
    <row r="621" spans="1:74" hidden="1" x14ac:dyDescent="0.2">
      <c r="A621">
        <v>639</v>
      </c>
      <c r="B621">
        <v>64</v>
      </c>
      <c r="C621" t="s">
        <v>141</v>
      </c>
      <c r="E621" t="s">
        <v>82</v>
      </c>
      <c r="F621">
        <v>5</v>
      </c>
      <c r="G621">
        <v>2000</v>
      </c>
      <c r="H621">
        <v>22</v>
      </c>
      <c r="I621" t="s">
        <v>64</v>
      </c>
      <c r="J621">
        <v>1</v>
      </c>
      <c r="K621" t="s">
        <v>678</v>
      </c>
      <c r="L621" t="s">
        <v>648</v>
      </c>
      <c r="M621">
        <v>14</v>
      </c>
      <c r="N621">
        <v>74</v>
      </c>
      <c r="O621" t="s">
        <v>542</v>
      </c>
      <c r="P621" t="s">
        <v>542</v>
      </c>
      <c r="Q621" t="s">
        <v>757</v>
      </c>
      <c r="R621" t="s">
        <v>718</v>
      </c>
      <c r="S621" t="s">
        <v>550</v>
      </c>
      <c r="T621" t="s">
        <v>551</v>
      </c>
      <c r="U621" t="s">
        <v>552</v>
      </c>
      <c r="V621" t="s">
        <v>543</v>
      </c>
      <c r="W621" t="s">
        <v>200</v>
      </c>
      <c r="X621" t="s">
        <v>199</v>
      </c>
      <c r="Y621" t="s">
        <v>274</v>
      </c>
      <c r="Z621">
        <v>7</v>
      </c>
      <c r="AA621">
        <v>7</v>
      </c>
      <c r="AB621">
        <v>7</v>
      </c>
      <c r="AC621">
        <v>7</v>
      </c>
      <c r="AD621">
        <v>4</v>
      </c>
      <c r="AE621">
        <v>7</v>
      </c>
      <c r="AF621">
        <v>3</v>
      </c>
      <c r="AG621">
        <v>1</v>
      </c>
      <c r="AH621">
        <v>7</v>
      </c>
      <c r="AI621">
        <v>1</v>
      </c>
      <c r="AJ621">
        <v>7</v>
      </c>
      <c r="AK621">
        <v>7</v>
      </c>
      <c r="AL621">
        <v>7</v>
      </c>
      <c r="AM621">
        <v>3</v>
      </c>
      <c r="AN621">
        <v>48</v>
      </c>
      <c r="AO621">
        <v>1</v>
      </c>
      <c r="AP621">
        <v>7</v>
      </c>
      <c r="AQ621">
        <v>7</v>
      </c>
      <c r="AR621">
        <v>7</v>
      </c>
      <c r="AS621">
        <v>7</v>
      </c>
      <c r="AT621">
        <v>7</v>
      </c>
      <c r="AU621">
        <v>7</v>
      </c>
      <c r="AV621">
        <v>7</v>
      </c>
      <c r="AW621">
        <v>7</v>
      </c>
      <c r="AX621">
        <v>3</v>
      </c>
      <c r="AY621" cm="1">
        <f t="array" ref="AY621">_xlfn.IFS(AZ621="Positive",1, AZ621="Negative",1, AZ621="Neutral",0)</f>
        <v>1</v>
      </c>
      <c r="AZ621" t="s">
        <v>199</v>
      </c>
      <c r="BA621">
        <v>8</v>
      </c>
      <c r="BB621">
        <v>9</v>
      </c>
      <c r="BC621" s="3">
        <v>4</v>
      </c>
      <c r="BD621" s="3">
        <v>3</v>
      </c>
      <c r="BE621" s="3">
        <v>0</v>
      </c>
      <c r="BF621" s="3">
        <v>1</v>
      </c>
      <c r="BG621" s="3">
        <v>0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6</v>
      </c>
      <c r="BN621">
        <v>0</v>
      </c>
      <c r="BO621">
        <v>0</v>
      </c>
      <c r="BP621">
        <v>1</v>
      </c>
      <c r="BQ621">
        <v>1</v>
      </c>
      <c r="BR621">
        <v>0</v>
      </c>
      <c r="BS621" t="s">
        <v>425</v>
      </c>
      <c r="BT621" t="s">
        <v>548</v>
      </c>
      <c r="BU621" t="s">
        <v>428</v>
      </c>
      <c r="BV621" t="s">
        <v>549</v>
      </c>
    </row>
    <row r="622" spans="1:74" hidden="1" x14ac:dyDescent="0.2">
      <c r="A622">
        <v>640</v>
      </c>
      <c r="B622">
        <v>65</v>
      </c>
      <c r="C622" t="s">
        <v>142</v>
      </c>
      <c r="E622" t="s">
        <v>93</v>
      </c>
      <c r="F622">
        <v>3</v>
      </c>
      <c r="G622">
        <v>1998</v>
      </c>
      <c r="H622">
        <v>24</v>
      </c>
      <c r="I622" t="s">
        <v>64</v>
      </c>
      <c r="J622">
        <v>1</v>
      </c>
      <c r="K622" t="s">
        <v>657</v>
      </c>
      <c r="L622" t="s">
        <v>660</v>
      </c>
      <c r="M622">
        <v>9</v>
      </c>
      <c r="N622">
        <v>79</v>
      </c>
      <c r="O622">
        <v>6</v>
      </c>
      <c r="P622" t="s">
        <v>554</v>
      </c>
      <c r="Q622" t="s">
        <v>727</v>
      </c>
      <c r="R622" t="s">
        <v>733</v>
      </c>
      <c r="S622" t="s">
        <v>349</v>
      </c>
      <c r="T622" t="s">
        <v>557</v>
      </c>
      <c r="U622" t="s">
        <v>436</v>
      </c>
      <c r="V622" t="s">
        <v>558</v>
      </c>
      <c r="W622" t="s">
        <v>200</v>
      </c>
      <c r="X622" t="s">
        <v>199</v>
      </c>
      <c r="Y622" t="s">
        <v>274</v>
      </c>
      <c r="Z622">
        <v>7</v>
      </c>
      <c r="AA622">
        <v>7</v>
      </c>
      <c r="AB622">
        <v>7</v>
      </c>
      <c r="AC622">
        <v>7</v>
      </c>
      <c r="AD622">
        <v>1</v>
      </c>
      <c r="AE622">
        <v>1</v>
      </c>
      <c r="AF622">
        <v>6</v>
      </c>
      <c r="AG622">
        <v>1</v>
      </c>
      <c r="AH622">
        <v>7</v>
      </c>
      <c r="AI622">
        <v>1</v>
      </c>
      <c r="AJ622">
        <v>7</v>
      </c>
      <c r="AK622">
        <v>7</v>
      </c>
      <c r="AL622">
        <v>7</v>
      </c>
      <c r="AM622">
        <v>5</v>
      </c>
      <c r="AN622">
        <v>63</v>
      </c>
      <c r="AO622">
        <v>1</v>
      </c>
      <c r="AP622">
        <v>7</v>
      </c>
      <c r="AQ622">
        <v>7</v>
      </c>
      <c r="AR622">
        <v>7</v>
      </c>
      <c r="AS622">
        <v>1</v>
      </c>
      <c r="AT622">
        <v>7</v>
      </c>
      <c r="AU622">
        <v>1</v>
      </c>
      <c r="AV622">
        <v>7</v>
      </c>
      <c r="AW622">
        <v>7</v>
      </c>
      <c r="AX622">
        <v>3</v>
      </c>
      <c r="AY622" cm="1">
        <f t="array" ref="AY622">_xlfn.IFS(AZ622="Positive",1, AZ622="Negative",1, AZ622="Neutral",0)</f>
        <v>1</v>
      </c>
      <c r="AZ622" t="s">
        <v>199</v>
      </c>
      <c r="BA622">
        <v>16</v>
      </c>
      <c r="BB622">
        <v>3</v>
      </c>
      <c r="BC622" s="3">
        <v>12</v>
      </c>
      <c r="BD622" s="3">
        <v>0</v>
      </c>
      <c r="BE622" s="3">
        <v>1</v>
      </c>
      <c r="BF622" s="3">
        <v>1</v>
      </c>
      <c r="BG622" s="3">
        <v>2</v>
      </c>
      <c r="BH622">
        <v>0</v>
      </c>
      <c r="BI622">
        <v>0</v>
      </c>
      <c r="BJ622">
        <v>2</v>
      </c>
      <c r="BK622">
        <v>1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 t="s">
        <v>553</v>
      </c>
      <c r="BT622" t="s">
        <v>536</v>
      </c>
      <c r="BU622" t="s">
        <v>555</v>
      </c>
      <c r="BV622" t="s">
        <v>556</v>
      </c>
    </row>
    <row r="623" spans="1:74" hidden="1" x14ac:dyDescent="0.2">
      <c r="A623">
        <v>641</v>
      </c>
      <c r="B623">
        <v>66</v>
      </c>
      <c r="C623" t="s">
        <v>143</v>
      </c>
      <c r="E623" t="s">
        <v>80</v>
      </c>
      <c r="F623">
        <v>13</v>
      </c>
      <c r="G623">
        <v>2002</v>
      </c>
      <c r="H623">
        <v>20</v>
      </c>
      <c r="I623" t="s">
        <v>69</v>
      </c>
      <c r="J623">
        <v>2</v>
      </c>
      <c r="K623" t="s">
        <v>644</v>
      </c>
      <c r="L623" t="s">
        <v>685</v>
      </c>
      <c r="M623">
        <v>14</v>
      </c>
      <c r="N623">
        <v>71</v>
      </c>
      <c r="O623" t="s">
        <v>389</v>
      </c>
      <c r="P623" t="s">
        <v>460</v>
      </c>
      <c r="Q623" t="s">
        <v>714</v>
      </c>
      <c r="R623" t="s">
        <v>765</v>
      </c>
      <c r="S623" t="s">
        <v>550</v>
      </c>
      <c r="T623" t="s">
        <v>329</v>
      </c>
      <c r="U623" t="s">
        <v>391</v>
      </c>
      <c r="V623" t="s">
        <v>462</v>
      </c>
      <c r="W623" t="s">
        <v>200</v>
      </c>
      <c r="X623" t="s">
        <v>199</v>
      </c>
      <c r="Y623" t="s">
        <v>274</v>
      </c>
      <c r="Z623">
        <v>6</v>
      </c>
      <c r="AA623">
        <v>7</v>
      </c>
      <c r="AB623">
        <v>7</v>
      </c>
      <c r="AC623">
        <v>2</v>
      </c>
      <c r="AD623">
        <v>1</v>
      </c>
      <c r="AE623">
        <v>5</v>
      </c>
      <c r="AF623">
        <v>1</v>
      </c>
      <c r="AG623">
        <v>5</v>
      </c>
      <c r="AH623">
        <v>5</v>
      </c>
      <c r="AI623">
        <v>1</v>
      </c>
      <c r="AJ623">
        <v>7</v>
      </c>
      <c r="AK623">
        <v>7</v>
      </c>
      <c r="AL623">
        <v>7</v>
      </c>
      <c r="AM623">
        <v>2</v>
      </c>
      <c r="AN623">
        <v>6</v>
      </c>
      <c r="AO623">
        <v>1</v>
      </c>
      <c r="AP623">
        <v>7</v>
      </c>
      <c r="AQ623">
        <v>7</v>
      </c>
      <c r="AR623">
        <v>1</v>
      </c>
      <c r="AS623">
        <v>5</v>
      </c>
      <c r="AT623">
        <v>5</v>
      </c>
      <c r="AU623">
        <v>5</v>
      </c>
      <c r="AV623">
        <v>4</v>
      </c>
      <c r="AW623">
        <v>7</v>
      </c>
      <c r="AX623">
        <v>3</v>
      </c>
      <c r="AY623" cm="1">
        <f t="array" ref="AY623">_xlfn.IFS(AZ623="Positive",1, AZ623="Negative",1, AZ623="Neutral",0)</f>
        <v>1</v>
      </c>
      <c r="AZ623" t="s">
        <v>199</v>
      </c>
      <c r="BA623">
        <v>21</v>
      </c>
      <c r="BB623">
        <v>1</v>
      </c>
      <c r="BC623" s="3">
        <v>16</v>
      </c>
      <c r="BD623" s="3">
        <v>1</v>
      </c>
      <c r="BE623" s="3">
        <v>2</v>
      </c>
      <c r="BF623" s="3">
        <v>1</v>
      </c>
      <c r="BG623" s="3">
        <v>1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1</v>
      </c>
      <c r="BS623" t="s">
        <v>463</v>
      </c>
      <c r="BT623" t="s">
        <v>352</v>
      </c>
      <c r="BU623" t="s">
        <v>465</v>
      </c>
      <c r="BV623" t="s">
        <v>526</v>
      </c>
    </row>
    <row r="624" spans="1:74" hidden="1" x14ac:dyDescent="0.2">
      <c r="A624">
        <v>642</v>
      </c>
      <c r="B624">
        <v>67</v>
      </c>
      <c r="C624" t="s">
        <v>144</v>
      </c>
      <c r="E624" t="s">
        <v>82</v>
      </c>
      <c r="F624">
        <v>19</v>
      </c>
      <c r="G624">
        <v>2001</v>
      </c>
      <c r="H624">
        <v>21</v>
      </c>
      <c r="I624" t="s">
        <v>64</v>
      </c>
      <c r="J624">
        <v>1</v>
      </c>
      <c r="K624" t="s">
        <v>661</v>
      </c>
      <c r="L624" t="s">
        <v>647</v>
      </c>
      <c r="M624">
        <v>5</v>
      </c>
      <c r="N624">
        <v>58</v>
      </c>
      <c r="O624" t="s">
        <v>287</v>
      </c>
      <c r="P624" t="s">
        <v>315</v>
      </c>
      <c r="Q624" t="s">
        <v>734</v>
      </c>
      <c r="R624" t="s">
        <v>717</v>
      </c>
      <c r="S624" t="s">
        <v>318</v>
      </c>
      <c r="T624" t="s">
        <v>364</v>
      </c>
      <c r="U624" t="s">
        <v>293</v>
      </c>
      <c r="V624" t="s">
        <v>321</v>
      </c>
      <c r="W624" t="s">
        <v>200</v>
      </c>
      <c r="X624" t="s">
        <v>199</v>
      </c>
      <c r="Y624" t="s">
        <v>274</v>
      </c>
      <c r="Z624">
        <v>7</v>
      </c>
      <c r="AA624">
        <v>5</v>
      </c>
      <c r="AB624">
        <v>6</v>
      </c>
      <c r="AC624">
        <v>6</v>
      </c>
      <c r="AD624">
        <v>1</v>
      </c>
      <c r="AE624">
        <v>1</v>
      </c>
      <c r="AF624">
        <v>2</v>
      </c>
      <c r="AG624">
        <v>5</v>
      </c>
      <c r="AH624">
        <v>5</v>
      </c>
      <c r="AI624">
        <v>1</v>
      </c>
      <c r="AJ624">
        <v>7</v>
      </c>
      <c r="AK624">
        <v>5</v>
      </c>
      <c r="AL624">
        <v>6</v>
      </c>
      <c r="AM624">
        <v>5</v>
      </c>
      <c r="AN624">
        <v>35</v>
      </c>
      <c r="AO624">
        <v>2</v>
      </c>
      <c r="AP624">
        <v>7</v>
      </c>
      <c r="AQ624">
        <v>5</v>
      </c>
      <c r="AR624">
        <v>5</v>
      </c>
      <c r="AS624">
        <v>6</v>
      </c>
      <c r="AT624">
        <v>5</v>
      </c>
      <c r="AU624">
        <v>6</v>
      </c>
      <c r="AV624">
        <v>6</v>
      </c>
      <c r="AW624">
        <v>7</v>
      </c>
      <c r="AX624">
        <v>3</v>
      </c>
      <c r="AY624" cm="1">
        <f t="array" ref="AY624">_xlfn.IFS(AZ624="Positive",1, AZ624="Negative",1, AZ624="Neutral",0)</f>
        <v>1</v>
      </c>
      <c r="AZ624" t="s">
        <v>199</v>
      </c>
      <c r="BA624">
        <v>18</v>
      </c>
      <c r="BB624">
        <v>0</v>
      </c>
      <c r="BC624" s="3">
        <v>9</v>
      </c>
      <c r="BD624" s="3">
        <v>1</v>
      </c>
      <c r="BE624" s="3">
        <v>5</v>
      </c>
      <c r="BF624" s="3">
        <v>3</v>
      </c>
      <c r="BG624" s="3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4</v>
      </c>
      <c r="BT624" t="s">
        <v>275</v>
      </c>
      <c r="BU624" t="s">
        <v>370</v>
      </c>
      <c r="BV624" t="s">
        <v>334</v>
      </c>
    </row>
    <row r="625" spans="1:74" x14ac:dyDescent="0.2">
      <c r="A625">
        <v>643</v>
      </c>
      <c r="B625">
        <v>68</v>
      </c>
      <c r="C625" t="s">
        <v>145</v>
      </c>
      <c r="E625" t="s">
        <v>68</v>
      </c>
      <c r="F625">
        <v>26</v>
      </c>
      <c r="G625">
        <v>1998</v>
      </c>
      <c r="H625">
        <v>24</v>
      </c>
      <c r="I625" t="s">
        <v>64</v>
      </c>
      <c r="J625">
        <v>1</v>
      </c>
      <c r="K625" t="s">
        <v>676</v>
      </c>
      <c r="L625" t="s">
        <v>686</v>
      </c>
      <c r="M625">
        <v>7</v>
      </c>
      <c r="N625">
        <v>67</v>
      </c>
      <c r="O625" t="s">
        <v>438</v>
      </c>
      <c r="P625" t="s">
        <v>353</v>
      </c>
      <c r="Q625" t="s">
        <v>755</v>
      </c>
      <c r="R625" t="s">
        <v>766</v>
      </c>
      <c r="S625" t="s">
        <v>430</v>
      </c>
      <c r="T625" t="s">
        <v>431</v>
      </c>
      <c r="U625" t="s">
        <v>561</v>
      </c>
      <c r="V625" t="s">
        <v>437</v>
      </c>
      <c r="W625" t="s">
        <v>200</v>
      </c>
      <c r="X625" t="s">
        <v>199</v>
      </c>
      <c r="Y625" t="s">
        <v>274</v>
      </c>
      <c r="Z625">
        <v>6</v>
      </c>
      <c r="AA625">
        <v>6</v>
      </c>
      <c r="AB625">
        <v>6</v>
      </c>
      <c r="AC625">
        <v>6</v>
      </c>
      <c r="AD625">
        <v>1</v>
      </c>
      <c r="AE625">
        <v>7</v>
      </c>
      <c r="AF625">
        <v>6</v>
      </c>
      <c r="AG625">
        <v>1</v>
      </c>
      <c r="AH625">
        <v>6</v>
      </c>
      <c r="AI625">
        <v>1</v>
      </c>
      <c r="AJ625">
        <v>7</v>
      </c>
      <c r="AK625">
        <v>6</v>
      </c>
      <c r="AL625">
        <v>7</v>
      </c>
      <c r="AM625">
        <v>7</v>
      </c>
      <c r="AN625">
        <v>4</v>
      </c>
      <c r="AO625">
        <v>1</v>
      </c>
      <c r="AP625">
        <v>7</v>
      </c>
      <c r="AQ625">
        <v>7</v>
      </c>
      <c r="AR625">
        <v>6</v>
      </c>
      <c r="AS625">
        <v>6</v>
      </c>
      <c r="AT625">
        <v>6</v>
      </c>
      <c r="AU625">
        <v>6</v>
      </c>
      <c r="AV625">
        <v>6</v>
      </c>
      <c r="AW625">
        <v>7</v>
      </c>
      <c r="AX625">
        <v>3</v>
      </c>
      <c r="AY625" cm="1">
        <f t="array" ref="AY625">_xlfn.IFS(AZ625="Positive",1, AZ625="Negative",1, AZ625="Neutral",0)</f>
        <v>1</v>
      </c>
      <c r="AZ625" t="s">
        <v>199</v>
      </c>
      <c r="BA625">
        <v>0</v>
      </c>
      <c r="BB625">
        <v>2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>
        <v>0</v>
      </c>
      <c r="BI625">
        <v>0</v>
      </c>
      <c r="BJ625">
        <v>2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 t="s">
        <v>305</v>
      </c>
      <c r="BT625" t="s">
        <v>559</v>
      </c>
      <c r="BU625" t="s">
        <v>308</v>
      </c>
      <c r="BV625" t="s">
        <v>560</v>
      </c>
    </row>
    <row r="626" spans="1:74" hidden="1" x14ac:dyDescent="0.2">
      <c r="A626">
        <v>644</v>
      </c>
      <c r="B626">
        <v>69</v>
      </c>
      <c r="C626" t="s">
        <v>146</v>
      </c>
      <c r="E626" t="s">
        <v>97</v>
      </c>
      <c r="F626">
        <v>16</v>
      </c>
      <c r="G626">
        <v>2000</v>
      </c>
      <c r="H626">
        <v>22</v>
      </c>
      <c r="I626" t="s">
        <v>69</v>
      </c>
      <c r="J626">
        <v>2</v>
      </c>
      <c r="K626" t="s">
        <v>687</v>
      </c>
      <c r="L626" t="s">
        <v>688</v>
      </c>
      <c r="M626">
        <v>13</v>
      </c>
      <c r="N626">
        <v>66</v>
      </c>
      <c r="O626">
        <v>5</v>
      </c>
      <c r="P626" t="s">
        <v>562</v>
      </c>
      <c r="Q626" t="s">
        <v>767</v>
      </c>
      <c r="R626" t="s">
        <v>768</v>
      </c>
      <c r="S626" t="s">
        <v>328</v>
      </c>
      <c r="T626" t="s">
        <v>282</v>
      </c>
      <c r="U626" t="s">
        <v>563</v>
      </c>
      <c r="V626" t="s">
        <v>564</v>
      </c>
      <c r="W626" t="s">
        <v>200</v>
      </c>
      <c r="X626" t="s">
        <v>199</v>
      </c>
      <c r="Y626" t="s">
        <v>274</v>
      </c>
      <c r="Z626">
        <v>5</v>
      </c>
      <c r="AA626">
        <v>5</v>
      </c>
      <c r="AB626">
        <v>5</v>
      </c>
      <c r="AC626">
        <v>5</v>
      </c>
      <c r="AD626">
        <v>7</v>
      </c>
      <c r="AE626">
        <v>4</v>
      </c>
      <c r="AF626">
        <v>4</v>
      </c>
      <c r="AG626">
        <v>7</v>
      </c>
      <c r="AH626">
        <v>5</v>
      </c>
      <c r="AI626">
        <v>2</v>
      </c>
      <c r="AJ626">
        <v>5</v>
      </c>
      <c r="AK626">
        <v>5</v>
      </c>
      <c r="AL626">
        <v>2</v>
      </c>
      <c r="AM626">
        <v>1</v>
      </c>
      <c r="AN626">
        <v>160</v>
      </c>
      <c r="AO626">
        <v>3</v>
      </c>
      <c r="AP626">
        <v>6</v>
      </c>
      <c r="AQ626">
        <v>4</v>
      </c>
      <c r="AR626">
        <v>5</v>
      </c>
      <c r="AS626">
        <v>5</v>
      </c>
      <c r="AT626">
        <v>5</v>
      </c>
      <c r="AU626">
        <v>5</v>
      </c>
      <c r="AV626">
        <v>4</v>
      </c>
      <c r="AW626">
        <v>5</v>
      </c>
      <c r="AX626">
        <v>3</v>
      </c>
      <c r="AY626" cm="1">
        <f t="array" ref="AY626">_xlfn.IFS(AZ626="Positive",1, AZ626="Negative",1, AZ626="Neutral",0)</f>
        <v>1</v>
      </c>
      <c r="AZ626" t="s">
        <v>199</v>
      </c>
      <c r="BA626">
        <v>3</v>
      </c>
      <c r="BB626">
        <v>2</v>
      </c>
      <c r="BC626" s="3">
        <v>1</v>
      </c>
      <c r="BD626" s="3">
        <v>0</v>
      </c>
      <c r="BE626" s="3">
        <v>1</v>
      </c>
      <c r="BF626" s="3">
        <v>0</v>
      </c>
      <c r="BG626" s="3">
        <v>1</v>
      </c>
      <c r="BH626">
        <v>0</v>
      </c>
      <c r="BI626">
        <v>0</v>
      </c>
      <c r="BJ626">
        <v>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 t="s">
        <v>313</v>
      </c>
      <c r="BT626" t="s">
        <v>295</v>
      </c>
      <c r="BU626" t="s">
        <v>316</v>
      </c>
      <c r="BV626" t="s">
        <v>473</v>
      </c>
    </row>
    <row r="627" spans="1:74" hidden="1" x14ac:dyDescent="0.2">
      <c r="A627">
        <v>645</v>
      </c>
      <c r="B627">
        <v>70</v>
      </c>
      <c r="C627" t="s">
        <v>147</v>
      </c>
      <c r="E627" t="s">
        <v>85</v>
      </c>
      <c r="F627">
        <v>28</v>
      </c>
      <c r="G627">
        <v>1997</v>
      </c>
      <c r="H627">
        <v>25</v>
      </c>
      <c r="I627" t="s">
        <v>64</v>
      </c>
      <c r="J627">
        <v>1</v>
      </c>
      <c r="K627" t="s">
        <v>661</v>
      </c>
      <c r="L627" t="s">
        <v>632</v>
      </c>
      <c r="M627">
        <v>5</v>
      </c>
      <c r="N627">
        <v>64</v>
      </c>
      <c r="O627" t="s">
        <v>442</v>
      </c>
      <c r="P627" t="s">
        <v>539</v>
      </c>
      <c r="Q627" t="s">
        <v>734</v>
      </c>
      <c r="R627" t="s">
        <v>732</v>
      </c>
      <c r="S627" t="s">
        <v>318</v>
      </c>
      <c r="T627" t="s">
        <v>540</v>
      </c>
      <c r="U627" t="s">
        <v>445</v>
      </c>
      <c r="V627" t="s">
        <v>541</v>
      </c>
      <c r="W627" t="s">
        <v>200</v>
      </c>
      <c r="X627" t="s">
        <v>199</v>
      </c>
      <c r="Y627" t="s">
        <v>274</v>
      </c>
      <c r="Z627">
        <v>7</v>
      </c>
      <c r="AA627">
        <v>7</v>
      </c>
      <c r="AB627">
        <v>7</v>
      </c>
      <c r="AC627">
        <v>7</v>
      </c>
      <c r="AD627">
        <v>7</v>
      </c>
      <c r="AE627">
        <v>7</v>
      </c>
      <c r="AF627">
        <v>7</v>
      </c>
      <c r="AG627">
        <v>3</v>
      </c>
      <c r="AH627">
        <v>6</v>
      </c>
      <c r="AI627">
        <v>6</v>
      </c>
      <c r="AJ627">
        <v>2</v>
      </c>
      <c r="AK627">
        <v>2</v>
      </c>
      <c r="AL627">
        <v>2</v>
      </c>
      <c r="AM627">
        <v>4</v>
      </c>
      <c r="AN627">
        <v>93</v>
      </c>
      <c r="AO627">
        <v>2</v>
      </c>
      <c r="AP627">
        <v>7</v>
      </c>
      <c r="AQ627">
        <v>6</v>
      </c>
      <c r="AR627">
        <v>6</v>
      </c>
      <c r="AS627">
        <v>6</v>
      </c>
      <c r="AT627">
        <v>6</v>
      </c>
      <c r="AU627">
        <v>6</v>
      </c>
      <c r="AV627">
        <v>6</v>
      </c>
      <c r="AW627">
        <v>6</v>
      </c>
      <c r="AX627">
        <v>3</v>
      </c>
      <c r="AY627" cm="1">
        <f t="array" ref="AY627">_xlfn.IFS(AZ627="Positive",1, AZ627="Negative",1, AZ627="Neutral",0)</f>
        <v>1</v>
      </c>
      <c r="AZ627" t="s">
        <v>199</v>
      </c>
      <c r="BA627">
        <v>4</v>
      </c>
      <c r="BB627">
        <v>0</v>
      </c>
      <c r="BC627" s="3">
        <v>3</v>
      </c>
      <c r="BD627" s="3">
        <v>0</v>
      </c>
      <c r="BE627" s="3">
        <v>0</v>
      </c>
      <c r="BF627" s="3">
        <v>0</v>
      </c>
      <c r="BG627" s="3">
        <v>1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4</v>
      </c>
      <c r="BT627" t="s">
        <v>453</v>
      </c>
      <c r="BU627" t="s">
        <v>370</v>
      </c>
      <c r="BV627" t="s">
        <v>454</v>
      </c>
    </row>
    <row r="628" spans="1:74" hidden="1" x14ac:dyDescent="0.2">
      <c r="A628">
        <v>646</v>
      </c>
      <c r="B628">
        <v>71</v>
      </c>
      <c r="C628" t="s">
        <v>148</v>
      </c>
      <c r="E628" t="s">
        <v>85</v>
      </c>
      <c r="F628">
        <v>20</v>
      </c>
      <c r="G628">
        <v>2002</v>
      </c>
      <c r="H628">
        <v>20</v>
      </c>
      <c r="I628" t="s">
        <v>64</v>
      </c>
      <c r="J628">
        <v>1</v>
      </c>
      <c r="K628" t="s">
        <v>637</v>
      </c>
      <c r="L628" t="s">
        <v>677</v>
      </c>
      <c r="M628">
        <v>5</v>
      </c>
      <c r="N628">
        <v>67</v>
      </c>
      <c r="O628" t="s">
        <v>513</v>
      </c>
      <c r="P628" t="s">
        <v>325</v>
      </c>
      <c r="Q628" t="s">
        <v>706</v>
      </c>
      <c r="R628" t="s">
        <v>756</v>
      </c>
      <c r="S628" t="s">
        <v>318</v>
      </c>
      <c r="T628" t="s">
        <v>431</v>
      </c>
      <c r="U628" t="s">
        <v>515</v>
      </c>
      <c r="V628" t="s">
        <v>331</v>
      </c>
      <c r="W628" t="s">
        <v>200</v>
      </c>
      <c r="X628" t="s">
        <v>199</v>
      </c>
      <c r="Y628" t="s">
        <v>274</v>
      </c>
      <c r="Z628">
        <v>6</v>
      </c>
      <c r="AA628">
        <v>7</v>
      </c>
      <c r="AB628">
        <v>7</v>
      </c>
      <c r="AC628">
        <v>6</v>
      </c>
      <c r="AD628">
        <v>6</v>
      </c>
      <c r="AE628">
        <v>7</v>
      </c>
      <c r="AF628">
        <v>1</v>
      </c>
      <c r="AG628">
        <v>3</v>
      </c>
      <c r="AH628">
        <v>6</v>
      </c>
      <c r="AI628">
        <v>1</v>
      </c>
      <c r="AJ628">
        <v>7</v>
      </c>
      <c r="AK628">
        <v>6</v>
      </c>
      <c r="AL628">
        <v>6</v>
      </c>
      <c r="AM628">
        <v>6</v>
      </c>
      <c r="AN628">
        <v>95</v>
      </c>
      <c r="AO628">
        <v>6</v>
      </c>
      <c r="AP628">
        <v>5</v>
      </c>
      <c r="AQ628">
        <v>5</v>
      </c>
      <c r="AR628">
        <v>5</v>
      </c>
      <c r="AS628">
        <v>5</v>
      </c>
      <c r="AT628">
        <v>4</v>
      </c>
      <c r="AU628">
        <v>6</v>
      </c>
      <c r="AV628">
        <v>5</v>
      </c>
      <c r="AW628">
        <v>6</v>
      </c>
      <c r="AX628">
        <v>2</v>
      </c>
      <c r="AY628" cm="1">
        <f t="array" ref="AY628">_xlfn.IFS(AZ628="Positive",1, AZ628="Negative",1, AZ628="Neutral",0)</f>
        <v>1</v>
      </c>
      <c r="AZ628" t="s">
        <v>199</v>
      </c>
      <c r="BA628">
        <v>40</v>
      </c>
      <c r="BB628">
        <v>1</v>
      </c>
      <c r="BC628" s="3">
        <v>30</v>
      </c>
      <c r="BD628" s="3">
        <v>0</v>
      </c>
      <c r="BE628" s="3">
        <v>3</v>
      </c>
      <c r="BF628" s="3">
        <v>7</v>
      </c>
      <c r="BG628" s="3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1</v>
      </c>
      <c r="BR628">
        <v>0</v>
      </c>
      <c r="BS628" t="s">
        <v>322</v>
      </c>
      <c r="BT628" t="s">
        <v>453</v>
      </c>
      <c r="BU628" t="s">
        <v>326</v>
      </c>
      <c r="BV628" t="s">
        <v>454</v>
      </c>
    </row>
    <row r="629" spans="1:74" hidden="1" x14ac:dyDescent="0.2">
      <c r="A629">
        <v>647</v>
      </c>
      <c r="B629">
        <v>72</v>
      </c>
      <c r="C629" t="s">
        <v>149</v>
      </c>
      <c r="E629" t="s">
        <v>71</v>
      </c>
      <c r="F629">
        <v>26</v>
      </c>
      <c r="G629">
        <v>1999</v>
      </c>
      <c r="H629">
        <v>23</v>
      </c>
      <c r="I629" t="s">
        <v>64</v>
      </c>
      <c r="J629">
        <v>1</v>
      </c>
      <c r="K629" t="s">
        <v>416</v>
      </c>
      <c r="L629" t="s">
        <v>660</v>
      </c>
      <c r="M629">
        <v>6</v>
      </c>
      <c r="N629">
        <v>63</v>
      </c>
      <c r="O629" t="s">
        <v>565</v>
      </c>
      <c r="P629">
        <v>6</v>
      </c>
      <c r="Q629" t="s">
        <v>723</v>
      </c>
      <c r="R629" t="s">
        <v>733</v>
      </c>
      <c r="S629" t="s">
        <v>403</v>
      </c>
      <c r="T629" t="s">
        <v>477</v>
      </c>
      <c r="U629" t="s">
        <v>566</v>
      </c>
      <c r="V629" t="s">
        <v>471</v>
      </c>
      <c r="W629" t="s">
        <v>200</v>
      </c>
      <c r="X629" t="s">
        <v>199</v>
      </c>
      <c r="Y629" t="s">
        <v>274</v>
      </c>
      <c r="Z629">
        <v>6</v>
      </c>
      <c r="AA629">
        <v>6</v>
      </c>
      <c r="AB629">
        <v>6</v>
      </c>
      <c r="AC629">
        <v>5</v>
      </c>
      <c r="AD629">
        <v>1</v>
      </c>
      <c r="AE629">
        <v>7</v>
      </c>
      <c r="AF629">
        <v>1</v>
      </c>
      <c r="AG629">
        <v>1</v>
      </c>
      <c r="AH629">
        <v>6</v>
      </c>
      <c r="AI629">
        <v>1</v>
      </c>
      <c r="AJ629">
        <v>7</v>
      </c>
      <c r="AK629">
        <v>7</v>
      </c>
      <c r="AL629">
        <v>7</v>
      </c>
      <c r="AM629">
        <v>5</v>
      </c>
      <c r="AN629">
        <v>108</v>
      </c>
      <c r="AO629">
        <v>5</v>
      </c>
      <c r="AP629">
        <v>7</v>
      </c>
      <c r="AQ629">
        <v>7</v>
      </c>
      <c r="AR629">
        <v>5</v>
      </c>
      <c r="AS629">
        <v>6</v>
      </c>
      <c r="AT629">
        <v>5</v>
      </c>
      <c r="AU629">
        <v>7</v>
      </c>
      <c r="AV629">
        <v>6</v>
      </c>
      <c r="AW629">
        <v>7</v>
      </c>
      <c r="AX629">
        <v>3</v>
      </c>
      <c r="AY629" cm="1">
        <f t="array" ref="AY629">_xlfn.IFS(AZ629="Positive",1, AZ629="Negative",1, AZ629="Neutral",0)</f>
        <v>1</v>
      </c>
      <c r="AZ629" t="s">
        <v>199</v>
      </c>
      <c r="BA629">
        <v>8</v>
      </c>
      <c r="BB629">
        <v>2</v>
      </c>
      <c r="BC629" s="3">
        <v>5</v>
      </c>
      <c r="BD629" s="3">
        <v>1</v>
      </c>
      <c r="BE629" s="3">
        <v>2</v>
      </c>
      <c r="BF629" s="3">
        <v>0</v>
      </c>
      <c r="BG629" s="3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2</v>
      </c>
      <c r="BN629">
        <v>0</v>
      </c>
      <c r="BO629">
        <v>0</v>
      </c>
      <c r="BP629">
        <v>0</v>
      </c>
      <c r="BQ629">
        <v>0</v>
      </c>
      <c r="BR629">
        <v>0</v>
      </c>
      <c r="BS629" t="s">
        <v>296</v>
      </c>
      <c r="BT629" t="s">
        <v>367</v>
      </c>
      <c r="BU629" t="s">
        <v>362</v>
      </c>
      <c r="BV629" t="s">
        <v>371</v>
      </c>
    </row>
    <row r="630" spans="1:74" hidden="1" x14ac:dyDescent="0.2">
      <c r="B630">
        <v>73</v>
      </c>
      <c r="C630" t="s">
        <v>150</v>
      </c>
      <c r="E630" t="s">
        <v>71</v>
      </c>
      <c r="F630">
        <v>30</v>
      </c>
      <c r="G630">
        <v>2000</v>
      </c>
      <c r="H630">
        <v>22</v>
      </c>
      <c r="I630" t="s">
        <v>69</v>
      </c>
      <c r="J630">
        <v>2</v>
      </c>
      <c r="K630" t="s">
        <v>416</v>
      </c>
      <c r="L630" t="s">
        <v>679</v>
      </c>
      <c r="M630">
        <v>7</v>
      </c>
      <c r="N630">
        <v>47</v>
      </c>
      <c r="O630" t="s">
        <v>568</v>
      </c>
      <c r="P630">
        <v>6</v>
      </c>
      <c r="Q630" t="s">
        <v>723</v>
      </c>
      <c r="R630" t="s">
        <v>758</v>
      </c>
      <c r="S630" t="s">
        <v>430</v>
      </c>
      <c r="T630" t="s">
        <v>401</v>
      </c>
      <c r="U630" t="s">
        <v>570</v>
      </c>
      <c r="V630" t="s">
        <v>471</v>
      </c>
      <c r="W630" t="s">
        <v>200</v>
      </c>
      <c r="X630" t="s">
        <v>199</v>
      </c>
      <c r="Y630" t="s">
        <v>274</v>
      </c>
      <c r="Z630">
        <v>7</v>
      </c>
      <c r="AA630">
        <v>2</v>
      </c>
      <c r="AB630">
        <v>7</v>
      </c>
      <c r="AC630">
        <v>7</v>
      </c>
      <c r="AD630">
        <v>5</v>
      </c>
      <c r="AE630">
        <v>2</v>
      </c>
      <c r="AF630">
        <v>1</v>
      </c>
      <c r="AG630">
        <v>1</v>
      </c>
      <c r="AH630">
        <v>2</v>
      </c>
      <c r="AI630">
        <v>5</v>
      </c>
      <c r="AJ630">
        <v>2</v>
      </c>
      <c r="AK630">
        <v>2</v>
      </c>
      <c r="AL630">
        <v>3</v>
      </c>
      <c r="AM630">
        <v>6</v>
      </c>
      <c r="AN630">
        <v>3</v>
      </c>
      <c r="AO630">
        <v>1</v>
      </c>
      <c r="AP630">
        <v>2</v>
      </c>
      <c r="AQ630">
        <v>2</v>
      </c>
      <c r="AR630">
        <v>7</v>
      </c>
      <c r="AS630">
        <v>7</v>
      </c>
      <c r="AT630">
        <v>7</v>
      </c>
      <c r="AU630">
        <v>7</v>
      </c>
      <c r="AV630">
        <v>7</v>
      </c>
      <c r="AW630">
        <v>7</v>
      </c>
      <c r="AX630">
        <v>1</v>
      </c>
      <c r="AY630">
        <v>1</v>
      </c>
      <c r="AZ630" t="s">
        <v>199</v>
      </c>
      <c r="BA630">
        <f>SUM(BC630:BG630)</f>
        <v>12</v>
      </c>
      <c r="BB630">
        <f>SUM(BH630:BR630)</f>
        <v>7</v>
      </c>
      <c r="BC630" s="3">
        <v>9</v>
      </c>
      <c r="BD630" s="3">
        <v>2</v>
      </c>
      <c r="BE630" s="3">
        <v>1</v>
      </c>
      <c r="BF630" s="3">
        <v>0</v>
      </c>
      <c r="BG630" s="3">
        <v>0</v>
      </c>
      <c r="BH630">
        <v>0</v>
      </c>
      <c r="BI630">
        <v>0</v>
      </c>
      <c r="BJ630">
        <v>0</v>
      </c>
      <c r="BK630">
        <v>2</v>
      </c>
      <c r="BL630">
        <v>0</v>
      </c>
      <c r="BM630">
        <v>5</v>
      </c>
      <c r="BN630">
        <v>0</v>
      </c>
      <c r="BO630">
        <v>0</v>
      </c>
      <c r="BP630">
        <v>0</v>
      </c>
      <c r="BQ630">
        <v>0</v>
      </c>
      <c r="BR630">
        <v>0</v>
      </c>
      <c r="BS630" t="s">
        <v>567</v>
      </c>
      <c r="BT630" t="s">
        <v>484</v>
      </c>
      <c r="BU630" t="s">
        <v>569</v>
      </c>
      <c r="BV630" t="s">
        <v>486</v>
      </c>
    </row>
    <row r="631" spans="1:74" x14ac:dyDescent="0.2">
      <c r="A631">
        <v>649</v>
      </c>
      <c r="B631">
        <v>74</v>
      </c>
      <c r="C631" t="s">
        <v>151</v>
      </c>
      <c r="E631" t="s">
        <v>73</v>
      </c>
      <c r="F631">
        <v>27</v>
      </c>
      <c r="G631">
        <v>2000</v>
      </c>
      <c r="H631">
        <v>22</v>
      </c>
      <c r="I631" t="s">
        <v>69</v>
      </c>
      <c r="J631">
        <v>2</v>
      </c>
      <c r="K631" t="s">
        <v>644</v>
      </c>
      <c r="L631" t="s">
        <v>647</v>
      </c>
      <c r="M631">
        <v>4</v>
      </c>
      <c r="N631">
        <v>61</v>
      </c>
      <c r="O631" t="s">
        <v>384</v>
      </c>
      <c r="P631" t="s">
        <v>361</v>
      </c>
      <c r="Q631" t="s">
        <v>714</v>
      </c>
      <c r="R631" t="s">
        <v>717</v>
      </c>
      <c r="S631" t="s">
        <v>396</v>
      </c>
      <c r="T631" t="s">
        <v>292</v>
      </c>
      <c r="U631" t="s">
        <v>387</v>
      </c>
      <c r="V631" t="s">
        <v>366</v>
      </c>
      <c r="W631" t="s">
        <v>200</v>
      </c>
      <c r="X631" t="s">
        <v>199</v>
      </c>
      <c r="Y631" t="s">
        <v>274</v>
      </c>
      <c r="Z631">
        <v>4</v>
      </c>
      <c r="AA631">
        <v>1</v>
      </c>
      <c r="AB631">
        <v>6</v>
      </c>
      <c r="AC631">
        <v>7</v>
      </c>
      <c r="AD631">
        <v>7</v>
      </c>
      <c r="AE631">
        <v>7</v>
      </c>
      <c r="AF631">
        <v>2</v>
      </c>
      <c r="AG631">
        <v>1</v>
      </c>
      <c r="AH631">
        <v>2</v>
      </c>
      <c r="AI631">
        <v>1</v>
      </c>
      <c r="AJ631">
        <v>6</v>
      </c>
      <c r="AK631">
        <v>5</v>
      </c>
      <c r="AL631">
        <v>3</v>
      </c>
      <c r="AM631">
        <v>2</v>
      </c>
      <c r="AN631">
        <v>59</v>
      </c>
      <c r="AO631">
        <v>7</v>
      </c>
      <c r="AP631">
        <v>4</v>
      </c>
      <c r="AQ631">
        <v>4</v>
      </c>
      <c r="AR631">
        <v>2</v>
      </c>
      <c r="AS631">
        <v>2</v>
      </c>
      <c r="AT631">
        <v>6</v>
      </c>
      <c r="AU631">
        <v>7</v>
      </c>
      <c r="AV631">
        <v>1</v>
      </c>
      <c r="AW631">
        <v>6</v>
      </c>
      <c r="AX631">
        <v>2</v>
      </c>
      <c r="AY631" cm="1">
        <f t="array" ref="AY631">_xlfn.IFS(AZ631="Positive",1, AZ631="Negative",1, AZ631="Neutral",0)</f>
        <v>1</v>
      </c>
      <c r="AZ631" t="s">
        <v>199</v>
      </c>
      <c r="BA631">
        <v>0</v>
      </c>
      <c r="BB631">
        <v>5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>
        <v>0</v>
      </c>
      <c r="BI631">
        <v>2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2</v>
      </c>
      <c r="BR631">
        <v>0</v>
      </c>
      <c r="BS631" t="s">
        <v>414</v>
      </c>
      <c r="BT631" t="s">
        <v>475</v>
      </c>
      <c r="BU631" t="s">
        <v>417</v>
      </c>
      <c r="BV631" t="s">
        <v>476</v>
      </c>
    </row>
    <row r="632" spans="1:74" hidden="1" x14ac:dyDescent="0.2">
      <c r="A632">
        <v>650</v>
      </c>
      <c r="B632">
        <v>75</v>
      </c>
      <c r="C632" t="s">
        <v>152</v>
      </c>
      <c r="E632" t="s">
        <v>88</v>
      </c>
      <c r="F632">
        <v>27</v>
      </c>
      <c r="G632">
        <v>2000</v>
      </c>
      <c r="H632">
        <v>22</v>
      </c>
      <c r="I632" t="s">
        <v>69</v>
      </c>
      <c r="J632">
        <v>2</v>
      </c>
      <c r="K632" t="s">
        <v>652</v>
      </c>
      <c r="L632" t="s">
        <v>689</v>
      </c>
      <c r="M632">
        <v>11</v>
      </c>
      <c r="N632">
        <v>43</v>
      </c>
      <c r="O632" t="s">
        <v>571</v>
      </c>
      <c r="P632" t="s">
        <v>572</v>
      </c>
      <c r="Q632" t="s">
        <v>753</v>
      </c>
      <c r="R632" t="s">
        <v>769</v>
      </c>
      <c r="S632" t="s">
        <v>514</v>
      </c>
      <c r="T632" t="s">
        <v>336</v>
      </c>
      <c r="U632" t="s">
        <v>573</v>
      </c>
      <c r="V632" t="s">
        <v>574</v>
      </c>
      <c r="W632" t="s">
        <v>200</v>
      </c>
      <c r="X632" t="s">
        <v>199</v>
      </c>
      <c r="Y632" t="s">
        <v>274</v>
      </c>
      <c r="Z632">
        <v>5</v>
      </c>
      <c r="AA632">
        <v>3</v>
      </c>
      <c r="AB632">
        <v>7</v>
      </c>
      <c r="AC632">
        <v>1</v>
      </c>
      <c r="AD632">
        <v>1</v>
      </c>
      <c r="AE632">
        <v>7</v>
      </c>
      <c r="AF632">
        <v>1</v>
      </c>
      <c r="AG632">
        <v>1</v>
      </c>
      <c r="AH632">
        <v>2</v>
      </c>
      <c r="AI632">
        <v>1</v>
      </c>
      <c r="AJ632">
        <v>4</v>
      </c>
      <c r="AK632">
        <v>2</v>
      </c>
      <c r="AL632">
        <v>1</v>
      </c>
      <c r="AM632">
        <v>7</v>
      </c>
      <c r="AN632">
        <v>84</v>
      </c>
      <c r="AO632">
        <v>5</v>
      </c>
      <c r="AP632">
        <v>7</v>
      </c>
      <c r="AQ632">
        <v>6</v>
      </c>
      <c r="AR632">
        <v>2</v>
      </c>
      <c r="AS632">
        <v>3</v>
      </c>
      <c r="AT632">
        <v>2</v>
      </c>
      <c r="AU632">
        <v>2</v>
      </c>
      <c r="AV632">
        <v>2</v>
      </c>
      <c r="AW632">
        <v>2</v>
      </c>
      <c r="AX632">
        <v>3</v>
      </c>
      <c r="AY632" cm="1">
        <f t="array" ref="AY632">_xlfn.IFS(AZ632="Positive",1, AZ632="Negative",1, AZ632="Neutral",0)</f>
        <v>1</v>
      </c>
      <c r="AZ632" t="s">
        <v>199</v>
      </c>
      <c r="BA632">
        <v>12</v>
      </c>
      <c r="BB632">
        <v>1</v>
      </c>
      <c r="BC632" s="3">
        <v>5</v>
      </c>
      <c r="BD632" s="3">
        <v>0</v>
      </c>
      <c r="BE632" s="3">
        <v>1</v>
      </c>
      <c r="BF632" s="3">
        <v>4</v>
      </c>
      <c r="BG632" s="3">
        <v>2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 t="s">
        <v>399</v>
      </c>
      <c r="BT632">
        <v>3</v>
      </c>
      <c r="BU632" t="s">
        <v>400</v>
      </c>
      <c r="BV632" t="s">
        <v>309</v>
      </c>
    </row>
    <row r="633" spans="1:74" hidden="1" x14ac:dyDescent="0.2">
      <c r="A633">
        <v>651</v>
      </c>
      <c r="B633">
        <v>76</v>
      </c>
      <c r="C633" t="s">
        <v>153</v>
      </c>
      <c r="E633" t="s">
        <v>82</v>
      </c>
      <c r="F633">
        <v>15</v>
      </c>
      <c r="G633">
        <v>1999</v>
      </c>
      <c r="H633">
        <v>23</v>
      </c>
      <c r="I633" t="s">
        <v>64</v>
      </c>
      <c r="J633">
        <v>1</v>
      </c>
      <c r="K633" t="s">
        <v>658</v>
      </c>
      <c r="L633" t="s">
        <v>669</v>
      </c>
      <c r="M633">
        <v>11</v>
      </c>
      <c r="N633">
        <v>57</v>
      </c>
      <c r="O633" t="s">
        <v>346</v>
      </c>
      <c r="P633" t="s">
        <v>369</v>
      </c>
      <c r="Q633" t="s">
        <v>729</v>
      </c>
      <c r="R633" t="s">
        <v>745</v>
      </c>
      <c r="S633" t="s">
        <v>514</v>
      </c>
      <c r="T633" t="s">
        <v>575</v>
      </c>
      <c r="U633" t="s">
        <v>350</v>
      </c>
      <c r="V633" t="s">
        <v>374</v>
      </c>
      <c r="W633" t="s">
        <v>200</v>
      </c>
      <c r="X633" t="s">
        <v>199</v>
      </c>
      <c r="Y633" t="s">
        <v>274</v>
      </c>
      <c r="Z633">
        <v>4</v>
      </c>
      <c r="AA633">
        <v>6</v>
      </c>
      <c r="AB633">
        <v>6</v>
      </c>
      <c r="AC633">
        <v>6</v>
      </c>
      <c r="AD633">
        <v>1</v>
      </c>
      <c r="AE633">
        <v>6</v>
      </c>
      <c r="AF633">
        <v>2</v>
      </c>
      <c r="AG633">
        <v>5</v>
      </c>
      <c r="AH633">
        <v>6</v>
      </c>
      <c r="AI633">
        <v>1</v>
      </c>
      <c r="AJ633">
        <v>5</v>
      </c>
      <c r="AK633">
        <v>6</v>
      </c>
      <c r="AL633">
        <v>6</v>
      </c>
      <c r="AM633">
        <v>6</v>
      </c>
      <c r="AN633">
        <v>170</v>
      </c>
      <c r="AO633">
        <v>2</v>
      </c>
      <c r="AP633">
        <v>6</v>
      </c>
      <c r="AQ633">
        <v>6</v>
      </c>
      <c r="AR633">
        <v>6</v>
      </c>
      <c r="AS633">
        <v>2</v>
      </c>
      <c r="AT633">
        <v>6</v>
      </c>
      <c r="AU633">
        <v>6</v>
      </c>
      <c r="AV633">
        <v>6</v>
      </c>
      <c r="AW633">
        <v>6</v>
      </c>
      <c r="AX633">
        <v>3</v>
      </c>
      <c r="AY633" cm="1">
        <f t="array" ref="AY633">_xlfn.IFS(AZ633="Positive",1, AZ633="Negative",1, AZ633="Neutral",0)</f>
        <v>1</v>
      </c>
      <c r="AZ633" t="s">
        <v>199</v>
      </c>
      <c r="BA633">
        <v>16</v>
      </c>
      <c r="BB633">
        <v>0</v>
      </c>
      <c r="BC633" s="3">
        <v>12</v>
      </c>
      <c r="BD633" s="3">
        <v>0</v>
      </c>
      <c r="BE633" s="3">
        <v>1</v>
      </c>
      <c r="BF633" s="3">
        <v>2</v>
      </c>
      <c r="BG633" s="3">
        <v>1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 t="s">
        <v>467</v>
      </c>
      <c r="BT633" t="s">
        <v>484</v>
      </c>
      <c r="BU633" t="s">
        <v>469</v>
      </c>
      <c r="BV633" t="s">
        <v>486</v>
      </c>
    </row>
    <row r="634" spans="1:74" hidden="1" x14ac:dyDescent="0.2">
      <c r="A634">
        <v>652</v>
      </c>
      <c r="B634">
        <v>77</v>
      </c>
      <c r="C634" t="s">
        <v>154</v>
      </c>
      <c r="E634" t="s">
        <v>73</v>
      </c>
      <c r="F634">
        <v>8</v>
      </c>
      <c r="G634">
        <v>2000</v>
      </c>
      <c r="H634">
        <v>22</v>
      </c>
      <c r="I634" t="s">
        <v>64</v>
      </c>
      <c r="J634">
        <v>1</v>
      </c>
      <c r="K634" t="s">
        <v>690</v>
      </c>
      <c r="L634" t="s">
        <v>650</v>
      </c>
      <c r="M634">
        <v>11</v>
      </c>
      <c r="N634">
        <v>56</v>
      </c>
      <c r="O634" t="s">
        <v>278</v>
      </c>
      <c r="P634" t="s">
        <v>307</v>
      </c>
      <c r="Q634" t="s">
        <v>770</v>
      </c>
      <c r="R634" t="s">
        <v>720</v>
      </c>
      <c r="S634" t="s">
        <v>514</v>
      </c>
      <c r="T634" t="s">
        <v>423</v>
      </c>
      <c r="U634" t="s">
        <v>380</v>
      </c>
      <c r="V634" t="s">
        <v>312</v>
      </c>
      <c r="W634" t="s">
        <v>200</v>
      </c>
      <c r="X634" t="s">
        <v>199</v>
      </c>
      <c r="Y634" t="s">
        <v>274</v>
      </c>
      <c r="Z634">
        <v>7</v>
      </c>
      <c r="AA634">
        <v>7</v>
      </c>
      <c r="AB634">
        <v>7</v>
      </c>
      <c r="AC634">
        <v>7</v>
      </c>
      <c r="AD634">
        <v>1</v>
      </c>
      <c r="AE634">
        <v>1</v>
      </c>
      <c r="AF634">
        <v>7</v>
      </c>
      <c r="AG634">
        <v>2</v>
      </c>
      <c r="AH634">
        <v>7</v>
      </c>
      <c r="AI634">
        <v>1</v>
      </c>
      <c r="AJ634">
        <v>7</v>
      </c>
      <c r="AK634">
        <v>7</v>
      </c>
      <c r="AL634">
        <v>7</v>
      </c>
      <c r="AM634">
        <v>2</v>
      </c>
      <c r="AN634">
        <v>13</v>
      </c>
      <c r="AO634">
        <v>2</v>
      </c>
      <c r="AP634">
        <v>7</v>
      </c>
      <c r="AQ634">
        <v>6</v>
      </c>
      <c r="AR634">
        <v>6</v>
      </c>
      <c r="AS634">
        <v>6</v>
      </c>
      <c r="AT634">
        <v>6</v>
      </c>
      <c r="AU634">
        <v>6</v>
      </c>
      <c r="AV634">
        <v>6</v>
      </c>
      <c r="AW634">
        <v>7</v>
      </c>
      <c r="AX634">
        <v>3</v>
      </c>
      <c r="AY634" cm="1">
        <f t="array" ref="AY634">_xlfn.IFS(AZ634="Positive",1, AZ634="Negative",1, AZ634="Neutral",0)</f>
        <v>1</v>
      </c>
      <c r="AZ634" t="s">
        <v>199</v>
      </c>
      <c r="BA634">
        <v>15</v>
      </c>
      <c r="BB634">
        <v>4</v>
      </c>
      <c r="BC634" s="3">
        <v>9</v>
      </c>
      <c r="BD634" s="3">
        <v>2</v>
      </c>
      <c r="BE634" s="3">
        <v>2</v>
      </c>
      <c r="BF634" s="3">
        <v>0</v>
      </c>
      <c r="BG634" s="3">
        <v>2</v>
      </c>
      <c r="BH634">
        <v>0</v>
      </c>
      <c r="BI634">
        <v>0</v>
      </c>
      <c r="BJ634">
        <v>4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 t="s">
        <v>313</v>
      </c>
      <c r="BT634" t="s">
        <v>576</v>
      </c>
      <c r="BU634" t="s">
        <v>316</v>
      </c>
      <c r="BV634" t="s">
        <v>577</v>
      </c>
    </row>
    <row r="635" spans="1:74" hidden="1" x14ac:dyDescent="0.2">
      <c r="A635">
        <v>653</v>
      </c>
      <c r="B635">
        <v>78</v>
      </c>
      <c r="C635" t="s">
        <v>155</v>
      </c>
      <c r="E635" t="s">
        <v>93</v>
      </c>
      <c r="F635">
        <v>7</v>
      </c>
      <c r="G635">
        <v>1999</v>
      </c>
      <c r="H635">
        <v>23</v>
      </c>
      <c r="I635" t="s">
        <v>64</v>
      </c>
      <c r="J635">
        <v>1</v>
      </c>
      <c r="K635" t="s">
        <v>664</v>
      </c>
      <c r="L635" t="s">
        <v>691</v>
      </c>
      <c r="M635">
        <v>4</v>
      </c>
      <c r="N635">
        <v>76</v>
      </c>
      <c r="O635" t="s">
        <v>562</v>
      </c>
      <c r="P635" t="s">
        <v>278</v>
      </c>
      <c r="Q635" t="s">
        <v>738</v>
      </c>
      <c r="R635" t="s">
        <v>771</v>
      </c>
      <c r="S635" t="s">
        <v>396</v>
      </c>
      <c r="T635" t="s">
        <v>580</v>
      </c>
      <c r="U635" t="s">
        <v>581</v>
      </c>
      <c r="V635" t="s">
        <v>284</v>
      </c>
      <c r="W635" t="s">
        <v>200</v>
      </c>
      <c r="X635" t="s">
        <v>199</v>
      </c>
      <c r="Y635" t="s">
        <v>274</v>
      </c>
      <c r="Z635">
        <v>6</v>
      </c>
      <c r="AA635">
        <v>4</v>
      </c>
      <c r="AB635">
        <v>4</v>
      </c>
      <c r="AC635">
        <v>6</v>
      </c>
      <c r="AD635">
        <v>1</v>
      </c>
      <c r="AE635">
        <v>7</v>
      </c>
      <c r="AF635">
        <v>4</v>
      </c>
      <c r="AG635">
        <v>2</v>
      </c>
      <c r="AH635">
        <v>4</v>
      </c>
      <c r="AI635">
        <v>2</v>
      </c>
      <c r="AJ635">
        <v>5</v>
      </c>
      <c r="AK635">
        <v>2</v>
      </c>
      <c r="AL635">
        <v>1</v>
      </c>
      <c r="AM635">
        <v>3</v>
      </c>
      <c r="AN635">
        <v>19</v>
      </c>
      <c r="AO635">
        <v>1</v>
      </c>
      <c r="AP635">
        <v>5</v>
      </c>
      <c r="AQ635">
        <v>5</v>
      </c>
      <c r="AR635">
        <v>4</v>
      </c>
      <c r="AS635">
        <v>3</v>
      </c>
      <c r="AT635">
        <v>4</v>
      </c>
      <c r="AU635">
        <v>5</v>
      </c>
      <c r="AV635">
        <v>5</v>
      </c>
      <c r="AW635">
        <v>7</v>
      </c>
      <c r="AX635">
        <v>2</v>
      </c>
      <c r="AY635" cm="1">
        <f t="array" ref="AY635">_xlfn.IFS(AZ635="Positive",1, AZ635="Negative",1, AZ635="Neutral",0)</f>
        <v>1</v>
      </c>
      <c r="AZ635" t="s">
        <v>199</v>
      </c>
      <c r="BA635">
        <v>5</v>
      </c>
      <c r="BB635">
        <v>2</v>
      </c>
      <c r="BC635" s="3">
        <v>2</v>
      </c>
      <c r="BD635" s="3">
        <v>0</v>
      </c>
      <c r="BE635" s="3">
        <v>2</v>
      </c>
      <c r="BF635" s="3">
        <v>1</v>
      </c>
      <c r="BG635" s="3">
        <v>0</v>
      </c>
      <c r="BH635">
        <v>0</v>
      </c>
      <c r="BI635">
        <v>0</v>
      </c>
      <c r="BJ635">
        <v>0</v>
      </c>
      <c r="BK635">
        <v>0</v>
      </c>
      <c r="BL635">
        <v>2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 t="s">
        <v>305</v>
      </c>
      <c r="BT635" t="s">
        <v>578</v>
      </c>
      <c r="BU635" t="s">
        <v>308</v>
      </c>
      <c r="BV635" t="s">
        <v>579</v>
      </c>
    </row>
    <row r="636" spans="1:74" hidden="1" x14ac:dyDescent="0.2">
      <c r="A636">
        <v>654</v>
      </c>
      <c r="B636">
        <v>79</v>
      </c>
      <c r="C636" t="s">
        <v>156</v>
      </c>
      <c r="E636" t="s">
        <v>93</v>
      </c>
      <c r="F636">
        <v>7</v>
      </c>
      <c r="G636">
        <v>1999</v>
      </c>
      <c r="H636">
        <v>23</v>
      </c>
      <c r="I636" t="s">
        <v>69</v>
      </c>
      <c r="J636">
        <v>2</v>
      </c>
      <c r="K636" t="s">
        <v>637</v>
      </c>
      <c r="L636" t="s">
        <v>679</v>
      </c>
      <c r="M636">
        <v>10</v>
      </c>
      <c r="N636">
        <v>62</v>
      </c>
      <c r="O636" t="s">
        <v>460</v>
      </c>
      <c r="P636" t="s">
        <v>288</v>
      </c>
      <c r="Q636" t="s">
        <v>706</v>
      </c>
      <c r="R636" t="s">
        <v>758</v>
      </c>
      <c r="S636" t="s">
        <v>378</v>
      </c>
      <c r="T636" t="s">
        <v>319</v>
      </c>
      <c r="U636" t="s">
        <v>582</v>
      </c>
      <c r="V636" t="s">
        <v>294</v>
      </c>
      <c r="W636" t="s">
        <v>200</v>
      </c>
      <c r="X636" t="s">
        <v>199</v>
      </c>
      <c r="Y636" t="s">
        <v>274</v>
      </c>
      <c r="Z636">
        <v>6</v>
      </c>
      <c r="AA636">
        <v>5</v>
      </c>
      <c r="AB636">
        <v>7</v>
      </c>
      <c r="AC636">
        <v>4</v>
      </c>
      <c r="AD636">
        <v>5</v>
      </c>
      <c r="AE636">
        <v>6</v>
      </c>
      <c r="AF636">
        <v>1</v>
      </c>
      <c r="AG636">
        <v>2</v>
      </c>
      <c r="AH636">
        <v>6</v>
      </c>
      <c r="AI636">
        <v>1</v>
      </c>
      <c r="AJ636">
        <v>5</v>
      </c>
      <c r="AK636">
        <v>4</v>
      </c>
      <c r="AL636">
        <v>3</v>
      </c>
      <c r="AM636">
        <v>5</v>
      </c>
      <c r="AN636">
        <v>7</v>
      </c>
      <c r="AO636">
        <v>2</v>
      </c>
      <c r="AP636">
        <v>5</v>
      </c>
      <c r="AQ636">
        <v>5</v>
      </c>
      <c r="AR636">
        <v>5</v>
      </c>
      <c r="AS636">
        <v>3</v>
      </c>
      <c r="AT636">
        <v>4</v>
      </c>
      <c r="AU636">
        <v>5</v>
      </c>
      <c r="AV636">
        <v>5</v>
      </c>
      <c r="AW636">
        <v>6</v>
      </c>
      <c r="AX636">
        <v>2</v>
      </c>
      <c r="AY636" cm="1">
        <f t="array" ref="AY636">_xlfn.IFS(AZ636="Positive",1, AZ636="Negative",1, AZ636="Neutral",0)</f>
        <v>1</v>
      </c>
      <c r="AZ636" t="s">
        <v>199</v>
      </c>
      <c r="BA636">
        <v>18</v>
      </c>
      <c r="BB636">
        <v>0</v>
      </c>
      <c r="BC636" s="3">
        <v>13</v>
      </c>
      <c r="BD636" s="3">
        <v>0</v>
      </c>
      <c r="BE636" s="3">
        <v>1</v>
      </c>
      <c r="BF636" s="3">
        <v>4</v>
      </c>
      <c r="BG636" s="3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 t="s">
        <v>567</v>
      </c>
      <c r="BT636">
        <v>2</v>
      </c>
      <c r="BU636" t="s">
        <v>569</v>
      </c>
      <c r="BV636" t="s">
        <v>340</v>
      </c>
    </row>
    <row r="637" spans="1:74" hidden="1" x14ac:dyDescent="0.2">
      <c r="A637">
        <v>655</v>
      </c>
      <c r="B637">
        <v>80</v>
      </c>
      <c r="C637" t="s">
        <v>157</v>
      </c>
      <c r="E637" t="s">
        <v>73</v>
      </c>
      <c r="F637">
        <v>10</v>
      </c>
      <c r="G637">
        <v>1999</v>
      </c>
      <c r="H637">
        <v>23</v>
      </c>
      <c r="I637" t="s">
        <v>64</v>
      </c>
      <c r="J637">
        <v>1</v>
      </c>
      <c r="K637" t="s">
        <v>651</v>
      </c>
      <c r="L637" t="s">
        <v>692</v>
      </c>
      <c r="M637">
        <v>11</v>
      </c>
      <c r="N637">
        <v>72</v>
      </c>
      <c r="O637" t="s">
        <v>408</v>
      </c>
      <c r="P637" t="s">
        <v>583</v>
      </c>
      <c r="Q637" t="s">
        <v>721</v>
      </c>
      <c r="R637" t="s">
        <v>772</v>
      </c>
      <c r="S637" t="s">
        <v>514</v>
      </c>
      <c r="T637" t="s">
        <v>379</v>
      </c>
      <c r="U637" t="s">
        <v>412</v>
      </c>
      <c r="V637" t="s">
        <v>584</v>
      </c>
      <c r="W637" t="s">
        <v>200</v>
      </c>
      <c r="X637" t="s">
        <v>199</v>
      </c>
      <c r="Y637" t="s">
        <v>274</v>
      </c>
      <c r="Z637">
        <v>7</v>
      </c>
      <c r="AA637">
        <v>6</v>
      </c>
      <c r="AB637">
        <v>7</v>
      </c>
      <c r="AC637">
        <v>7</v>
      </c>
      <c r="AD637">
        <v>1</v>
      </c>
      <c r="AE637">
        <v>7</v>
      </c>
      <c r="AF637">
        <v>7</v>
      </c>
      <c r="AG637">
        <v>1</v>
      </c>
      <c r="AH637">
        <v>5</v>
      </c>
      <c r="AI637">
        <v>1</v>
      </c>
      <c r="AJ637">
        <v>6</v>
      </c>
      <c r="AK637">
        <v>5</v>
      </c>
      <c r="AL637">
        <v>5</v>
      </c>
      <c r="AM637">
        <v>7</v>
      </c>
      <c r="AN637">
        <v>4</v>
      </c>
      <c r="AO637">
        <v>7</v>
      </c>
      <c r="AP637">
        <v>7</v>
      </c>
      <c r="AQ637">
        <v>7</v>
      </c>
      <c r="AR637">
        <v>6</v>
      </c>
      <c r="AS637">
        <v>7</v>
      </c>
      <c r="AT637">
        <v>7</v>
      </c>
      <c r="AU637">
        <v>7</v>
      </c>
      <c r="AV637">
        <v>7</v>
      </c>
      <c r="AW637">
        <v>7</v>
      </c>
      <c r="AX637">
        <v>3</v>
      </c>
      <c r="AY637" cm="1">
        <f t="array" ref="AY637">_xlfn.IFS(AZ637="Positive",1, AZ637="Negative",1, AZ637="Neutral",0)</f>
        <v>1</v>
      </c>
      <c r="AZ637" t="s">
        <v>199</v>
      </c>
      <c r="BA637">
        <v>8</v>
      </c>
      <c r="BB637">
        <v>0</v>
      </c>
      <c r="BC637" s="3">
        <v>5</v>
      </c>
      <c r="BD637" s="3">
        <v>0</v>
      </c>
      <c r="BE637" s="3">
        <v>1</v>
      </c>
      <c r="BF637" s="3">
        <v>1</v>
      </c>
      <c r="BG637" s="3">
        <v>1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4</v>
      </c>
      <c r="BT637" t="s">
        <v>492</v>
      </c>
      <c r="BU637" t="s">
        <v>370</v>
      </c>
      <c r="BV637" t="s">
        <v>494</v>
      </c>
    </row>
    <row r="638" spans="1:74" hidden="1" x14ac:dyDescent="0.2">
      <c r="A638">
        <v>656</v>
      </c>
      <c r="B638">
        <v>81</v>
      </c>
      <c r="C638" t="s">
        <v>158</v>
      </c>
      <c r="E638" t="s">
        <v>97</v>
      </c>
      <c r="F638">
        <v>10</v>
      </c>
      <c r="G638">
        <v>2000</v>
      </c>
      <c r="H638">
        <v>22</v>
      </c>
      <c r="I638" t="s">
        <v>69</v>
      </c>
      <c r="J638">
        <v>2</v>
      </c>
      <c r="K638" t="s">
        <v>517</v>
      </c>
      <c r="L638" t="s">
        <v>693</v>
      </c>
      <c r="M638">
        <v>2</v>
      </c>
      <c r="N638">
        <v>49</v>
      </c>
      <c r="O638" t="s">
        <v>585</v>
      </c>
      <c r="P638" t="s">
        <v>277</v>
      </c>
      <c r="Q638" t="s">
        <v>744</v>
      </c>
      <c r="R638" t="s">
        <v>773</v>
      </c>
      <c r="S638" t="s">
        <v>281</v>
      </c>
      <c r="T638" t="s">
        <v>491</v>
      </c>
      <c r="U638" t="s">
        <v>587</v>
      </c>
      <c r="V638" t="s">
        <v>535</v>
      </c>
      <c r="W638" t="s">
        <v>200</v>
      </c>
      <c r="X638" t="s">
        <v>199</v>
      </c>
      <c r="Y638" t="s">
        <v>274</v>
      </c>
      <c r="Z638">
        <v>7</v>
      </c>
      <c r="AA638">
        <v>7</v>
      </c>
      <c r="AB638">
        <v>7</v>
      </c>
      <c r="AC638">
        <v>7</v>
      </c>
      <c r="AD638">
        <v>2</v>
      </c>
      <c r="AE638">
        <v>4</v>
      </c>
      <c r="AF638">
        <v>6</v>
      </c>
      <c r="AG638">
        <v>1</v>
      </c>
      <c r="AH638">
        <v>7</v>
      </c>
      <c r="AI638">
        <v>1</v>
      </c>
      <c r="AJ638">
        <v>7</v>
      </c>
      <c r="AK638">
        <v>6</v>
      </c>
      <c r="AL638">
        <v>7</v>
      </c>
      <c r="AM638">
        <v>1</v>
      </c>
      <c r="AN638">
        <v>1</v>
      </c>
      <c r="AO638">
        <v>5</v>
      </c>
      <c r="AP638">
        <v>7</v>
      </c>
      <c r="AQ638">
        <v>7</v>
      </c>
      <c r="AR638">
        <v>6</v>
      </c>
      <c r="AS638">
        <v>6</v>
      </c>
      <c r="AT638">
        <v>7</v>
      </c>
      <c r="AU638">
        <v>7</v>
      </c>
      <c r="AV638">
        <v>7</v>
      </c>
      <c r="AW638">
        <v>7</v>
      </c>
      <c r="AX638">
        <v>3</v>
      </c>
      <c r="AY638" cm="1">
        <f t="array" ref="AY638">_xlfn.IFS(AZ638="Positive",1, AZ638="Negative",1, AZ638="Neutral",0)</f>
        <v>1</v>
      </c>
      <c r="AZ638" t="s">
        <v>199</v>
      </c>
      <c r="BA638">
        <v>6</v>
      </c>
      <c r="BB638">
        <v>1</v>
      </c>
      <c r="BC638" s="3">
        <v>6</v>
      </c>
      <c r="BD638" s="3">
        <v>0</v>
      </c>
      <c r="BE638" s="3">
        <v>0</v>
      </c>
      <c r="BF638" s="3">
        <v>0</v>
      </c>
      <c r="BG638" s="3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1</v>
      </c>
      <c r="BS638" t="s">
        <v>492</v>
      </c>
      <c r="BT638" t="s">
        <v>345</v>
      </c>
      <c r="BU638" t="s">
        <v>586</v>
      </c>
      <c r="BV638" t="s">
        <v>348</v>
      </c>
    </row>
    <row r="639" spans="1:74" hidden="1" x14ac:dyDescent="0.2">
      <c r="A639">
        <v>657</v>
      </c>
      <c r="B639">
        <v>82</v>
      </c>
      <c r="C639" t="s">
        <v>159</v>
      </c>
      <c r="E639" t="s">
        <v>78</v>
      </c>
      <c r="F639">
        <v>11</v>
      </c>
      <c r="G639">
        <v>2000</v>
      </c>
      <c r="H639">
        <v>22</v>
      </c>
      <c r="I639" t="s">
        <v>69</v>
      </c>
      <c r="J639">
        <v>2</v>
      </c>
      <c r="K639" t="s">
        <v>694</v>
      </c>
      <c r="L639" t="s">
        <v>660</v>
      </c>
      <c r="M639">
        <v>16</v>
      </c>
      <c r="N639">
        <v>55</v>
      </c>
      <c r="O639" t="s">
        <v>572</v>
      </c>
      <c r="P639" t="s">
        <v>338</v>
      </c>
      <c r="Q639" t="s">
        <v>774</v>
      </c>
      <c r="R639" t="s">
        <v>733</v>
      </c>
      <c r="S639" t="s">
        <v>588</v>
      </c>
      <c r="T639" t="s">
        <v>404</v>
      </c>
      <c r="U639" t="s">
        <v>589</v>
      </c>
      <c r="V639" t="s">
        <v>504</v>
      </c>
      <c r="W639" t="s">
        <v>200</v>
      </c>
      <c r="X639" t="s">
        <v>199</v>
      </c>
      <c r="Y639" t="s">
        <v>274</v>
      </c>
      <c r="Z639">
        <v>6</v>
      </c>
      <c r="AA639">
        <v>4</v>
      </c>
      <c r="AB639">
        <v>5</v>
      </c>
      <c r="AC639">
        <v>3</v>
      </c>
      <c r="AD639">
        <v>2</v>
      </c>
      <c r="AE639">
        <v>3</v>
      </c>
      <c r="AF639">
        <v>2</v>
      </c>
      <c r="AG639">
        <v>2</v>
      </c>
      <c r="AH639">
        <v>5</v>
      </c>
      <c r="AI639">
        <v>1</v>
      </c>
      <c r="AJ639">
        <v>5</v>
      </c>
      <c r="AK639">
        <v>5</v>
      </c>
      <c r="AL639">
        <v>5</v>
      </c>
      <c r="AM639">
        <v>5</v>
      </c>
      <c r="AN639">
        <v>14</v>
      </c>
      <c r="AO639">
        <v>3</v>
      </c>
      <c r="AP639">
        <v>5</v>
      </c>
      <c r="AQ639">
        <v>5</v>
      </c>
      <c r="AR639">
        <v>5</v>
      </c>
      <c r="AS639">
        <v>5</v>
      </c>
      <c r="AT639">
        <v>5</v>
      </c>
      <c r="AU639">
        <v>4</v>
      </c>
      <c r="AV639">
        <v>5</v>
      </c>
      <c r="AW639">
        <v>4</v>
      </c>
      <c r="AX639">
        <v>2</v>
      </c>
      <c r="AY639" cm="1">
        <f t="array" ref="AY639">_xlfn.IFS(AZ639="Positive",1, AZ639="Negative",1, AZ639="Neutral",0)</f>
        <v>1</v>
      </c>
      <c r="AZ639" t="s">
        <v>199</v>
      </c>
      <c r="BA639">
        <v>4</v>
      </c>
      <c r="BB639">
        <v>0</v>
      </c>
      <c r="BC639" s="3">
        <v>3</v>
      </c>
      <c r="BD639" s="3">
        <v>0</v>
      </c>
      <c r="BE639" s="3">
        <v>0</v>
      </c>
      <c r="BF639" s="3">
        <v>1</v>
      </c>
      <c r="BG639" s="3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 t="s">
        <v>295</v>
      </c>
      <c r="BT639" t="s">
        <v>367</v>
      </c>
      <c r="BU639" t="s">
        <v>299</v>
      </c>
      <c r="BV639" t="s">
        <v>371</v>
      </c>
    </row>
    <row r="640" spans="1:74" hidden="1" x14ac:dyDescent="0.2">
      <c r="A640">
        <v>658</v>
      </c>
      <c r="B640">
        <v>83</v>
      </c>
      <c r="C640" t="s">
        <v>160</v>
      </c>
      <c r="E640" t="s">
        <v>68</v>
      </c>
      <c r="F640">
        <v>23</v>
      </c>
      <c r="G640">
        <v>1998</v>
      </c>
      <c r="H640">
        <v>24</v>
      </c>
      <c r="I640" t="s">
        <v>69</v>
      </c>
      <c r="J640">
        <v>2</v>
      </c>
      <c r="K640" t="s">
        <v>694</v>
      </c>
      <c r="L640" t="s">
        <v>662</v>
      </c>
      <c r="M640">
        <v>10</v>
      </c>
      <c r="N640">
        <v>68</v>
      </c>
      <c r="O640" t="s">
        <v>565</v>
      </c>
      <c r="P640" t="s">
        <v>314</v>
      </c>
      <c r="Q640" t="s">
        <v>774</v>
      </c>
      <c r="R640" t="s">
        <v>735</v>
      </c>
      <c r="S640" t="s">
        <v>378</v>
      </c>
      <c r="T640" t="s">
        <v>487</v>
      </c>
      <c r="U640" t="s">
        <v>566</v>
      </c>
      <c r="V640" t="s">
        <v>351</v>
      </c>
      <c r="W640" t="s">
        <v>200</v>
      </c>
      <c r="X640" t="s">
        <v>199</v>
      </c>
      <c r="Y640" t="s">
        <v>274</v>
      </c>
      <c r="Z640">
        <v>7</v>
      </c>
      <c r="AA640">
        <v>5</v>
      </c>
      <c r="AB640">
        <v>7</v>
      </c>
      <c r="AC640">
        <v>7</v>
      </c>
      <c r="AD640">
        <v>7</v>
      </c>
      <c r="AE640">
        <v>7</v>
      </c>
      <c r="AF640">
        <v>1</v>
      </c>
      <c r="AG640">
        <v>1</v>
      </c>
      <c r="AH640">
        <v>7</v>
      </c>
      <c r="AI640">
        <v>1</v>
      </c>
      <c r="AJ640">
        <v>7</v>
      </c>
      <c r="AK640">
        <v>7</v>
      </c>
      <c r="AL640">
        <v>7</v>
      </c>
      <c r="AM640">
        <v>2</v>
      </c>
      <c r="AN640">
        <v>170</v>
      </c>
      <c r="AO640">
        <v>1</v>
      </c>
      <c r="AP640">
        <v>7</v>
      </c>
      <c r="AQ640">
        <v>7</v>
      </c>
      <c r="AR640">
        <v>7</v>
      </c>
      <c r="AS640">
        <v>7</v>
      </c>
      <c r="AT640">
        <v>7</v>
      </c>
      <c r="AU640">
        <v>7</v>
      </c>
      <c r="AV640">
        <v>7</v>
      </c>
      <c r="AW640">
        <v>7</v>
      </c>
      <c r="AX640">
        <v>3</v>
      </c>
      <c r="AY640" cm="1">
        <f t="array" ref="AY640">_xlfn.IFS(AZ640="Positive",1, AZ640="Negative",1, AZ640="Neutral",0)</f>
        <v>1</v>
      </c>
      <c r="AZ640" t="s">
        <v>199</v>
      </c>
      <c r="BA640">
        <v>10</v>
      </c>
      <c r="BB640">
        <v>3</v>
      </c>
      <c r="BC640" s="3">
        <v>7</v>
      </c>
      <c r="BD640" s="3">
        <v>0</v>
      </c>
      <c r="BE640" s="3">
        <v>0</v>
      </c>
      <c r="BF640" s="3">
        <v>3</v>
      </c>
      <c r="BG640" s="3">
        <v>0</v>
      </c>
      <c r="BH640">
        <v>0</v>
      </c>
      <c r="BI640">
        <v>0</v>
      </c>
      <c r="BJ640">
        <v>2</v>
      </c>
      <c r="BK640">
        <v>1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 t="s">
        <v>295</v>
      </c>
      <c r="BT640">
        <v>4</v>
      </c>
      <c r="BU640" t="s">
        <v>299</v>
      </c>
      <c r="BV640" t="s">
        <v>590</v>
      </c>
    </row>
    <row r="641" spans="1:74" hidden="1" x14ac:dyDescent="0.2">
      <c r="A641">
        <v>659</v>
      </c>
      <c r="B641">
        <v>84</v>
      </c>
      <c r="C641" t="s">
        <v>161</v>
      </c>
      <c r="E641" t="s">
        <v>71</v>
      </c>
      <c r="F641">
        <v>7</v>
      </c>
      <c r="G641">
        <v>2001</v>
      </c>
      <c r="H641">
        <v>21</v>
      </c>
      <c r="I641" t="s">
        <v>69</v>
      </c>
      <c r="J641">
        <v>2</v>
      </c>
      <c r="K641" t="s">
        <v>667</v>
      </c>
      <c r="L641" t="s">
        <v>689</v>
      </c>
      <c r="M641">
        <v>12</v>
      </c>
      <c r="N641">
        <v>46</v>
      </c>
      <c r="O641" t="s">
        <v>481</v>
      </c>
      <c r="P641" t="s">
        <v>369</v>
      </c>
      <c r="Q641" t="s">
        <v>741</v>
      </c>
      <c r="R641" t="s">
        <v>769</v>
      </c>
      <c r="S641" t="s">
        <v>499</v>
      </c>
      <c r="T641" t="s">
        <v>457</v>
      </c>
      <c r="U641" t="s">
        <v>593</v>
      </c>
      <c r="V641" t="s">
        <v>374</v>
      </c>
      <c r="W641" t="s">
        <v>200</v>
      </c>
      <c r="X641" t="s">
        <v>199</v>
      </c>
      <c r="Y641" t="s">
        <v>274</v>
      </c>
      <c r="Z641">
        <v>4</v>
      </c>
      <c r="AA641">
        <v>5</v>
      </c>
      <c r="AB641">
        <v>4</v>
      </c>
      <c r="AC641">
        <v>3</v>
      </c>
      <c r="AD641">
        <v>6</v>
      </c>
      <c r="AE641">
        <v>7</v>
      </c>
      <c r="AF641">
        <v>3</v>
      </c>
      <c r="AG641">
        <v>3</v>
      </c>
      <c r="AH641">
        <v>4</v>
      </c>
      <c r="AI641">
        <v>1</v>
      </c>
      <c r="AJ641">
        <v>6</v>
      </c>
      <c r="AK641">
        <v>5</v>
      </c>
      <c r="AL641">
        <v>3</v>
      </c>
      <c r="AM641">
        <v>5</v>
      </c>
      <c r="AN641">
        <v>60</v>
      </c>
      <c r="AO641">
        <v>5</v>
      </c>
      <c r="AP641">
        <v>6</v>
      </c>
      <c r="AQ641">
        <v>6</v>
      </c>
      <c r="AR641">
        <v>3</v>
      </c>
      <c r="AS641">
        <v>6</v>
      </c>
      <c r="AT641">
        <v>3</v>
      </c>
      <c r="AU641">
        <v>5</v>
      </c>
      <c r="AV641">
        <v>6</v>
      </c>
      <c r="AW641">
        <v>4</v>
      </c>
      <c r="AX641">
        <v>3</v>
      </c>
      <c r="AY641" cm="1">
        <f t="array" ref="AY641">_xlfn.IFS(AZ641="Positive",1, AZ641="Negative",1, AZ641="Neutral",0)</f>
        <v>1</v>
      </c>
      <c r="AZ641" t="s">
        <v>199</v>
      </c>
      <c r="BA641">
        <v>12</v>
      </c>
      <c r="BB641">
        <v>2</v>
      </c>
      <c r="BC641" s="3">
        <v>5</v>
      </c>
      <c r="BD641" s="3">
        <v>1</v>
      </c>
      <c r="BE641" s="3">
        <v>1</v>
      </c>
      <c r="BF641" s="3">
        <v>4</v>
      </c>
      <c r="BG641" s="3">
        <v>1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0</v>
      </c>
      <c r="BO641">
        <v>0</v>
      </c>
      <c r="BP641">
        <v>0</v>
      </c>
      <c r="BQ641">
        <v>0</v>
      </c>
      <c r="BR641">
        <v>0</v>
      </c>
      <c r="BS641" t="s">
        <v>464</v>
      </c>
      <c r="BT641" t="s">
        <v>516</v>
      </c>
      <c r="BU641" t="s">
        <v>591</v>
      </c>
      <c r="BV641" t="s">
        <v>592</v>
      </c>
    </row>
    <row r="642" spans="1:74" hidden="1" x14ac:dyDescent="0.2">
      <c r="A642">
        <v>660</v>
      </c>
      <c r="B642">
        <v>85</v>
      </c>
      <c r="C642" t="s">
        <v>162</v>
      </c>
      <c r="E642" t="s">
        <v>97</v>
      </c>
      <c r="F642">
        <v>9</v>
      </c>
      <c r="G642">
        <v>1999</v>
      </c>
      <c r="H642">
        <v>23</v>
      </c>
      <c r="I642" t="s">
        <v>64</v>
      </c>
      <c r="J642">
        <v>1</v>
      </c>
      <c r="K642" t="s">
        <v>661</v>
      </c>
      <c r="L642" t="s">
        <v>647</v>
      </c>
      <c r="M642">
        <v>7</v>
      </c>
      <c r="N642">
        <v>75</v>
      </c>
      <c r="O642" t="s">
        <v>542</v>
      </c>
      <c r="P642" t="s">
        <v>542</v>
      </c>
      <c r="Q642" t="s">
        <v>734</v>
      </c>
      <c r="R642" t="s">
        <v>717</v>
      </c>
      <c r="S642" t="s">
        <v>430</v>
      </c>
      <c r="T642" t="s">
        <v>507</v>
      </c>
      <c r="U642" t="s">
        <v>552</v>
      </c>
      <c r="V642" t="s">
        <v>543</v>
      </c>
      <c r="W642" t="s">
        <v>200</v>
      </c>
      <c r="X642" t="s">
        <v>199</v>
      </c>
      <c r="Y642" t="s">
        <v>274</v>
      </c>
      <c r="Z642">
        <v>7</v>
      </c>
      <c r="AA642">
        <v>7</v>
      </c>
      <c r="AB642">
        <v>7</v>
      </c>
      <c r="AC642">
        <v>7</v>
      </c>
      <c r="AD642">
        <v>5</v>
      </c>
      <c r="AE642">
        <v>7</v>
      </c>
      <c r="AF642">
        <v>3</v>
      </c>
      <c r="AG642">
        <v>1</v>
      </c>
      <c r="AH642">
        <v>7</v>
      </c>
      <c r="AI642">
        <v>1</v>
      </c>
      <c r="AJ642">
        <v>6</v>
      </c>
      <c r="AK642">
        <v>7</v>
      </c>
      <c r="AL642">
        <v>7</v>
      </c>
      <c r="AM642">
        <v>5</v>
      </c>
      <c r="AN642">
        <v>1</v>
      </c>
      <c r="AO642">
        <v>3</v>
      </c>
      <c r="AP642">
        <v>7</v>
      </c>
      <c r="AQ642">
        <v>7</v>
      </c>
      <c r="AR642">
        <v>7</v>
      </c>
      <c r="AS642">
        <v>7</v>
      </c>
      <c r="AT642">
        <v>7</v>
      </c>
      <c r="AU642">
        <v>7</v>
      </c>
      <c r="AV642">
        <v>7</v>
      </c>
      <c r="AW642">
        <v>7</v>
      </c>
      <c r="AX642">
        <v>3</v>
      </c>
      <c r="AY642" cm="1">
        <f t="array" ref="AY642">_xlfn.IFS(AZ642="Positive",1, AZ642="Negative",1, AZ642="Neutral",0)</f>
        <v>1</v>
      </c>
      <c r="AZ642" t="s">
        <v>199</v>
      </c>
      <c r="BA642">
        <v>10</v>
      </c>
      <c r="BB642">
        <v>2</v>
      </c>
      <c r="BC642" s="3">
        <v>8</v>
      </c>
      <c r="BD642" s="3">
        <v>0</v>
      </c>
      <c r="BE642" s="3">
        <v>1</v>
      </c>
      <c r="BF642" s="3">
        <v>0</v>
      </c>
      <c r="BG642" s="3">
        <v>1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1</v>
      </c>
      <c r="BN642">
        <v>1</v>
      </c>
      <c r="BO642">
        <v>0</v>
      </c>
      <c r="BP642">
        <v>0</v>
      </c>
      <c r="BQ642">
        <v>0</v>
      </c>
      <c r="BR642">
        <v>0</v>
      </c>
      <c r="BS642" t="s">
        <v>567</v>
      </c>
      <c r="BT642" t="s">
        <v>475</v>
      </c>
      <c r="BU642" t="s">
        <v>569</v>
      </c>
      <c r="BV642" t="s">
        <v>476</v>
      </c>
    </row>
    <row r="643" spans="1:74" hidden="1" x14ac:dyDescent="0.2">
      <c r="A643">
        <v>661</v>
      </c>
      <c r="B643">
        <v>86</v>
      </c>
      <c r="C643" t="s">
        <v>163</v>
      </c>
      <c r="E643" t="s">
        <v>71</v>
      </c>
      <c r="F643">
        <v>10</v>
      </c>
      <c r="G643">
        <v>2000</v>
      </c>
      <c r="H643">
        <v>22</v>
      </c>
      <c r="I643" t="s">
        <v>164</v>
      </c>
      <c r="J643">
        <v>3</v>
      </c>
      <c r="K643" t="s">
        <v>694</v>
      </c>
      <c r="L643" t="s">
        <v>688</v>
      </c>
      <c r="M643">
        <v>5</v>
      </c>
      <c r="N643">
        <v>63</v>
      </c>
      <c r="O643" t="s">
        <v>353</v>
      </c>
      <c r="P643" t="s">
        <v>307</v>
      </c>
      <c r="Q643" t="s">
        <v>774</v>
      </c>
      <c r="R643" t="s">
        <v>768</v>
      </c>
      <c r="S643" t="s">
        <v>318</v>
      </c>
      <c r="T643" t="s">
        <v>477</v>
      </c>
      <c r="U643" t="s">
        <v>358</v>
      </c>
      <c r="V643" t="s">
        <v>312</v>
      </c>
      <c r="W643" t="s">
        <v>200</v>
      </c>
      <c r="X643" t="s">
        <v>199</v>
      </c>
      <c r="Y643" t="s">
        <v>274</v>
      </c>
      <c r="Z643">
        <v>7</v>
      </c>
      <c r="AA643">
        <v>7</v>
      </c>
      <c r="AB643">
        <v>7</v>
      </c>
      <c r="AC643">
        <v>7</v>
      </c>
      <c r="AD643">
        <v>7</v>
      </c>
      <c r="AE643">
        <v>7</v>
      </c>
      <c r="AF643">
        <v>1</v>
      </c>
      <c r="AG643">
        <v>1</v>
      </c>
      <c r="AH643">
        <v>7</v>
      </c>
      <c r="AI643">
        <v>1</v>
      </c>
      <c r="AJ643">
        <v>5</v>
      </c>
      <c r="AK643">
        <v>7</v>
      </c>
      <c r="AL643">
        <v>7</v>
      </c>
      <c r="AM643">
        <v>7</v>
      </c>
      <c r="AN643">
        <v>96</v>
      </c>
      <c r="AO643">
        <v>1</v>
      </c>
      <c r="AP643">
        <v>7</v>
      </c>
      <c r="AQ643">
        <v>7</v>
      </c>
      <c r="AR643">
        <v>6</v>
      </c>
      <c r="AS643">
        <v>4</v>
      </c>
      <c r="AT643">
        <v>6</v>
      </c>
      <c r="AU643">
        <v>4</v>
      </c>
      <c r="AV643">
        <v>7</v>
      </c>
      <c r="AW643">
        <v>7</v>
      </c>
      <c r="AX643">
        <v>3</v>
      </c>
      <c r="AY643" cm="1">
        <f t="array" ref="AY643">_xlfn.IFS(AZ643="Positive",1, AZ643="Negative",1, AZ643="Neutral",0)</f>
        <v>1</v>
      </c>
      <c r="AZ643" t="s">
        <v>199</v>
      </c>
      <c r="BA643">
        <v>12</v>
      </c>
      <c r="BB643">
        <v>2</v>
      </c>
      <c r="BC643" s="3">
        <v>8</v>
      </c>
      <c r="BD643" s="3">
        <v>0</v>
      </c>
      <c r="BE643" s="3">
        <v>1</v>
      </c>
      <c r="BF643" s="3">
        <v>2</v>
      </c>
      <c r="BG643" s="3">
        <v>1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 t="s">
        <v>295</v>
      </c>
      <c r="BT643" t="s">
        <v>480</v>
      </c>
      <c r="BU643" t="s">
        <v>299</v>
      </c>
      <c r="BV643" t="s">
        <v>482</v>
      </c>
    </row>
    <row r="644" spans="1:74" hidden="1" x14ac:dyDescent="0.2">
      <c r="A644">
        <v>662</v>
      </c>
      <c r="B644">
        <v>87</v>
      </c>
      <c r="C644" t="s">
        <v>165</v>
      </c>
      <c r="E644" t="s">
        <v>68</v>
      </c>
      <c r="F644">
        <v>8</v>
      </c>
      <c r="G644">
        <v>1999</v>
      </c>
      <c r="H644">
        <v>23</v>
      </c>
      <c r="I644" t="s">
        <v>64</v>
      </c>
      <c r="J644">
        <v>1</v>
      </c>
      <c r="K644" t="s">
        <v>678</v>
      </c>
      <c r="L644" t="s">
        <v>654</v>
      </c>
      <c r="M644">
        <v>14</v>
      </c>
      <c r="N644">
        <v>57</v>
      </c>
      <c r="O644">
        <v>7</v>
      </c>
      <c r="P644">
        <v>7</v>
      </c>
      <c r="Q644" t="s">
        <v>757</v>
      </c>
      <c r="R644" t="s">
        <v>728</v>
      </c>
      <c r="S644" t="s">
        <v>550</v>
      </c>
      <c r="T644" t="s">
        <v>575</v>
      </c>
      <c r="U644" t="s">
        <v>508</v>
      </c>
      <c r="V644" t="s">
        <v>594</v>
      </c>
      <c r="W644" t="s">
        <v>200</v>
      </c>
      <c r="X644" t="s">
        <v>199</v>
      </c>
      <c r="Y644" t="s">
        <v>274</v>
      </c>
      <c r="Z644">
        <v>7</v>
      </c>
      <c r="AA644">
        <v>7</v>
      </c>
      <c r="AB644">
        <v>7</v>
      </c>
      <c r="AC644">
        <v>7</v>
      </c>
      <c r="AD644">
        <v>7</v>
      </c>
      <c r="AE644">
        <v>7</v>
      </c>
      <c r="AF644">
        <v>1</v>
      </c>
      <c r="AG644">
        <v>1</v>
      </c>
      <c r="AH644">
        <v>7</v>
      </c>
      <c r="AI644">
        <v>1</v>
      </c>
      <c r="AJ644">
        <v>7</v>
      </c>
      <c r="AK644">
        <v>7</v>
      </c>
      <c r="AL644">
        <v>7</v>
      </c>
      <c r="AM644">
        <v>4</v>
      </c>
      <c r="AN644">
        <v>7</v>
      </c>
      <c r="AO644">
        <v>2</v>
      </c>
      <c r="AP644">
        <v>7</v>
      </c>
      <c r="AQ644">
        <v>5</v>
      </c>
      <c r="AR644">
        <v>7</v>
      </c>
      <c r="AS644">
        <v>7</v>
      </c>
      <c r="AT644">
        <v>7</v>
      </c>
      <c r="AU644">
        <v>7</v>
      </c>
      <c r="AV644">
        <v>7</v>
      </c>
      <c r="AW644">
        <v>7</v>
      </c>
      <c r="AX644">
        <v>3</v>
      </c>
      <c r="AY644" cm="1">
        <f t="array" ref="AY644">_xlfn.IFS(AZ644="Positive",1, AZ644="Negative",1, AZ644="Neutral",0)</f>
        <v>1</v>
      </c>
      <c r="AZ644" t="s">
        <v>199</v>
      </c>
      <c r="BA644">
        <v>14</v>
      </c>
      <c r="BB644">
        <v>1</v>
      </c>
      <c r="BC644" s="3">
        <v>10</v>
      </c>
      <c r="BD644" s="3">
        <v>1</v>
      </c>
      <c r="BE644" s="3">
        <v>1</v>
      </c>
      <c r="BF644" s="3">
        <v>1</v>
      </c>
      <c r="BG644" s="3">
        <v>1</v>
      </c>
      <c r="BH644">
        <v>0</v>
      </c>
      <c r="BI644">
        <v>0</v>
      </c>
      <c r="BJ644">
        <v>0</v>
      </c>
      <c r="BK644">
        <v>1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 t="s">
        <v>405</v>
      </c>
      <c r="BT644" t="s">
        <v>276</v>
      </c>
      <c r="BU644" t="s">
        <v>406</v>
      </c>
      <c r="BV644" t="s">
        <v>280</v>
      </c>
    </row>
    <row r="645" spans="1:74" hidden="1" x14ac:dyDescent="0.2">
      <c r="A645">
        <v>663</v>
      </c>
      <c r="B645">
        <v>88</v>
      </c>
      <c r="C645" t="s">
        <v>166</v>
      </c>
      <c r="E645" t="s">
        <v>82</v>
      </c>
      <c r="F645">
        <v>1</v>
      </c>
      <c r="G645">
        <v>2000</v>
      </c>
      <c r="H645">
        <v>22</v>
      </c>
      <c r="I645" t="s">
        <v>64</v>
      </c>
      <c r="J645">
        <v>1</v>
      </c>
      <c r="K645" t="s">
        <v>644</v>
      </c>
      <c r="L645" t="s">
        <v>679</v>
      </c>
      <c r="M645">
        <v>11</v>
      </c>
      <c r="N645">
        <v>59</v>
      </c>
      <c r="O645" t="s">
        <v>394</v>
      </c>
      <c r="P645" t="s">
        <v>481</v>
      </c>
      <c r="Q645" t="s">
        <v>714</v>
      </c>
      <c r="R645" t="s">
        <v>758</v>
      </c>
      <c r="S645" t="s">
        <v>514</v>
      </c>
      <c r="T645" t="s">
        <v>341</v>
      </c>
      <c r="U645" t="s">
        <v>478</v>
      </c>
      <c r="V645" t="s">
        <v>483</v>
      </c>
      <c r="W645" t="s">
        <v>200</v>
      </c>
      <c r="X645" t="s">
        <v>199</v>
      </c>
      <c r="Y645" t="s">
        <v>274</v>
      </c>
      <c r="Z645">
        <v>7</v>
      </c>
      <c r="AA645">
        <v>7</v>
      </c>
      <c r="AB645">
        <v>7</v>
      </c>
      <c r="AC645">
        <v>7</v>
      </c>
      <c r="AD645">
        <v>7</v>
      </c>
      <c r="AE645">
        <v>7</v>
      </c>
      <c r="AF645">
        <v>6</v>
      </c>
      <c r="AG645">
        <v>4</v>
      </c>
      <c r="AH645">
        <v>7</v>
      </c>
      <c r="AI645">
        <v>1</v>
      </c>
      <c r="AJ645">
        <v>7</v>
      </c>
      <c r="AK645">
        <v>7</v>
      </c>
      <c r="AL645">
        <v>7</v>
      </c>
      <c r="AM645">
        <v>7</v>
      </c>
      <c r="AN645">
        <v>19</v>
      </c>
      <c r="AO645">
        <v>6</v>
      </c>
      <c r="AP645">
        <v>7</v>
      </c>
      <c r="AQ645">
        <v>7</v>
      </c>
      <c r="AR645">
        <v>5</v>
      </c>
      <c r="AS645">
        <v>5</v>
      </c>
      <c r="AT645">
        <v>6</v>
      </c>
      <c r="AU645">
        <v>6</v>
      </c>
      <c r="AV645">
        <v>4</v>
      </c>
      <c r="AW645">
        <v>4</v>
      </c>
      <c r="AX645">
        <v>3</v>
      </c>
      <c r="AY645" cm="1">
        <f t="array" ref="AY645">_xlfn.IFS(AZ645="Positive",1, AZ645="Negative",1, AZ645="Neutral",0)</f>
        <v>1</v>
      </c>
      <c r="AZ645" t="s">
        <v>199</v>
      </c>
      <c r="BA645">
        <v>8</v>
      </c>
      <c r="BB645">
        <v>3</v>
      </c>
      <c r="BC645" s="3">
        <v>3</v>
      </c>
      <c r="BD645" s="3">
        <v>2</v>
      </c>
      <c r="BE645" s="3">
        <v>0</v>
      </c>
      <c r="BF645" s="3">
        <v>3</v>
      </c>
      <c r="BG645" s="3">
        <v>0</v>
      </c>
      <c r="BH645">
        <v>0</v>
      </c>
      <c r="BI645">
        <v>0</v>
      </c>
      <c r="BJ645">
        <v>2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1</v>
      </c>
      <c r="BR645">
        <v>0</v>
      </c>
      <c r="BS645" t="s">
        <v>296</v>
      </c>
      <c r="BT645" t="s">
        <v>595</v>
      </c>
      <c r="BU645" t="s">
        <v>362</v>
      </c>
      <c r="BV645" t="s">
        <v>596</v>
      </c>
    </row>
    <row r="646" spans="1:74" x14ac:dyDescent="0.2">
      <c r="A646">
        <v>664</v>
      </c>
      <c r="B646">
        <v>89</v>
      </c>
      <c r="C646" t="s">
        <v>167</v>
      </c>
      <c r="E646" t="s">
        <v>88</v>
      </c>
      <c r="F646">
        <v>1</v>
      </c>
      <c r="G646">
        <v>2000</v>
      </c>
      <c r="H646">
        <v>22</v>
      </c>
      <c r="I646" t="s">
        <v>64</v>
      </c>
      <c r="J646">
        <v>1</v>
      </c>
      <c r="K646" t="s">
        <v>655</v>
      </c>
      <c r="L646" t="s">
        <v>647</v>
      </c>
      <c r="M646">
        <v>4</v>
      </c>
      <c r="N646">
        <v>69</v>
      </c>
      <c r="O646" t="s">
        <v>325</v>
      </c>
      <c r="P646" t="s">
        <v>307</v>
      </c>
      <c r="Q646" t="s">
        <v>725</v>
      </c>
      <c r="R646" t="s">
        <v>717</v>
      </c>
      <c r="S646" t="s">
        <v>396</v>
      </c>
      <c r="T646" t="s">
        <v>357</v>
      </c>
      <c r="U646" t="s">
        <v>597</v>
      </c>
      <c r="V646" t="s">
        <v>312</v>
      </c>
      <c r="W646" t="s">
        <v>200</v>
      </c>
      <c r="X646" t="s">
        <v>199</v>
      </c>
      <c r="Y646" t="s">
        <v>274</v>
      </c>
      <c r="Z646">
        <v>7</v>
      </c>
      <c r="AA646">
        <v>6</v>
      </c>
      <c r="AB646">
        <v>7</v>
      </c>
      <c r="AC646">
        <v>7</v>
      </c>
      <c r="AD646">
        <v>2</v>
      </c>
      <c r="AE646">
        <v>5</v>
      </c>
      <c r="AF646">
        <v>3</v>
      </c>
      <c r="AG646">
        <v>1</v>
      </c>
      <c r="AH646">
        <v>7</v>
      </c>
      <c r="AI646">
        <v>1</v>
      </c>
      <c r="AJ646">
        <v>7</v>
      </c>
      <c r="AK646">
        <v>7</v>
      </c>
      <c r="AL646">
        <v>7</v>
      </c>
      <c r="AM646">
        <v>6</v>
      </c>
      <c r="AN646">
        <v>6</v>
      </c>
      <c r="AO646">
        <v>1</v>
      </c>
      <c r="AP646">
        <v>7</v>
      </c>
      <c r="AQ646">
        <v>6</v>
      </c>
      <c r="AR646">
        <v>6</v>
      </c>
      <c r="AS646">
        <v>6</v>
      </c>
      <c r="AT646">
        <v>7</v>
      </c>
      <c r="AU646">
        <v>7</v>
      </c>
      <c r="AV646">
        <v>7</v>
      </c>
      <c r="AW646">
        <v>7</v>
      </c>
      <c r="AX646">
        <v>3</v>
      </c>
      <c r="AY646" cm="1">
        <f t="array" ref="AY646">_xlfn.IFS(AZ646="Positive",1, AZ646="Negative",1, AZ646="Neutral",0)</f>
        <v>1</v>
      </c>
      <c r="AZ646" t="s">
        <v>199</v>
      </c>
      <c r="BA646">
        <v>0</v>
      </c>
      <c r="BB646">
        <v>2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>
        <v>0</v>
      </c>
      <c r="BI646">
        <v>0</v>
      </c>
      <c r="BJ646">
        <v>2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 t="s">
        <v>567</v>
      </c>
      <c r="BT646" t="s">
        <v>475</v>
      </c>
      <c r="BU646" t="s">
        <v>569</v>
      </c>
      <c r="BV646" t="s">
        <v>476</v>
      </c>
    </row>
    <row r="647" spans="1:74" hidden="1" x14ac:dyDescent="0.2">
      <c r="A647">
        <v>665</v>
      </c>
      <c r="B647">
        <v>90</v>
      </c>
      <c r="C647" t="s">
        <v>168</v>
      </c>
      <c r="E647" t="s">
        <v>88</v>
      </c>
      <c r="F647">
        <v>18</v>
      </c>
      <c r="G647">
        <v>1999</v>
      </c>
      <c r="H647">
        <v>23</v>
      </c>
      <c r="I647" t="s">
        <v>64</v>
      </c>
      <c r="J647">
        <v>1</v>
      </c>
      <c r="K647" t="s">
        <v>637</v>
      </c>
      <c r="L647" t="s">
        <v>647</v>
      </c>
      <c r="M647">
        <v>16</v>
      </c>
      <c r="N647">
        <v>53</v>
      </c>
      <c r="O647" t="s">
        <v>598</v>
      </c>
      <c r="P647" t="s">
        <v>481</v>
      </c>
      <c r="Q647" t="s">
        <v>706</v>
      </c>
      <c r="R647" t="s">
        <v>717</v>
      </c>
      <c r="S647" t="s">
        <v>588</v>
      </c>
      <c r="T647" t="s">
        <v>522</v>
      </c>
      <c r="U647" t="s">
        <v>599</v>
      </c>
      <c r="V647" t="s">
        <v>483</v>
      </c>
      <c r="W647" t="s">
        <v>200</v>
      </c>
      <c r="X647" t="s">
        <v>199</v>
      </c>
      <c r="Y647" t="s">
        <v>274</v>
      </c>
      <c r="Z647">
        <v>3</v>
      </c>
      <c r="AA647">
        <v>1</v>
      </c>
      <c r="AB647">
        <v>3</v>
      </c>
      <c r="AC647">
        <v>4</v>
      </c>
      <c r="AD647">
        <v>1</v>
      </c>
      <c r="AE647">
        <v>3</v>
      </c>
      <c r="AF647">
        <v>1</v>
      </c>
      <c r="AG647">
        <v>5</v>
      </c>
      <c r="AH647">
        <v>1</v>
      </c>
      <c r="AI647">
        <v>1</v>
      </c>
      <c r="AJ647">
        <v>5</v>
      </c>
      <c r="AK647">
        <v>4</v>
      </c>
      <c r="AL647">
        <v>4</v>
      </c>
      <c r="AM647">
        <v>2</v>
      </c>
      <c r="AN647">
        <v>120</v>
      </c>
      <c r="AO647">
        <v>1</v>
      </c>
      <c r="AP647">
        <v>7</v>
      </c>
      <c r="AQ647">
        <v>4</v>
      </c>
      <c r="AR647">
        <v>2</v>
      </c>
      <c r="AS647">
        <v>2</v>
      </c>
      <c r="AT647">
        <v>1</v>
      </c>
      <c r="AU647">
        <v>2</v>
      </c>
      <c r="AV647">
        <v>1</v>
      </c>
      <c r="AW647">
        <v>1</v>
      </c>
      <c r="AX647">
        <v>3</v>
      </c>
      <c r="AY647" cm="1">
        <f t="array" ref="AY647">_xlfn.IFS(AZ647="Positive",1, AZ647="Negative",1, AZ647="Neutral",0)</f>
        <v>1</v>
      </c>
      <c r="AZ647" t="s">
        <v>199</v>
      </c>
      <c r="BA647">
        <v>4</v>
      </c>
      <c r="BB647">
        <v>0</v>
      </c>
      <c r="BC647" s="3">
        <v>3</v>
      </c>
      <c r="BD647" s="3">
        <v>0</v>
      </c>
      <c r="BE647" s="3">
        <v>0</v>
      </c>
      <c r="BF647" s="3">
        <v>1</v>
      </c>
      <c r="BG647" s="3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 t="s">
        <v>285</v>
      </c>
      <c r="BT647" t="s">
        <v>548</v>
      </c>
      <c r="BU647" t="s">
        <v>289</v>
      </c>
      <c r="BV647" t="s">
        <v>549</v>
      </c>
    </row>
    <row r="648" spans="1:74" hidden="1" x14ac:dyDescent="0.2">
      <c r="A648">
        <v>667</v>
      </c>
      <c r="B648">
        <v>92</v>
      </c>
      <c r="C648" t="s">
        <v>170</v>
      </c>
      <c r="E648" t="s">
        <v>68</v>
      </c>
      <c r="F648">
        <v>24</v>
      </c>
      <c r="G648">
        <v>1999</v>
      </c>
      <c r="H648">
        <v>23</v>
      </c>
      <c r="I648" t="s">
        <v>69</v>
      </c>
      <c r="J648">
        <v>2</v>
      </c>
      <c r="K648" t="s">
        <v>687</v>
      </c>
      <c r="L648" t="s">
        <v>669</v>
      </c>
      <c r="M648">
        <v>6</v>
      </c>
      <c r="N648">
        <v>50</v>
      </c>
      <c r="O648" t="s">
        <v>360</v>
      </c>
      <c r="P648" t="s">
        <v>442</v>
      </c>
      <c r="Q648" t="s">
        <v>767</v>
      </c>
      <c r="R648" t="s">
        <v>745</v>
      </c>
      <c r="S648" t="s">
        <v>403</v>
      </c>
      <c r="T648" t="s">
        <v>538</v>
      </c>
      <c r="U648" t="s">
        <v>365</v>
      </c>
      <c r="V648" t="s">
        <v>602</v>
      </c>
      <c r="W648" t="s">
        <v>200</v>
      </c>
      <c r="X648" t="s">
        <v>199</v>
      </c>
      <c r="Y648" t="s">
        <v>274</v>
      </c>
      <c r="Z648">
        <v>7</v>
      </c>
      <c r="AA648">
        <v>6</v>
      </c>
      <c r="AB648">
        <v>7</v>
      </c>
      <c r="AC648">
        <v>3</v>
      </c>
      <c r="AD648">
        <v>3</v>
      </c>
      <c r="AE648">
        <v>4</v>
      </c>
      <c r="AF648">
        <v>3</v>
      </c>
      <c r="AG648">
        <v>3</v>
      </c>
      <c r="AH648">
        <v>3</v>
      </c>
      <c r="AI648">
        <v>3</v>
      </c>
      <c r="AJ648">
        <v>7</v>
      </c>
      <c r="AK648">
        <v>6</v>
      </c>
      <c r="AL648">
        <v>5</v>
      </c>
      <c r="AM648">
        <v>1</v>
      </c>
      <c r="AN648">
        <v>3</v>
      </c>
      <c r="AO648">
        <v>1</v>
      </c>
      <c r="AP648">
        <v>6</v>
      </c>
      <c r="AQ648">
        <v>3</v>
      </c>
      <c r="AR648">
        <v>7</v>
      </c>
      <c r="AS648">
        <v>6</v>
      </c>
      <c r="AT648">
        <v>7</v>
      </c>
      <c r="AU648">
        <v>7</v>
      </c>
      <c r="AV648">
        <v>7</v>
      </c>
      <c r="AW648">
        <v>7</v>
      </c>
      <c r="AX648">
        <v>3</v>
      </c>
      <c r="AY648" cm="1">
        <f t="array" ref="AY648">_xlfn.IFS(AZ648="Positive",1, AZ648="Negative",1, AZ648="Neutral",0)</f>
        <v>1</v>
      </c>
      <c r="AZ648" t="s">
        <v>199</v>
      </c>
      <c r="BA648">
        <v>14</v>
      </c>
      <c r="BB648">
        <v>1</v>
      </c>
      <c r="BC648" s="3">
        <v>13</v>
      </c>
      <c r="BD648" s="3">
        <v>0</v>
      </c>
      <c r="BE648" s="3">
        <v>1</v>
      </c>
      <c r="BF648" s="3">
        <v>0</v>
      </c>
      <c r="BG648" s="3">
        <v>0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 t="s">
        <v>467</v>
      </c>
      <c r="BT648" t="s">
        <v>475</v>
      </c>
      <c r="BU648" t="s">
        <v>469</v>
      </c>
      <c r="BV648" t="s">
        <v>476</v>
      </c>
    </row>
    <row r="649" spans="1:74" hidden="1" x14ac:dyDescent="0.2">
      <c r="A649">
        <v>668</v>
      </c>
      <c r="B649">
        <v>93</v>
      </c>
      <c r="C649" t="s">
        <v>171</v>
      </c>
      <c r="E649" t="s">
        <v>82</v>
      </c>
      <c r="F649">
        <v>4</v>
      </c>
      <c r="G649">
        <v>1998</v>
      </c>
      <c r="H649">
        <v>24</v>
      </c>
      <c r="I649" t="s">
        <v>64</v>
      </c>
      <c r="J649">
        <v>1</v>
      </c>
      <c r="K649" t="s">
        <v>695</v>
      </c>
      <c r="L649" t="s">
        <v>675</v>
      </c>
      <c r="M649">
        <v>9</v>
      </c>
      <c r="N649">
        <v>62</v>
      </c>
      <c r="O649" t="s">
        <v>324</v>
      </c>
      <c r="P649" t="s">
        <v>389</v>
      </c>
      <c r="Q649" t="s">
        <v>781</v>
      </c>
      <c r="R649" t="s">
        <v>754</v>
      </c>
      <c r="S649" t="s">
        <v>349</v>
      </c>
      <c r="T649" t="s">
        <v>319</v>
      </c>
      <c r="U649" t="s">
        <v>330</v>
      </c>
      <c r="V649" t="s">
        <v>392</v>
      </c>
      <c r="W649" t="s">
        <v>200</v>
      </c>
      <c r="X649" t="s">
        <v>199</v>
      </c>
      <c r="Y649" t="s">
        <v>274</v>
      </c>
      <c r="Z649">
        <v>7</v>
      </c>
      <c r="AA649">
        <v>4</v>
      </c>
      <c r="AB649">
        <v>5</v>
      </c>
      <c r="AC649">
        <v>6</v>
      </c>
      <c r="AD649">
        <v>6</v>
      </c>
      <c r="AE649">
        <v>7</v>
      </c>
      <c r="AF649">
        <v>4</v>
      </c>
      <c r="AG649">
        <v>5</v>
      </c>
      <c r="AH649">
        <v>5</v>
      </c>
      <c r="AI649">
        <v>1</v>
      </c>
      <c r="AJ649">
        <v>7</v>
      </c>
      <c r="AK649">
        <v>6</v>
      </c>
      <c r="AL649">
        <v>6</v>
      </c>
      <c r="AM649">
        <v>2</v>
      </c>
      <c r="AN649">
        <v>55</v>
      </c>
      <c r="AO649">
        <v>1</v>
      </c>
      <c r="AP649">
        <v>7</v>
      </c>
      <c r="AQ649">
        <v>6</v>
      </c>
      <c r="AR649">
        <v>2</v>
      </c>
      <c r="AS649">
        <v>3</v>
      </c>
      <c r="AT649">
        <v>5</v>
      </c>
      <c r="AU649">
        <v>5</v>
      </c>
      <c r="AV649">
        <v>6</v>
      </c>
      <c r="AW649">
        <v>7</v>
      </c>
      <c r="AX649">
        <v>3</v>
      </c>
      <c r="AY649" cm="1">
        <f t="array" ref="AY649">_xlfn.IFS(AZ649="Positive",1, AZ649="Negative",1, AZ649="Neutral",0)</f>
        <v>1</v>
      </c>
      <c r="AZ649" t="s">
        <v>199</v>
      </c>
      <c r="BA649">
        <v>11</v>
      </c>
      <c r="BB649">
        <v>1</v>
      </c>
      <c r="BC649" s="3">
        <v>6</v>
      </c>
      <c r="BD649" s="3">
        <v>0</v>
      </c>
      <c r="BE649" s="3">
        <v>2</v>
      </c>
      <c r="BF649" s="3">
        <v>0</v>
      </c>
      <c r="BG649" s="3">
        <v>3</v>
      </c>
      <c r="BH649">
        <v>0</v>
      </c>
      <c r="BI649">
        <v>0</v>
      </c>
      <c r="BJ649">
        <v>1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 t="s">
        <v>276</v>
      </c>
      <c r="BT649" t="s">
        <v>492</v>
      </c>
      <c r="BU649" t="s">
        <v>631</v>
      </c>
      <c r="BV649" t="s">
        <v>494</v>
      </c>
    </row>
    <row r="650" spans="1:74" x14ac:dyDescent="0.2">
      <c r="A650">
        <v>669</v>
      </c>
      <c r="B650">
        <v>94</v>
      </c>
      <c r="C650" t="s">
        <v>172</v>
      </c>
      <c r="E650" t="s">
        <v>80</v>
      </c>
      <c r="F650">
        <v>15</v>
      </c>
      <c r="G650">
        <v>1999</v>
      </c>
      <c r="H650">
        <v>23</v>
      </c>
      <c r="I650" t="s">
        <v>64</v>
      </c>
      <c r="J650">
        <v>1</v>
      </c>
      <c r="K650" t="s">
        <v>655</v>
      </c>
      <c r="L650" t="s">
        <v>665</v>
      </c>
      <c r="M650">
        <v>10</v>
      </c>
      <c r="N650">
        <v>56</v>
      </c>
      <c r="O650" t="s">
        <v>306</v>
      </c>
      <c r="P650" t="s">
        <v>603</v>
      </c>
      <c r="Q650" t="s">
        <v>725</v>
      </c>
      <c r="R650" t="s">
        <v>739</v>
      </c>
      <c r="S650" t="s">
        <v>378</v>
      </c>
      <c r="T650" t="s">
        <v>423</v>
      </c>
      <c r="U650" t="s">
        <v>311</v>
      </c>
      <c r="V650" t="s">
        <v>604</v>
      </c>
      <c r="W650" t="s">
        <v>200</v>
      </c>
      <c r="X650" t="s">
        <v>199</v>
      </c>
      <c r="Y650" t="s">
        <v>274</v>
      </c>
      <c r="Z650">
        <v>7</v>
      </c>
      <c r="AA650">
        <v>7</v>
      </c>
      <c r="AB650">
        <v>7</v>
      </c>
      <c r="AC650">
        <v>7</v>
      </c>
      <c r="AD650">
        <v>1</v>
      </c>
      <c r="AE650">
        <v>1</v>
      </c>
      <c r="AF650">
        <v>4</v>
      </c>
      <c r="AG650">
        <v>1</v>
      </c>
      <c r="AH650">
        <v>7</v>
      </c>
      <c r="AI650">
        <v>1</v>
      </c>
      <c r="AJ650">
        <v>7</v>
      </c>
      <c r="AK650">
        <v>7</v>
      </c>
      <c r="AL650">
        <v>7</v>
      </c>
      <c r="AM650">
        <v>7</v>
      </c>
      <c r="AN650">
        <v>83</v>
      </c>
      <c r="AO650">
        <v>1</v>
      </c>
      <c r="AP650">
        <v>7</v>
      </c>
      <c r="AQ650">
        <v>7</v>
      </c>
      <c r="AR650">
        <v>7</v>
      </c>
      <c r="AS650">
        <v>7</v>
      </c>
      <c r="AT650">
        <v>7</v>
      </c>
      <c r="AU650">
        <v>7</v>
      </c>
      <c r="AV650">
        <v>7</v>
      </c>
      <c r="AW650">
        <v>7</v>
      </c>
      <c r="AX650">
        <v>3</v>
      </c>
      <c r="AY650" cm="1">
        <f t="array" ref="AY650">_xlfn.IFS(AZ650="Positive",1, AZ650="Negative",1, AZ650="Neutral",0)</f>
        <v>1</v>
      </c>
      <c r="AZ650" t="s">
        <v>199</v>
      </c>
      <c r="BA650">
        <v>0</v>
      </c>
      <c r="BB650">
        <v>1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>
        <v>0</v>
      </c>
      <c r="BI650">
        <v>0</v>
      </c>
      <c r="BJ650">
        <v>1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4</v>
      </c>
      <c r="BT650" t="s">
        <v>322</v>
      </c>
      <c r="BU650" t="s">
        <v>370</v>
      </c>
      <c r="BV650" t="s">
        <v>422</v>
      </c>
    </row>
    <row r="651" spans="1:74" hidden="1" x14ac:dyDescent="0.2">
      <c r="A651">
        <v>670</v>
      </c>
      <c r="B651">
        <v>95</v>
      </c>
      <c r="C651" t="s">
        <v>173</v>
      </c>
      <c r="E651" t="s">
        <v>71</v>
      </c>
      <c r="F651">
        <v>29</v>
      </c>
      <c r="G651">
        <v>1999</v>
      </c>
      <c r="H651">
        <v>23</v>
      </c>
      <c r="I651" t="s">
        <v>64</v>
      </c>
      <c r="J651">
        <v>1</v>
      </c>
      <c r="K651" t="s">
        <v>696</v>
      </c>
      <c r="L651" t="s">
        <v>697</v>
      </c>
      <c r="M651">
        <v>8</v>
      </c>
      <c r="N651">
        <v>54</v>
      </c>
      <c r="O651" t="s">
        <v>485</v>
      </c>
      <c r="P651" t="s">
        <v>338</v>
      </c>
      <c r="Q651" t="s">
        <v>775</v>
      </c>
      <c r="R651" t="s">
        <v>776</v>
      </c>
      <c r="S651" t="s">
        <v>291</v>
      </c>
      <c r="T651" t="s">
        <v>455</v>
      </c>
      <c r="U651" t="s">
        <v>488</v>
      </c>
      <c r="V651" t="s">
        <v>504</v>
      </c>
      <c r="W651" t="s">
        <v>200</v>
      </c>
      <c r="X651" t="s">
        <v>199</v>
      </c>
      <c r="Y651" t="s">
        <v>274</v>
      </c>
      <c r="Z651">
        <v>6</v>
      </c>
      <c r="AA651">
        <v>5</v>
      </c>
      <c r="AB651">
        <v>6</v>
      </c>
      <c r="AC651">
        <v>5</v>
      </c>
      <c r="AD651">
        <v>2</v>
      </c>
      <c r="AE651">
        <v>4</v>
      </c>
      <c r="AF651">
        <v>2</v>
      </c>
      <c r="AG651">
        <v>2</v>
      </c>
      <c r="AH651">
        <v>6</v>
      </c>
      <c r="AI651">
        <v>1</v>
      </c>
      <c r="AJ651">
        <v>7</v>
      </c>
      <c r="AK651">
        <v>6</v>
      </c>
      <c r="AL651">
        <v>6</v>
      </c>
      <c r="AM651">
        <v>6</v>
      </c>
      <c r="AN651">
        <v>9</v>
      </c>
      <c r="AO651">
        <v>2</v>
      </c>
      <c r="AP651">
        <v>7</v>
      </c>
      <c r="AQ651">
        <v>6</v>
      </c>
      <c r="AR651">
        <v>6</v>
      </c>
      <c r="AS651">
        <v>4</v>
      </c>
      <c r="AT651">
        <v>5</v>
      </c>
      <c r="AU651">
        <v>2</v>
      </c>
      <c r="AV651">
        <v>6</v>
      </c>
      <c r="AW651">
        <v>6</v>
      </c>
      <c r="AX651">
        <v>3</v>
      </c>
      <c r="AY651" cm="1">
        <f t="array" ref="AY651">_xlfn.IFS(AZ651="Positive",1, AZ651="Negative",1, AZ651="Neutral",0)</f>
        <v>1</v>
      </c>
      <c r="AZ651" t="s">
        <v>199</v>
      </c>
      <c r="BA651">
        <v>5</v>
      </c>
      <c r="BB651">
        <v>1</v>
      </c>
      <c r="BC651" s="3">
        <v>4</v>
      </c>
      <c r="BD651" s="3">
        <v>0</v>
      </c>
      <c r="BE651" s="3">
        <v>1</v>
      </c>
      <c r="BF651" s="3">
        <v>0</v>
      </c>
      <c r="BG651" s="3">
        <v>0</v>
      </c>
      <c r="BH651">
        <v>0</v>
      </c>
      <c r="BI651">
        <v>0</v>
      </c>
      <c r="BJ651">
        <v>1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2</v>
      </c>
      <c r="BT651" t="s">
        <v>605</v>
      </c>
      <c r="BU651" t="s">
        <v>333</v>
      </c>
      <c r="BV651" t="s">
        <v>606</v>
      </c>
    </row>
    <row r="652" spans="1:74" hidden="1" x14ac:dyDescent="0.2">
      <c r="A652">
        <v>671</v>
      </c>
      <c r="B652">
        <v>96</v>
      </c>
      <c r="C652" t="s">
        <v>174</v>
      </c>
      <c r="E652" t="s">
        <v>71</v>
      </c>
      <c r="F652">
        <v>22</v>
      </c>
      <c r="G652">
        <v>1999</v>
      </c>
      <c r="H652">
        <v>23</v>
      </c>
      <c r="I652" t="s">
        <v>64</v>
      </c>
      <c r="J652">
        <v>1</v>
      </c>
      <c r="K652" t="s">
        <v>658</v>
      </c>
      <c r="L652" t="s">
        <v>698</v>
      </c>
      <c r="M652">
        <v>2</v>
      </c>
      <c r="N652">
        <v>61</v>
      </c>
      <c r="O652" t="s">
        <v>607</v>
      </c>
      <c r="P652" t="s">
        <v>608</v>
      </c>
      <c r="Q652" t="s">
        <v>729</v>
      </c>
      <c r="R652" t="s">
        <v>777</v>
      </c>
      <c r="S652" t="s">
        <v>281</v>
      </c>
      <c r="T652" t="s">
        <v>292</v>
      </c>
      <c r="U652" t="s">
        <v>609</v>
      </c>
      <c r="V652" t="s">
        <v>610</v>
      </c>
      <c r="W652" t="s">
        <v>200</v>
      </c>
      <c r="X652" t="s">
        <v>199</v>
      </c>
      <c r="Y652" t="s">
        <v>274</v>
      </c>
      <c r="Z652">
        <v>5</v>
      </c>
      <c r="AA652">
        <v>2</v>
      </c>
      <c r="AB652">
        <v>5</v>
      </c>
      <c r="AC652">
        <v>1</v>
      </c>
      <c r="AD652">
        <v>1</v>
      </c>
      <c r="AE652">
        <v>1</v>
      </c>
      <c r="AF652">
        <v>4</v>
      </c>
      <c r="AG652">
        <v>1</v>
      </c>
      <c r="AH652">
        <v>5</v>
      </c>
      <c r="AI652">
        <v>1</v>
      </c>
      <c r="AJ652">
        <v>6</v>
      </c>
      <c r="AK652">
        <v>2</v>
      </c>
      <c r="AL652">
        <v>2</v>
      </c>
      <c r="AM652">
        <v>1</v>
      </c>
      <c r="AN652">
        <v>0</v>
      </c>
      <c r="AO652">
        <v>1</v>
      </c>
      <c r="AP652">
        <v>7</v>
      </c>
      <c r="AQ652">
        <v>6</v>
      </c>
      <c r="AR652">
        <v>2</v>
      </c>
      <c r="AS652">
        <v>4</v>
      </c>
      <c r="AT652">
        <v>4</v>
      </c>
      <c r="AU652">
        <v>4</v>
      </c>
      <c r="AV652">
        <v>4</v>
      </c>
      <c r="AW652">
        <v>5</v>
      </c>
      <c r="AX652">
        <v>3</v>
      </c>
      <c r="AY652" cm="1">
        <f t="array" ref="AY652">_xlfn.IFS(AZ652="Positive",1, AZ652="Negative",1, AZ652="Neutral",0)</f>
        <v>1</v>
      </c>
      <c r="AZ652" t="s">
        <v>199</v>
      </c>
      <c r="BA652">
        <v>7</v>
      </c>
      <c r="BB652">
        <v>0</v>
      </c>
      <c r="BC652" s="3">
        <v>3</v>
      </c>
      <c r="BD652" s="3">
        <v>1</v>
      </c>
      <c r="BE652" s="3">
        <v>2</v>
      </c>
      <c r="BF652" s="3">
        <v>0</v>
      </c>
      <c r="BG652" s="3">
        <v>1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 t="s">
        <v>399</v>
      </c>
      <c r="BT652" t="s">
        <v>559</v>
      </c>
      <c r="BU652" t="s">
        <v>400</v>
      </c>
      <c r="BV652" t="s">
        <v>560</v>
      </c>
    </row>
    <row r="653" spans="1:74" x14ac:dyDescent="0.2">
      <c r="A653">
        <v>672</v>
      </c>
      <c r="B653">
        <v>97</v>
      </c>
      <c r="C653" t="s">
        <v>175</v>
      </c>
      <c r="E653" t="s">
        <v>93</v>
      </c>
      <c r="F653">
        <v>4</v>
      </c>
      <c r="G653">
        <v>1998</v>
      </c>
      <c r="H653">
        <v>24</v>
      </c>
      <c r="I653" t="s">
        <v>64</v>
      </c>
      <c r="J653">
        <v>1</v>
      </c>
      <c r="K653" t="s">
        <v>699</v>
      </c>
      <c r="L653" t="s">
        <v>680</v>
      </c>
      <c r="M653">
        <v>6</v>
      </c>
      <c r="N653">
        <v>67</v>
      </c>
      <c r="O653">
        <v>6</v>
      </c>
      <c r="P653" t="s">
        <v>611</v>
      </c>
      <c r="Q653" t="s">
        <v>778</v>
      </c>
      <c r="R653" t="s">
        <v>759</v>
      </c>
      <c r="S653" t="s">
        <v>403</v>
      </c>
      <c r="T653" t="s">
        <v>431</v>
      </c>
      <c r="U653" t="s">
        <v>436</v>
      </c>
      <c r="V653" t="s">
        <v>612</v>
      </c>
      <c r="W653" t="s">
        <v>200</v>
      </c>
      <c r="X653" t="s">
        <v>199</v>
      </c>
      <c r="Y653" t="s">
        <v>274</v>
      </c>
      <c r="Z653">
        <v>7</v>
      </c>
      <c r="AA653">
        <v>7</v>
      </c>
      <c r="AB653">
        <v>7</v>
      </c>
      <c r="AC653">
        <v>7</v>
      </c>
      <c r="AD653">
        <v>1</v>
      </c>
      <c r="AE653">
        <v>7</v>
      </c>
      <c r="AF653">
        <v>4</v>
      </c>
      <c r="AG653">
        <v>1</v>
      </c>
      <c r="AH653">
        <v>7</v>
      </c>
      <c r="AI653">
        <v>1</v>
      </c>
      <c r="AJ653">
        <v>7</v>
      </c>
      <c r="AK653">
        <v>7</v>
      </c>
      <c r="AL653">
        <v>7</v>
      </c>
      <c r="AM653">
        <v>5</v>
      </c>
      <c r="AN653">
        <v>0</v>
      </c>
      <c r="AO653">
        <v>1</v>
      </c>
      <c r="AP653">
        <v>7</v>
      </c>
      <c r="AQ653">
        <v>7</v>
      </c>
      <c r="AR653">
        <v>7</v>
      </c>
      <c r="AS653">
        <v>7</v>
      </c>
      <c r="AT653">
        <v>7</v>
      </c>
      <c r="AU653">
        <v>7</v>
      </c>
      <c r="AV653">
        <v>7</v>
      </c>
      <c r="AW653">
        <v>7</v>
      </c>
      <c r="AX653">
        <v>3</v>
      </c>
      <c r="AY653" cm="1">
        <f t="array" ref="AY653">_xlfn.IFS(AZ653="Positive",1, AZ653="Negative",1, AZ653="Neutral",0)</f>
        <v>1</v>
      </c>
      <c r="AZ653" t="s">
        <v>199</v>
      </c>
      <c r="BA653">
        <v>0</v>
      </c>
      <c r="BB653">
        <v>3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>
        <v>0</v>
      </c>
      <c r="BI653">
        <v>0</v>
      </c>
      <c r="BJ653">
        <v>3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 t="s">
        <v>296</v>
      </c>
      <c r="BT653">
        <v>1</v>
      </c>
      <c r="BU653" t="s">
        <v>362</v>
      </c>
      <c r="BV653" t="s">
        <v>521</v>
      </c>
    </row>
    <row r="654" spans="1:74" hidden="1" x14ac:dyDescent="0.2">
      <c r="A654">
        <v>673</v>
      </c>
      <c r="B654">
        <v>98</v>
      </c>
      <c r="C654" t="s">
        <v>176</v>
      </c>
      <c r="E654" t="s">
        <v>76</v>
      </c>
      <c r="F654">
        <v>23</v>
      </c>
      <c r="G654">
        <v>2001</v>
      </c>
      <c r="H654">
        <v>21</v>
      </c>
      <c r="I654" t="s">
        <v>64</v>
      </c>
      <c r="J654">
        <v>1</v>
      </c>
      <c r="K654" t="s">
        <v>456</v>
      </c>
      <c r="L654" t="s">
        <v>645</v>
      </c>
      <c r="M654">
        <v>12</v>
      </c>
      <c r="N654">
        <v>71</v>
      </c>
      <c r="O654" t="s">
        <v>405</v>
      </c>
      <c r="P654" t="s">
        <v>314</v>
      </c>
      <c r="Q654" t="s">
        <v>736</v>
      </c>
      <c r="R654" t="s">
        <v>715</v>
      </c>
      <c r="S654" t="s">
        <v>499</v>
      </c>
      <c r="T654" t="s">
        <v>329</v>
      </c>
      <c r="U654" t="s">
        <v>615</v>
      </c>
      <c r="V654" t="s">
        <v>351</v>
      </c>
      <c r="W654" t="s">
        <v>200</v>
      </c>
      <c r="X654" t="s">
        <v>199</v>
      </c>
      <c r="Y654" t="s">
        <v>274</v>
      </c>
      <c r="Z654">
        <v>7</v>
      </c>
      <c r="AA654">
        <v>7</v>
      </c>
      <c r="AB654">
        <v>7</v>
      </c>
      <c r="AC654">
        <v>3</v>
      </c>
      <c r="AD654">
        <v>3</v>
      </c>
      <c r="AE654">
        <v>1</v>
      </c>
      <c r="AF654">
        <v>1</v>
      </c>
      <c r="AG654">
        <v>2</v>
      </c>
      <c r="AH654">
        <v>5</v>
      </c>
      <c r="AI654">
        <v>1</v>
      </c>
      <c r="AJ654">
        <v>7</v>
      </c>
      <c r="AK654">
        <v>5</v>
      </c>
      <c r="AL654">
        <v>5</v>
      </c>
      <c r="AM654">
        <v>4</v>
      </c>
      <c r="AN654">
        <v>6</v>
      </c>
      <c r="AO654">
        <v>1</v>
      </c>
      <c r="AP654">
        <v>7</v>
      </c>
      <c r="AQ654">
        <v>7</v>
      </c>
      <c r="AR654">
        <v>1</v>
      </c>
      <c r="AS654">
        <v>1</v>
      </c>
      <c r="AT654">
        <v>1</v>
      </c>
      <c r="AU654">
        <v>7</v>
      </c>
      <c r="AV654">
        <v>7</v>
      </c>
      <c r="AW654">
        <v>7</v>
      </c>
      <c r="AX654">
        <v>3</v>
      </c>
      <c r="AY654" cm="1">
        <f t="array" ref="AY654">_xlfn.IFS(AZ654="Positive",1, AZ654="Negative",1, AZ654="Neutral",0)</f>
        <v>1</v>
      </c>
      <c r="AZ654" t="s">
        <v>199</v>
      </c>
      <c r="BA654">
        <v>7</v>
      </c>
      <c r="BB654">
        <v>1</v>
      </c>
      <c r="BC654" s="3">
        <v>3</v>
      </c>
      <c r="BD654" s="3">
        <v>1</v>
      </c>
      <c r="BE654" s="3">
        <v>1</v>
      </c>
      <c r="BF654" s="3">
        <v>1</v>
      </c>
      <c r="BG654" s="3">
        <v>1</v>
      </c>
      <c r="BH654">
        <v>0</v>
      </c>
      <c r="BI654">
        <v>0</v>
      </c>
      <c r="BJ654">
        <v>1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 t="s">
        <v>613</v>
      </c>
      <c r="BT654" t="s">
        <v>576</v>
      </c>
      <c r="BU654" t="s">
        <v>614</v>
      </c>
      <c r="BV654" t="s">
        <v>577</v>
      </c>
    </row>
    <row r="655" spans="1:74" hidden="1" x14ac:dyDescent="0.2">
      <c r="A655">
        <v>674</v>
      </c>
      <c r="B655">
        <v>99</v>
      </c>
      <c r="C655" t="s">
        <v>177</v>
      </c>
      <c r="E655" t="s">
        <v>97</v>
      </c>
      <c r="F655">
        <v>14</v>
      </c>
      <c r="G655">
        <v>2001</v>
      </c>
      <c r="H655">
        <v>21</v>
      </c>
      <c r="I655" t="s">
        <v>64</v>
      </c>
      <c r="J655">
        <v>1</v>
      </c>
      <c r="K655" t="s">
        <v>655</v>
      </c>
      <c r="L655" t="s">
        <v>670</v>
      </c>
      <c r="M655">
        <v>8</v>
      </c>
      <c r="N655">
        <v>49</v>
      </c>
      <c r="O655" t="s">
        <v>600</v>
      </c>
      <c r="P655" t="s">
        <v>277</v>
      </c>
      <c r="Q655" t="s">
        <v>725</v>
      </c>
      <c r="R655" t="s">
        <v>746</v>
      </c>
      <c r="S655" t="s">
        <v>291</v>
      </c>
      <c r="T655" t="s">
        <v>491</v>
      </c>
      <c r="U655" t="s">
        <v>601</v>
      </c>
      <c r="V655" t="s">
        <v>535</v>
      </c>
      <c r="W655" t="s">
        <v>200</v>
      </c>
      <c r="X655" t="s">
        <v>199</v>
      </c>
      <c r="Y655" t="s">
        <v>274</v>
      </c>
      <c r="Z655">
        <v>6</v>
      </c>
      <c r="AA655">
        <v>6</v>
      </c>
      <c r="AB655">
        <v>7</v>
      </c>
      <c r="AC655">
        <v>6</v>
      </c>
      <c r="AD655">
        <v>2</v>
      </c>
      <c r="AE655">
        <v>2</v>
      </c>
      <c r="AF655">
        <v>3</v>
      </c>
      <c r="AG655">
        <v>3</v>
      </c>
      <c r="AH655">
        <v>4</v>
      </c>
      <c r="AI655">
        <v>2</v>
      </c>
      <c r="AJ655">
        <v>5</v>
      </c>
      <c r="AK655">
        <v>3</v>
      </c>
      <c r="AL655">
        <v>2</v>
      </c>
      <c r="AM655">
        <v>3</v>
      </c>
      <c r="AN655">
        <v>240</v>
      </c>
      <c r="AO655">
        <v>2</v>
      </c>
      <c r="AP655">
        <v>5</v>
      </c>
      <c r="AQ655">
        <v>4</v>
      </c>
      <c r="AR655">
        <v>6</v>
      </c>
      <c r="AS655">
        <v>6</v>
      </c>
      <c r="AT655">
        <v>5</v>
      </c>
      <c r="AU655">
        <v>5</v>
      </c>
      <c r="AV655">
        <v>6</v>
      </c>
      <c r="AW655">
        <v>6</v>
      </c>
      <c r="AX655">
        <v>2</v>
      </c>
      <c r="AY655" cm="1">
        <f t="array" ref="AY655">_xlfn.IFS(AZ655="Positive",1, AZ655="Negative",1, AZ655="Neutral",0)</f>
        <v>1</v>
      </c>
      <c r="AZ655" t="s">
        <v>199</v>
      </c>
      <c r="BA655">
        <v>9</v>
      </c>
      <c r="BB655">
        <v>0</v>
      </c>
      <c r="BC655" s="3">
        <v>6</v>
      </c>
      <c r="BD655" s="3">
        <v>0</v>
      </c>
      <c r="BE655" s="3">
        <v>0</v>
      </c>
      <c r="BF655" s="3">
        <v>2</v>
      </c>
      <c r="BG655" s="3">
        <v>1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4</v>
      </c>
      <c r="BT655" t="s">
        <v>295</v>
      </c>
      <c r="BU655" t="s">
        <v>370</v>
      </c>
      <c r="BV655" t="s">
        <v>473</v>
      </c>
    </row>
    <row r="656" spans="1:74" x14ac:dyDescent="0.2">
      <c r="A656">
        <v>675</v>
      </c>
      <c r="B656">
        <v>100</v>
      </c>
      <c r="C656" t="s">
        <v>178</v>
      </c>
      <c r="E656" t="s">
        <v>88</v>
      </c>
      <c r="F656">
        <v>28</v>
      </c>
      <c r="G656">
        <v>1998</v>
      </c>
      <c r="H656">
        <v>24</v>
      </c>
      <c r="I656" t="s">
        <v>64</v>
      </c>
      <c r="J656">
        <v>1</v>
      </c>
      <c r="K656" t="s">
        <v>700</v>
      </c>
      <c r="L656" t="s">
        <v>645</v>
      </c>
      <c r="M656">
        <v>6</v>
      </c>
      <c r="N656">
        <v>47</v>
      </c>
      <c r="O656" t="s">
        <v>354</v>
      </c>
      <c r="P656" t="s">
        <v>361</v>
      </c>
      <c r="Q656" t="s">
        <v>779</v>
      </c>
      <c r="R656" t="s">
        <v>715</v>
      </c>
      <c r="S656" t="s">
        <v>403</v>
      </c>
      <c r="T656" t="s">
        <v>401</v>
      </c>
      <c r="U656" t="s">
        <v>616</v>
      </c>
      <c r="V656" t="s">
        <v>366</v>
      </c>
      <c r="W656" t="s">
        <v>200</v>
      </c>
      <c r="X656" t="s">
        <v>199</v>
      </c>
      <c r="Y656" t="s">
        <v>274</v>
      </c>
      <c r="Z656">
        <v>7</v>
      </c>
      <c r="AA656">
        <v>4</v>
      </c>
      <c r="AB656">
        <v>6</v>
      </c>
      <c r="AC656">
        <v>5</v>
      </c>
      <c r="AD656">
        <v>1</v>
      </c>
      <c r="AE656">
        <v>3</v>
      </c>
      <c r="AF656">
        <v>2</v>
      </c>
      <c r="AG656">
        <v>1</v>
      </c>
      <c r="AH656">
        <v>4</v>
      </c>
      <c r="AI656">
        <v>1</v>
      </c>
      <c r="AJ656">
        <v>7</v>
      </c>
      <c r="AK656">
        <v>6</v>
      </c>
      <c r="AL656">
        <v>7</v>
      </c>
      <c r="AM656">
        <v>6</v>
      </c>
      <c r="AN656">
        <v>48</v>
      </c>
      <c r="AO656">
        <v>5</v>
      </c>
      <c r="AP656">
        <v>7</v>
      </c>
      <c r="AQ656">
        <v>6</v>
      </c>
      <c r="AR656">
        <v>4</v>
      </c>
      <c r="AS656">
        <v>6</v>
      </c>
      <c r="AT656">
        <v>5</v>
      </c>
      <c r="AU656">
        <v>6</v>
      </c>
      <c r="AV656">
        <v>6</v>
      </c>
      <c r="AW656">
        <v>5</v>
      </c>
      <c r="AX656">
        <v>3</v>
      </c>
      <c r="AY656" cm="1">
        <f t="array" ref="AY656">_xlfn.IFS(AZ656="Positive",1, AZ656="Negative",1, AZ656="Neutral",0)</f>
        <v>1</v>
      </c>
      <c r="AZ656" t="s">
        <v>199</v>
      </c>
      <c r="BA656">
        <v>0</v>
      </c>
      <c r="BB656">
        <v>1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>
        <v>0</v>
      </c>
      <c r="BI656">
        <v>0</v>
      </c>
      <c r="BJ656">
        <v>1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 t="s">
        <v>453</v>
      </c>
      <c r="BT656" t="s">
        <v>426</v>
      </c>
      <c r="BU656" t="s">
        <v>472</v>
      </c>
      <c r="BV656" t="s">
        <v>429</v>
      </c>
    </row>
    <row r="657" spans="1:74" hidden="1" x14ac:dyDescent="0.2">
      <c r="A657">
        <v>676</v>
      </c>
      <c r="B657">
        <v>101</v>
      </c>
      <c r="C657" t="s">
        <v>179</v>
      </c>
      <c r="E657" t="s">
        <v>71</v>
      </c>
      <c r="F657">
        <v>11</v>
      </c>
      <c r="G657">
        <v>1999</v>
      </c>
      <c r="H657">
        <v>23</v>
      </c>
      <c r="I657" t="s">
        <v>69</v>
      </c>
      <c r="J657">
        <v>2</v>
      </c>
      <c r="K657" t="s">
        <v>652</v>
      </c>
      <c r="L657" t="s">
        <v>670</v>
      </c>
      <c r="M657">
        <v>4</v>
      </c>
      <c r="N657">
        <v>63</v>
      </c>
      <c r="O657">
        <v>5</v>
      </c>
      <c r="P657" t="s">
        <v>481</v>
      </c>
      <c r="Q657" t="s">
        <v>753</v>
      </c>
      <c r="R657" t="s">
        <v>746</v>
      </c>
      <c r="S657" t="s">
        <v>396</v>
      </c>
      <c r="T657" t="s">
        <v>477</v>
      </c>
      <c r="U657" t="s">
        <v>563</v>
      </c>
      <c r="V657" t="s">
        <v>483</v>
      </c>
      <c r="W657" t="s">
        <v>200</v>
      </c>
      <c r="X657" t="s">
        <v>199</v>
      </c>
      <c r="Y657" t="s">
        <v>274</v>
      </c>
      <c r="Z657">
        <v>7</v>
      </c>
      <c r="AA657">
        <v>7</v>
      </c>
      <c r="AB657">
        <v>7</v>
      </c>
      <c r="AC657">
        <v>1</v>
      </c>
      <c r="AD657">
        <v>1</v>
      </c>
      <c r="AE657">
        <v>7</v>
      </c>
      <c r="AF657">
        <v>1</v>
      </c>
      <c r="AG657">
        <v>1</v>
      </c>
      <c r="AH657">
        <v>7</v>
      </c>
      <c r="AI657">
        <v>1</v>
      </c>
      <c r="AJ657">
        <v>7</v>
      </c>
      <c r="AK657">
        <v>3</v>
      </c>
      <c r="AL657">
        <v>2</v>
      </c>
      <c r="AM657">
        <v>5</v>
      </c>
      <c r="AN657">
        <v>14</v>
      </c>
      <c r="AO657">
        <v>7</v>
      </c>
      <c r="AP657">
        <v>7</v>
      </c>
      <c r="AQ657">
        <v>7</v>
      </c>
      <c r="AR657">
        <v>7</v>
      </c>
      <c r="AS657">
        <v>1</v>
      </c>
      <c r="AT657">
        <v>1</v>
      </c>
      <c r="AU657">
        <v>1</v>
      </c>
      <c r="AV657">
        <v>1</v>
      </c>
      <c r="AW657">
        <v>7</v>
      </c>
      <c r="AX657">
        <v>3</v>
      </c>
      <c r="AY657" cm="1">
        <f t="array" ref="AY657">_xlfn.IFS(AZ657="Positive",1, AZ657="Negative",1, AZ657="Neutral",0)</f>
        <v>1</v>
      </c>
      <c r="AZ657" t="s">
        <v>199</v>
      </c>
      <c r="BA657">
        <v>20</v>
      </c>
      <c r="BB657">
        <v>0</v>
      </c>
      <c r="BC657" s="3">
        <v>6</v>
      </c>
      <c r="BD657" s="3">
        <v>0</v>
      </c>
      <c r="BE657" s="3">
        <v>0</v>
      </c>
      <c r="BF657" s="3">
        <v>10</v>
      </c>
      <c r="BG657" s="3">
        <v>4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 t="s">
        <v>399</v>
      </c>
      <c r="BT657" t="s">
        <v>367</v>
      </c>
      <c r="BU657" t="s">
        <v>400</v>
      </c>
      <c r="BV657" t="s">
        <v>371</v>
      </c>
    </row>
    <row r="658" spans="1:74" hidden="1" x14ac:dyDescent="0.2">
      <c r="A658">
        <v>677</v>
      </c>
      <c r="B658">
        <v>102</v>
      </c>
      <c r="C658" t="s">
        <v>180</v>
      </c>
      <c r="E658" t="s">
        <v>71</v>
      </c>
      <c r="F658">
        <v>12</v>
      </c>
      <c r="G658">
        <v>1999</v>
      </c>
      <c r="H658">
        <v>23</v>
      </c>
      <c r="I658" t="s">
        <v>64</v>
      </c>
      <c r="J658">
        <v>1</v>
      </c>
      <c r="K658" t="s">
        <v>637</v>
      </c>
      <c r="L658" t="s">
        <v>669</v>
      </c>
      <c r="M658">
        <v>6</v>
      </c>
      <c r="N658">
        <v>54</v>
      </c>
      <c r="O658" t="s">
        <v>314</v>
      </c>
      <c r="P658">
        <v>5</v>
      </c>
      <c r="Q658" t="s">
        <v>706</v>
      </c>
      <c r="R658" t="s">
        <v>745</v>
      </c>
      <c r="S658" t="s">
        <v>403</v>
      </c>
      <c r="T658" t="s">
        <v>455</v>
      </c>
      <c r="U658" t="s">
        <v>320</v>
      </c>
      <c r="V658" t="s">
        <v>524</v>
      </c>
      <c r="W658" t="s">
        <v>200</v>
      </c>
      <c r="X658" t="s">
        <v>199</v>
      </c>
      <c r="Y658" t="s">
        <v>274</v>
      </c>
      <c r="Z658">
        <v>5</v>
      </c>
      <c r="AA658">
        <v>5</v>
      </c>
      <c r="AB658">
        <v>6</v>
      </c>
      <c r="AC658">
        <v>6</v>
      </c>
      <c r="AD658">
        <v>6</v>
      </c>
      <c r="AE658">
        <v>6</v>
      </c>
      <c r="AF658">
        <v>6</v>
      </c>
      <c r="AG658">
        <v>2</v>
      </c>
      <c r="AH658">
        <v>6</v>
      </c>
      <c r="AI658">
        <v>4</v>
      </c>
      <c r="AJ658">
        <v>6</v>
      </c>
      <c r="AK658">
        <v>6</v>
      </c>
      <c r="AL658">
        <v>6</v>
      </c>
      <c r="AM658">
        <v>2</v>
      </c>
      <c r="AN658">
        <v>90</v>
      </c>
      <c r="AO658">
        <v>5</v>
      </c>
      <c r="AP658">
        <v>4</v>
      </c>
      <c r="AQ658">
        <v>5</v>
      </c>
      <c r="AR658">
        <v>6</v>
      </c>
      <c r="AS658">
        <v>5</v>
      </c>
      <c r="AT658">
        <v>5</v>
      </c>
      <c r="AU658">
        <v>5</v>
      </c>
      <c r="AV658">
        <v>4</v>
      </c>
      <c r="AW658">
        <v>5</v>
      </c>
      <c r="AX658">
        <v>2</v>
      </c>
      <c r="AY658" cm="1">
        <f t="array" ref="AY658">_xlfn.IFS(AZ658="Positive",1, AZ658="Negative",1, AZ658="Neutral",0)</f>
        <v>1</v>
      </c>
      <c r="AZ658" t="s">
        <v>199</v>
      </c>
      <c r="BA658">
        <v>12</v>
      </c>
      <c r="BB658">
        <v>1</v>
      </c>
      <c r="BC658" s="3">
        <v>9</v>
      </c>
      <c r="BD658" s="3">
        <v>1</v>
      </c>
      <c r="BE658" s="3">
        <v>1</v>
      </c>
      <c r="BF658" s="3">
        <v>0</v>
      </c>
      <c r="BG658" s="3">
        <v>1</v>
      </c>
      <c r="BH658">
        <v>0</v>
      </c>
      <c r="BI658">
        <v>0</v>
      </c>
      <c r="BJ658">
        <v>1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 t="s">
        <v>382</v>
      </c>
      <c r="BT658" t="s">
        <v>475</v>
      </c>
      <c r="BU658" t="s">
        <v>385</v>
      </c>
      <c r="BV658" t="s">
        <v>476</v>
      </c>
    </row>
    <row r="659" spans="1:74" hidden="1" x14ac:dyDescent="0.2">
      <c r="A659">
        <v>678</v>
      </c>
      <c r="B659">
        <v>103</v>
      </c>
      <c r="C659" t="s">
        <v>181</v>
      </c>
      <c r="E659" t="s">
        <v>73</v>
      </c>
      <c r="F659">
        <v>2</v>
      </c>
      <c r="G659">
        <v>1999</v>
      </c>
      <c r="H659">
        <v>23</v>
      </c>
      <c r="I659" t="s">
        <v>64</v>
      </c>
      <c r="J659">
        <v>1</v>
      </c>
      <c r="K659" t="s">
        <v>678</v>
      </c>
      <c r="L659" t="s">
        <v>638</v>
      </c>
      <c r="M659">
        <v>12</v>
      </c>
      <c r="N659">
        <v>61</v>
      </c>
      <c r="O659" t="s">
        <v>562</v>
      </c>
      <c r="P659" t="s">
        <v>405</v>
      </c>
      <c r="Q659" t="s">
        <v>757</v>
      </c>
      <c r="R659" t="s">
        <v>707</v>
      </c>
      <c r="S659" t="s">
        <v>499</v>
      </c>
      <c r="T659" t="s">
        <v>292</v>
      </c>
      <c r="U659" t="s">
        <v>581</v>
      </c>
      <c r="V659" t="s">
        <v>407</v>
      </c>
      <c r="W659" t="s">
        <v>200</v>
      </c>
      <c r="X659" t="s">
        <v>199</v>
      </c>
      <c r="Y659" t="s">
        <v>274</v>
      </c>
      <c r="Z659">
        <v>5</v>
      </c>
      <c r="AA659">
        <v>4</v>
      </c>
      <c r="AB659">
        <v>5</v>
      </c>
      <c r="AC659">
        <v>5</v>
      </c>
      <c r="AD659">
        <v>1</v>
      </c>
      <c r="AE659">
        <v>7</v>
      </c>
      <c r="AF659">
        <v>4</v>
      </c>
      <c r="AG659">
        <v>2</v>
      </c>
      <c r="AH659">
        <v>6</v>
      </c>
      <c r="AI659">
        <v>1</v>
      </c>
      <c r="AJ659">
        <v>7</v>
      </c>
      <c r="AK659">
        <v>6</v>
      </c>
      <c r="AL659">
        <v>5</v>
      </c>
      <c r="AM659">
        <v>6</v>
      </c>
      <c r="AN659">
        <v>97</v>
      </c>
      <c r="AO659">
        <v>1</v>
      </c>
      <c r="AP659">
        <v>7</v>
      </c>
      <c r="AQ659">
        <v>7</v>
      </c>
      <c r="AR659">
        <v>2</v>
      </c>
      <c r="AS659">
        <v>5</v>
      </c>
      <c r="AT659">
        <v>3</v>
      </c>
      <c r="AU659">
        <v>6</v>
      </c>
      <c r="AV659">
        <v>7</v>
      </c>
      <c r="AW659">
        <v>7</v>
      </c>
      <c r="AX659">
        <v>3</v>
      </c>
      <c r="AY659" cm="1">
        <f t="array" ref="AY659">_xlfn.IFS(AZ659="Positive",1, AZ659="Negative",1, AZ659="Neutral",0)</f>
        <v>1</v>
      </c>
      <c r="AZ659" t="s">
        <v>199</v>
      </c>
      <c r="BA659">
        <v>8</v>
      </c>
      <c r="BB659">
        <v>2</v>
      </c>
      <c r="BC659" s="3">
        <v>5</v>
      </c>
      <c r="BD659" s="3">
        <v>0</v>
      </c>
      <c r="BE659" s="3">
        <v>1</v>
      </c>
      <c r="BF659" s="3">
        <v>1</v>
      </c>
      <c r="BG659" s="3">
        <v>1</v>
      </c>
      <c r="BH659">
        <v>0</v>
      </c>
      <c r="BI659">
        <v>0</v>
      </c>
      <c r="BJ659">
        <v>2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 t="s">
        <v>375</v>
      </c>
      <c r="BT659" t="s">
        <v>578</v>
      </c>
      <c r="BU659" t="s">
        <v>377</v>
      </c>
      <c r="BV659" t="s">
        <v>579</v>
      </c>
    </row>
    <row r="660" spans="1:74" hidden="1" x14ac:dyDescent="0.2">
      <c r="A660">
        <v>679</v>
      </c>
      <c r="B660">
        <v>104</v>
      </c>
      <c r="C660" t="s">
        <v>182</v>
      </c>
      <c r="E660" t="s">
        <v>71</v>
      </c>
      <c r="F660">
        <v>13</v>
      </c>
      <c r="G660">
        <v>2003</v>
      </c>
      <c r="H660">
        <v>19</v>
      </c>
      <c r="I660" t="s">
        <v>164</v>
      </c>
      <c r="J660">
        <v>3</v>
      </c>
      <c r="K660" t="s">
        <v>683</v>
      </c>
      <c r="L660" t="s">
        <v>660</v>
      </c>
      <c r="M660">
        <v>11</v>
      </c>
      <c r="N660">
        <v>52</v>
      </c>
      <c r="O660" t="s">
        <v>384</v>
      </c>
      <c r="P660" t="s">
        <v>583</v>
      </c>
      <c r="Q660" t="s">
        <v>762</v>
      </c>
      <c r="R660" t="s">
        <v>733</v>
      </c>
      <c r="S660" t="s">
        <v>514</v>
      </c>
      <c r="T660" t="s">
        <v>495</v>
      </c>
      <c r="U660" t="s">
        <v>387</v>
      </c>
      <c r="V660" t="s">
        <v>584</v>
      </c>
      <c r="W660" t="s">
        <v>200</v>
      </c>
      <c r="X660" t="s">
        <v>199</v>
      </c>
      <c r="Y660" t="s">
        <v>274</v>
      </c>
      <c r="Z660">
        <v>7</v>
      </c>
      <c r="AA660">
        <v>7</v>
      </c>
      <c r="AB660">
        <v>7</v>
      </c>
      <c r="AC660">
        <v>7</v>
      </c>
      <c r="AD660">
        <v>7</v>
      </c>
      <c r="AE660">
        <v>7</v>
      </c>
      <c r="AF660">
        <v>2</v>
      </c>
      <c r="AG660">
        <v>1</v>
      </c>
      <c r="AH660">
        <v>7</v>
      </c>
      <c r="AI660">
        <v>1</v>
      </c>
      <c r="AJ660">
        <v>7</v>
      </c>
      <c r="AK660">
        <v>7</v>
      </c>
      <c r="AL660">
        <v>6</v>
      </c>
      <c r="AM660">
        <v>6</v>
      </c>
      <c r="AN660">
        <v>13</v>
      </c>
      <c r="AO660">
        <v>2</v>
      </c>
      <c r="AP660">
        <v>7</v>
      </c>
      <c r="AQ660">
        <v>6</v>
      </c>
      <c r="AR660">
        <v>6</v>
      </c>
      <c r="AS660">
        <v>6</v>
      </c>
      <c r="AT660">
        <v>6</v>
      </c>
      <c r="AU660">
        <v>6</v>
      </c>
      <c r="AV660">
        <v>6</v>
      </c>
      <c r="AW660">
        <v>7</v>
      </c>
      <c r="AX660">
        <v>3</v>
      </c>
      <c r="AY660" cm="1">
        <f t="array" ref="AY660">_xlfn.IFS(AZ660="Positive",1, AZ660="Negative",1, AZ660="Neutral",0)</f>
        <v>1</v>
      </c>
      <c r="AZ660" t="s">
        <v>199</v>
      </c>
      <c r="BA660">
        <v>13</v>
      </c>
      <c r="BB660">
        <v>0</v>
      </c>
      <c r="BC660" s="3">
        <v>6</v>
      </c>
      <c r="BD660" s="3">
        <v>0</v>
      </c>
      <c r="BE660" s="3">
        <v>1</v>
      </c>
      <c r="BF660" s="3">
        <v>4</v>
      </c>
      <c r="BG660" s="3">
        <v>2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2</v>
      </c>
      <c r="BT660" t="s">
        <v>516</v>
      </c>
      <c r="BU660" t="s">
        <v>333</v>
      </c>
      <c r="BV660" t="s">
        <v>592</v>
      </c>
    </row>
    <row r="661" spans="1:74" hidden="1" x14ac:dyDescent="0.2">
      <c r="A661">
        <v>680</v>
      </c>
      <c r="B661">
        <v>105</v>
      </c>
      <c r="C661" t="s">
        <v>183</v>
      </c>
      <c r="E661" t="s">
        <v>80</v>
      </c>
      <c r="F661">
        <v>15</v>
      </c>
      <c r="G661">
        <v>1999</v>
      </c>
      <c r="H661">
        <v>23</v>
      </c>
      <c r="I661" t="s">
        <v>64</v>
      </c>
      <c r="J661">
        <v>1</v>
      </c>
      <c r="K661" t="s">
        <v>651</v>
      </c>
      <c r="L661" t="s">
        <v>682</v>
      </c>
      <c r="M661">
        <v>11</v>
      </c>
      <c r="N661">
        <v>75</v>
      </c>
      <c r="O661" t="s">
        <v>568</v>
      </c>
      <c r="P661" t="s">
        <v>617</v>
      </c>
      <c r="Q661" t="s">
        <v>721</v>
      </c>
      <c r="R661" t="s">
        <v>761</v>
      </c>
      <c r="S661" t="s">
        <v>514</v>
      </c>
      <c r="T661" t="s">
        <v>507</v>
      </c>
      <c r="U661" t="s">
        <v>570</v>
      </c>
      <c r="V661" t="s">
        <v>618</v>
      </c>
      <c r="W661" t="s">
        <v>200</v>
      </c>
      <c r="X661" t="s">
        <v>199</v>
      </c>
      <c r="Y661" t="s">
        <v>274</v>
      </c>
      <c r="Z661">
        <v>7</v>
      </c>
      <c r="AA661">
        <v>7</v>
      </c>
      <c r="AB661">
        <v>7</v>
      </c>
      <c r="AC661">
        <v>7</v>
      </c>
      <c r="AD661">
        <v>1</v>
      </c>
      <c r="AE661">
        <v>6</v>
      </c>
      <c r="AF661">
        <v>7</v>
      </c>
      <c r="AG661">
        <v>7</v>
      </c>
      <c r="AH661">
        <v>7</v>
      </c>
      <c r="AI661">
        <v>1</v>
      </c>
      <c r="AJ661">
        <v>7</v>
      </c>
      <c r="AK661">
        <v>7</v>
      </c>
      <c r="AL661">
        <v>7</v>
      </c>
      <c r="AM661">
        <v>6</v>
      </c>
      <c r="AN661">
        <v>37</v>
      </c>
      <c r="AO661">
        <v>2</v>
      </c>
      <c r="AP661">
        <v>7</v>
      </c>
      <c r="AQ661">
        <v>7</v>
      </c>
      <c r="AR661">
        <v>5</v>
      </c>
      <c r="AS661">
        <v>7</v>
      </c>
      <c r="AT661">
        <v>7</v>
      </c>
      <c r="AU661">
        <v>7</v>
      </c>
      <c r="AV661">
        <v>7</v>
      </c>
      <c r="AW661">
        <v>5</v>
      </c>
      <c r="AX661">
        <v>3</v>
      </c>
      <c r="AY661" cm="1">
        <f t="array" ref="AY661">_xlfn.IFS(AZ661="Positive",1, AZ661="Negative",1, AZ661="Neutral",0)</f>
        <v>1</v>
      </c>
      <c r="AZ661" t="s">
        <v>199</v>
      </c>
      <c r="BA661">
        <v>15</v>
      </c>
      <c r="BB661">
        <v>3</v>
      </c>
      <c r="BC661" s="3">
        <v>9</v>
      </c>
      <c r="BD661" s="3">
        <v>0</v>
      </c>
      <c r="BE661" s="3">
        <v>0</v>
      </c>
      <c r="BF661" s="3">
        <v>0</v>
      </c>
      <c r="BG661" s="3">
        <v>6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1</v>
      </c>
      <c r="BN661">
        <v>1</v>
      </c>
      <c r="BO661">
        <v>0</v>
      </c>
      <c r="BP661">
        <v>0</v>
      </c>
      <c r="BQ661">
        <v>1</v>
      </c>
      <c r="BR661">
        <v>0</v>
      </c>
      <c r="BS661" t="s">
        <v>510</v>
      </c>
      <c r="BT661" t="s">
        <v>414</v>
      </c>
      <c r="BU661" t="s">
        <v>511</v>
      </c>
      <c r="BV661" t="s">
        <v>530</v>
      </c>
    </row>
    <row r="662" spans="1:74" hidden="1" x14ac:dyDescent="0.2">
      <c r="A662">
        <v>681</v>
      </c>
      <c r="B662">
        <v>106</v>
      </c>
      <c r="C662" t="s">
        <v>184</v>
      </c>
      <c r="E662" t="s">
        <v>80</v>
      </c>
      <c r="F662">
        <v>7</v>
      </c>
      <c r="G662">
        <v>2000</v>
      </c>
      <c r="H662">
        <v>22</v>
      </c>
      <c r="I662" t="s">
        <v>69</v>
      </c>
      <c r="J662">
        <v>2</v>
      </c>
      <c r="K662" t="s">
        <v>694</v>
      </c>
      <c r="L662" t="s">
        <v>701</v>
      </c>
      <c r="M662">
        <v>12</v>
      </c>
      <c r="N662">
        <v>54</v>
      </c>
      <c r="O662" t="s">
        <v>463</v>
      </c>
      <c r="P662" t="s">
        <v>354</v>
      </c>
      <c r="Q662" t="s">
        <v>774</v>
      </c>
      <c r="R662" t="s">
        <v>780</v>
      </c>
      <c r="S662" t="s">
        <v>499</v>
      </c>
      <c r="T662" t="s">
        <v>455</v>
      </c>
      <c r="U662" t="s">
        <v>546</v>
      </c>
      <c r="V662" t="s">
        <v>359</v>
      </c>
      <c r="W662" t="s">
        <v>200</v>
      </c>
      <c r="X662" t="s">
        <v>199</v>
      </c>
      <c r="Y662" t="s">
        <v>274</v>
      </c>
      <c r="Z662">
        <v>6</v>
      </c>
      <c r="AA662">
        <v>6</v>
      </c>
      <c r="AB662">
        <v>6</v>
      </c>
      <c r="AC662">
        <v>2</v>
      </c>
      <c r="AD662">
        <v>1</v>
      </c>
      <c r="AE662">
        <v>3</v>
      </c>
      <c r="AF662">
        <v>2</v>
      </c>
      <c r="AG662">
        <v>2</v>
      </c>
      <c r="AH662">
        <v>6</v>
      </c>
      <c r="AI662">
        <v>5</v>
      </c>
      <c r="AJ662">
        <v>2</v>
      </c>
      <c r="AK662">
        <v>5</v>
      </c>
      <c r="AL662">
        <v>2</v>
      </c>
      <c r="AM662">
        <v>2</v>
      </c>
      <c r="AN662">
        <v>60</v>
      </c>
      <c r="AO662">
        <v>1</v>
      </c>
      <c r="AP662">
        <v>3</v>
      </c>
      <c r="AQ662">
        <v>5</v>
      </c>
      <c r="AR662">
        <v>3</v>
      </c>
      <c r="AS662">
        <v>5</v>
      </c>
      <c r="AT662">
        <v>3</v>
      </c>
      <c r="AU662">
        <v>5</v>
      </c>
      <c r="AV662">
        <v>6</v>
      </c>
      <c r="AW662">
        <v>5</v>
      </c>
      <c r="AX662">
        <v>2</v>
      </c>
      <c r="AY662" cm="1">
        <f t="array" ref="AY662">_xlfn.IFS(AZ662="Positive",1, AZ662="Negative",1, AZ662="Neutral",0)</f>
        <v>1</v>
      </c>
      <c r="AZ662" t="s">
        <v>199</v>
      </c>
      <c r="BA662">
        <v>7</v>
      </c>
      <c r="BB662">
        <v>3</v>
      </c>
      <c r="BC662" s="3">
        <v>5</v>
      </c>
      <c r="BD662" s="3">
        <v>1</v>
      </c>
      <c r="BE662" s="3">
        <v>1</v>
      </c>
      <c r="BF662" s="3">
        <v>0</v>
      </c>
      <c r="BG662" s="3">
        <v>0</v>
      </c>
      <c r="BH662">
        <v>0</v>
      </c>
      <c r="BI662">
        <v>0</v>
      </c>
      <c r="BJ662">
        <v>3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 t="s">
        <v>619</v>
      </c>
      <c r="BT662" t="s">
        <v>295</v>
      </c>
      <c r="BU662" t="s">
        <v>620</v>
      </c>
      <c r="BV662" t="s">
        <v>473</v>
      </c>
    </row>
    <row r="663" spans="1:74" hidden="1" x14ac:dyDescent="0.2">
      <c r="A663">
        <v>682</v>
      </c>
      <c r="B663">
        <v>107</v>
      </c>
      <c r="C663" t="s">
        <v>185</v>
      </c>
      <c r="E663" t="s">
        <v>97</v>
      </c>
      <c r="F663">
        <v>9</v>
      </c>
      <c r="G663">
        <v>1998</v>
      </c>
      <c r="H663">
        <v>24</v>
      </c>
      <c r="I663" t="s">
        <v>69</v>
      </c>
      <c r="J663">
        <v>2</v>
      </c>
      <c r="K663" t="s">
        <v>700</v>
      </c>
      <c r="L663" t="s">
        <v>669</v>
      </c>
      <c r="M663">
        <v>15</v>
      </c>
      <c r="N663">
        <v>68</v>
      </c>
      <c r="O663" t="s">
        <v>585</v>
      </c>
      <c r="P663" t="s">
        <v>369</v>
      </c>
      <c r="Q663" t="s">
        <v>779</v>
      </c>
      <c r="R663" t="s">
        <v>745</v>
      </c>
      <c r="S663" t="s">
        <v>363</v>
      </c>
      <c r="T663" t="s">
        <v>487</v>
      </c>
      <c r="U663" t="s">
        <v>587</v>
      </c>
      <c r="V663" t="s">
        <v>374</v>
      </c>
      <c r="W663" t="s">
        <v>200</v>
      </c>
      <c r="X663" t="s">
        <v>199</v>
      </c>
      <c r="Y663" t="s">
        <v>274</v>
      </c>
      <c r="Z663">
        <v>7</v>
      </c>
      <c r="AA663">
        <v>7</v>
      </c>
      <c r="AB663">
        <v>6</v>
      </c>
      <c r="AC663">
        <v>6</v>
      </c>
      <c r="AD663">
        <v>1</v>
      </c>
      <c r="AE663">
        <v>1</v>
      </c>
      <c r="AF663">
        <v>3</v>
      </c>
      <c r="AG663">
        <v>2</v>
      </c>
      <c r="AH663">
        <v>7</v>
      </c>
      <c r="AI663">
        <v>1</v>
      </c>
      <c r="AJ663">
        <v>7</v>
      </c>
      <c r="AK663">
        <v>7</v>
      </c>
      <c r="AL663">
        <v>7</v>
      </c>
      <c r="AM663">
        <v>3</v>
      </c>
      <c r="AN663">
        <v>240</v>
      </c>
      <c r="AO663">
        <v>7</v>
      </c>
      <c r="AP663">
        <v>7</v>
      </c>
      <c r="AQ663">
        <v>7</v>
      </c>
      <c r="AR663">
        <v>4</v>
      </c>
      <c r="AS663">
        <v>4</v>
      </c>
      <c r="AT663">
        <v>3</v>
      </c>
      <c r="AU663">
        <v>2</v>
      </c>
      <c r="AV663">
        <v>3</v>
      </c>
      <c r="AW663">
        <v>7</v>
      </c>
      <c r="AX663">
        <v>3</v>
      </c>
      <c r="AY663" cm="1">
        <f t="array" ref="AY663">_xlfn.IFS(AZ663="Positive",1, AZ663="Negative",1, AZ663="Neutral",0)</f>
        <v>1</v>
      </c>
      <c r="AZ663" t="s">
        <v>199</v>
      </c>
      <c r="BA663">
        <v>24</v>
      </c>
      <c r="BB663">
        <v>2</v>
      </c>
      <c r="BC663" s="3">
        <v>13</v>
      </c>
      <c r="BD663" s="3">
        <v>0</v>
      </c>
      <c r="BE663" s="3">
        <v>4</v>
      </c>
      <c r="BF663" s="3">
        <v>3</v>
      </c>
      <c r="BG663" s="3">
        <v>4</v>
      </c>
      <c r="BH663">
        <v>0</v>
      </c>
      <c r="BI663">
        <v>0</v>
      </c>
      <c r="BJ663">
        <v>2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 t="s">
        <v>453</v>
      </c>
      <c r="BT663" t="s">
        <v>433</v>
      </c>
      <c r="BU663" t="s">
        <v>472</v>
      </c>
      <c r="BV663" t="s">
        <v>435</v>
      </c>
    </row>
    <row r="664" spans="1:74" hidden="1" x14ac:dyDescent="0.2">
      <c r="A664">
        <v>683</v>
      </c>
      <c r="B664">
        <v>108</v>
      </c>
      <c r="C664" t="s">
        <v>186</v>
      </c>
      <c r="E664" t="s">
        <v>71</v>
      </c>
      <c r="F664">
        <v>7</v>
      </c>
      <c r="G664">
        <v>1999</v>
      </c>
      <c r="H664">
        <v>23</v>
      </c>
      <c r="I664" t="s">
        <v>64</v>
      </c>
      <c r="J664">
        <v>1</v>
      </c>
      <c r="K664" t="s">
        <v>649</v>
      </c>
      <c r="L664" t="s">
        <v>654</v>
      </c>
      <c r="M664">
        <v>1</v>
      </c>
      <c r="N664">
        <v>58</v>
      </c>
      <c r="O664" t="s">
        <v>611</v>
      </c>
      <c r="P664" t="s">
        <v>611</v>
      </c>
      <c r="Q664" t="s">
        <v>719</v>
      </c>
      <c r="R664" t="s">
        <v>728</v>
      </c>
      <c r="S664" t="s">
        <v>335</v>
      </c>
      <c r="T664" t="s">
        <v>364</v>
      </c>
      <c r="U664" t="s">
        <v>621</v>
      </c>
      <c r="V664" t="s">
        <v>612</v>
      </c>
      <c r="W664" t="s">
        <v>200</v>
      </c>
      <c r="X664" t="s">
        <v>199</v>
      </c>
      <c r="Y664" t="s">
        <v>274</v>
      </c>
      <c r="Z664">
        <v>7</v>
      </c>
      <c r="AA664">
        <v>7</v>
      </c>
      <c r="AB664">
        <v>6</v>
      </c>
      <c r="AC664">
        <v>7</v>
      </c>
      <c r="AD664">
        <v>7</v>
      </c>
      <c r="AE664">
        <v>7</v>
      </c>
      <c r="AF664">
        <v>7</v>
      </c>
      <c r="AG664">
        <v>1</v>
      </c>
      <c r="AH664">
        <v>7</v>
      </c>
      <c r="AI664">
        <v>6</v>
      </c>
      <c r="AJ664">
        <v>7</v>
      </c>
      <c r="AK664">
        <v>7</v>
      </c>
      <c r="AL664">
        <v>7</v>
      </c>
      <c r="AM664">
        <v>7</v>
      </c>
      <c r="AN664">
        <v>239</v>
      </c>
      <c r="AO664">
        <v>7</v>
      </c>
      <c r="AP664">
        <v>7</v>
      </c>
      <c r="AQ664">
        <v>7</v>
      </c>
      <c r="AR664">
        <v>7</v>
      </c>
      <c r="AS664">
        <v>7</v>
      </c>
      <c r="AT664">
        <v>7</v>
      </c>
      <c r="AU664">
        <v>7</v>
      </c>
      <c r="AV664">
        <v>7</v>
      </c>
      <c r="AW664">
        <v>7</v>
      </c>
      <c r="AX664">
        <v>3</v>
      </c>
      <c r="AY664" cm="1">
        <f t="array" ref="AY664">_xlfn.IFS(AZ664="Positive",1, AZ664="Negative",1, AZ664="Neutral",0)</f>
        <v>1</v>
      </c>
      <c r="AZ664" t="s">
        <v>199</v>
      </c>
      <c r="BA664">
        <v>12</v>
      </c>
      <c r="BB664">
        <v>0</v>
      </c>
      <c r="BC664" s="3">
        <v>6</v>
      </c>
      <c r="BD664" s="3">
        <v>0</v>
      </c>
      <c r="BE664" s="3">
        <v>1</v>
      </c>
      <c r="BF664" s="3">
        <v>2</v>
      </c>
      <c r="BG664" s="3">
        <v>3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 t="s">
        <v>344</v>
      </c>
      <c r="BT664" t="s">
        <v>367</v>
      </c>
      <c r="BU664" t="s">
        <v>347</v>
      </c>
      <c r="BV664" t="s">
        <v>371</v>
      </c>
    </row>
    <row r="665" spans="1:74" hidden="1" x14ac:dyDescent="0.2">
      <c r="A665">
        <v>684</v>
      </c>
      <c r="B665">
        <v>109</v>
      </c>
      <c r="C665" t="s">
        <v>187</v>
      </c>
      <c r="E665" t="s">
        <v>63</v>
      </c>
      <c r="F665">
        <v>1</v>
      </c>
      <c r="G665">
        <v>2000</v>
      </c>
      <c r="H665">
        <v>22</v>
      </c>
      <c r="I665" t="s">
        <v>69</v>
      </c>
      <c r="J665">
        <v>2</v>
      </c>
      <c r="K665" t="s">
        <v>416</v>
      </c>
      <c r="L665" t="s">
        <v>660</v>
      </c>
      <c r="M665">
        <v>1</v>
      </c>
      <c r="N665">
        <v>64</v>
      </c>
      <c r="O665" t="s">
        <v>460</v>
      </c>
      <c r="P665" t="s">
        <v>325</v>
      </c>
      <c r="Q665" t="s">
        <v>723</v>
      </c>
      <c r="R665" t="s">
        <v>733</v>
      </c>
      <c r="S665" t="s">
        <v>335</v>
      </c>
      <c r="T665" t="s">
        <v>540</v>
      </c>
      <c r="U665" t="s">
        <v>582</v>
      </c>
      <c r="V665" t="s">
        <v>331</v>
      </c>
      <c r="W665" t="s">
        <v>200</v>
      </c>
      <c r="X665" t="s">
        <v>199</v>
      </c>
      <c r="Y665" t="s">
        <v>274</v>
      </c>
      <c r="Z665">
        <v>7</v>
      </c>
      <c r="AA665">
        <v>6</v>
      </c>
      <c r="AB665">
        <v>6</v>
      </c>
      <c r="AC665">
        <v>4</v>
      </c>
      <c r="AD665">
        <v>1</v>
      </c>
      <c r="AE665">
        <v>4</v>
      </c>
      <c r="AF665">
        <v>4</v>
      </c>
      <c r="AG665">
        <v>1</v>
      </c>
      <c r="AH665">
        <v>6</v>
      </c>
      <c r="AI665">
        <v>1</v>
      </c>
      <c r="AJ665">
        <v>7</v>
      </c>
      <c r="AK665">
        <v>6</v>
      </c>
      <c r="AL665">
        <v>5</v>
      </c>
      <c r="AM665">
        <v>5</v>
      </c>
      <c r="AN665">
        <v>18</v>
      </c>
      <c r="AO665">
        <v>4</v>
      </c>
      <c r="AP665">
        <v>7</v>
      </c>
      <c r="AQ665">
        <v>6</v>
      </c>
      <c r="AR665">
        <v>4</v>
      </c>
      <c r="AS665">
        <v>4</v>
      </c>
      <c r="AT665">
        <v>5</v>
      </c>
      <c r="AU665">
        <v>6</v>
      </c>
      <c r="AV665">
        <v>5</v>
      </c>
      <c r="AW665">
        <v>6</v>
      </c>
      <c r="AX665">
        <v>3</v>
      </c>
      <c r="AY665" cm="1">
        <f t="array" ref="AY665">_xlfn.IFS(AZ665="Positive",1, AZ665="Negative",1, AZ665="Neutral",0)</f>
        <v>1</v>
      </c>
      <c r="AZ665" t="s">
        <v>199</v>
      </c>
      <c r="BA665">
        <v>5</v>
      </c>
      <c r="BB665">
        <v>2</v>
      </c>
      <c r="BC665" s="3">
        <v>3</v>
      </c>
      <c r="BD665" s="3">
        <v>0</v>
      </c>
      <c r="BE665" s="3">
        <v>1</v>
      </c>
      <c r="BF665" s="3">
        <v>1</v>
      </c>
      <c r="BG665" s="3">
        <v>0</v>
      </c>
      <c r="BH665">
        <v>0</v>
      </c>
      <c r="BI665">
        <v>0</v>
      </c>
      <c r="BJ665">
        <v>2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 t="s">
        <v>414</v>
      </c>
      <c r="BT665" t="s">
        <v>619</v>
      </c>
      <c r="BU665" t="s">
        <v>417</v>
      </c>
      <c r="BV665" t="s">
        <v>622</v>
      </c>
    </row>
    <row r="666" spans="1:74" hidden="1" x14ac:dyDescent="0.2">
      <c r="A666">
        <v>685</v>
      </c>
      <c r="B666">
        <v>110</v>
      </c>
      <c r="C666" t="s">
        <v>188</v>
      </c>
      <c r="E666" t="s">
        <v>68</v>
      </c>
      <c r="F666">
        <v>12</v>
      </c>
      <c r="G666">
        <v>2001</v>
      </c>
      <c r="H666">
        <v>21</v>
      </c>
      <c r="I666" t="s">
        <v>69</v>
      </c>
      <c r="J666">
        <v>2</v>
      </c>
      <c r="K666" t="s">
        <v>661</v>
      </c>
      <c r="L666" t="s">
        <v>633</v>
      </c>
      <c r="M666">
        <v>10</v>
      </c>
      <c r="N666">
        <v>71</v>
      </c>
      <c r="O666" t="s">
        <v>583</v>
      </c>
      <c r="P666" t="s">
        <v>542</v>
      </c>
      <c r="Q666" t="s">
        <v>734</v>
      </c>
      <c r="R666" t="s">
        <v>711</v>
      </c>
      <c r="S666" t="s">
        <v>378</v>
      </c>
      <c r="T666" t="s">
        <v>329</v>
      </c>
      <c r="U666" t="s">
        <v>623</v>
      </c>
      <c r="V666" t="s">
        <v>543</v>
      </c>
      <c r="W666" t="s">
        <v>200</v>
      </c>
      <c r="X666" t="s">
        <v>199</v>
      </c>
      <c r="Y666" t="s">
        <v>274</v>
      </c>
      <c r="Z666">
        <v>7</v>
      </c>
      <c r="AA666">
        <v>7</v>
      </c>
      <c r="AB666">
        <v>7</v>
      </c>
      <c r="AC666">
        <v>7</v>
      </c>
      <c r="AD666">
        <v>2</v>
      </c>
      <c r="AE666">
        <v>2</v>
      </c>
      <c r="AF666">
        <v>4</v>
      </c>
      <c r="AG666">
        <v>2</v>
      </c>
      <c r="AH666">
        <v>6</v>
      </c>
      <c r="AI666">
        <v>1</v>
      </c>
      <c r="AJ666">
        <v>7</v>
      </c>
      <c r="AK666">
        <v>7</v>
      </c>
      <c r="AL666">
        <v>7</v>
      </c>
      <c r="AM666">
        <v>6</v>
      </c>
      <c r="AN666">
        <v>18</v>
      </c>
      <c r="AO666">
        <v>1</v>
      </c>
      <c r="AP666">
        <v>7</v>
      </c>
      <c r="AQ666">
        <v>6</v>
      </c>
      <c r="AR666">
        <v>7</v>
      </c>
      <c r="AS666">
        <v>6</v>
      </c>
      <c r="AT666">
        <v>7</v>
      </c>
      <c r="AU666">
        <v>7</v>
      </c>
      <c r="AV666">
        <v>7</v>
      </c>
      <c r="AW666">
        <v>7</v>
      </c>
      <c r="AX666">
        <v>3</v>
      </c>
      <c r="AY666" cm="1">
        <f t="array" ref="AY666">_xlfn.IFS(AZ666="Positive",1, AZ666="Negative",1, AZ666="Neutral",0)</f>
        <v>1</v>
      </c>
      <c r="AZ666" t="s">
        <v>199</v>
      </c>
      <c r="BA666">
        <v>9</v>
      </c>
      <c r="BB666">
        <v>1</v>
      </c>
      <c r="BC666" s="3">
        <v>3</v>
      </c>
      <c r="BD666" s="3">
        <v>0</v>
      </c>
      <c r="BE666" s="3">
        <v>1</v>
      </c>
      <c r="BF666" s="3">
        <v>2</v>
      </c>
      <c r="BG666" s="3">
        <v>3</v>
      </c>
      <c r="BH666">
        <v>0</v>
      </c>
      <c r="BI666">
        <v>0</v>
      </c>
      <c r="BJ666">
        <v>1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 t="s">
        <v>510</v>
      </c>
      <c r="BT666">
        <v>3</v>
      </c>
      <c r="BU666" t="s">
        <v>511</v>
      </c>
      <c r="BV666" t="s">
        <v>309</v>
      </c>
    </row>
    <row r="667" spans="1:74" hidden="1" x14ac:dyDescent="0.2">
      <c r="A667">
        <v>686</v>
      </c>
      <c r="B667">
        <v>111</v>
      </c>
      <c r="C667" t="s">
        <v>189</v>
      </c>
      <c r="E667" t="s">
        <v>68</v>
      </c>
      <c r="F667">
        <v>20</v>
      </c>
      <c r="G667">
        <v>2001</v>
      </c>
      <c r="H667">
        <v>21</v>
      </c>
      <c r="I667" t="s">
        <v>64</v>
      </c>
      <c r="J667">
        <v>1</v>
      </c>
      <c r="K667" t="s">
        <v>667</v>
      </c>
      <c r="L667" t="s">
        <v>654</v>
      </c>
      <c r="M667">
        <v>10</v>
      </c>
      <c r="N667">
        <v>55</v>
      </c>
      <c r="O667" t="s">
        <v>338</v>
      </c>
      <c r="P667" t="s">
        <v>389</v>
      </c>
      <c r="Q667" t="s">
        <v>741</v>
      </c>
      <c r="R667" t="s">
        <v>728</v>
      </c>
      <c r="S667" t="s">
        <v>378</v>
      </c>
      <c r="T667" t="s">
        <v>404</v>
      </c>
      <c r="U667" t="s">
        <v>342</v>
      </c>
      <c r="V667" t="s">
        <v>392</v>
      </c>
      <c r="W667" t="s">
        <v>200</v>
      </c>
      <c r="X667" t="s">
        <v>199</v>
      </c>
      <c r="Y667" t="s">
        <v>274</v>
      </c>
      <c r="Z667">
        <v>6</v>
      </c>
      <c r="AA667">
        <v>7</v>
      </c>
      <c r="AB667">
        <v>6</v>
      </c>
      <c r="AC667">
        <v>6</v>
      </c>
      <c r="AD667">
        <v>6</v>
      </c>
      <c r="AE667">
        <v>3</v>
      </c>
      <c r="AF667">
        <v>2</v>
      </c>
      <c r="AG667">
        <v>1</v>
      </c>
      <c r="AH667">
        <v>7</v>
      </c>
      <c r="AI667">
        <v>1</v>
      </c>
      <c r="AJ667">
        <v>7</v>
      </c>
      <c r="AK667">
        <v>6</v>
      </c>
      <c r="AL667">
        <v>6</v>
      </c>
      <c r="AM667">
        <v>5</v>
      </c>
      <c r="AN667">
        <v>12</v>
      </c>
      <c r="AO667">
        <v>7</v>
      </c>
      <c r="AP667">
        <v>6</v>
      </c>
      <c r="AQ667">
        <v>6</v>
      </c>
      <c r="AR667">
        <v>5</v>
      </c>
      <c r="AS667">
        <v>5</v>
      </c>
      <c r="AT667">
        <v>5</v>
      </c>
      <c r="AU667">
        <v>5</v>
      </c>
      <c r="AV667">
        <v>5</v>
      </c>
      <c r="AW667">
        <v>5</v>
      </c>
      <c r="AX667">
        <v>3</v>
      </c>
      <c r="AY667" cm="1">
        <f t="array" ref="AY667">_xlfn.IFS(AZ667="Positive",1, AZ667="Negative",1, AZ667="Neutral",0)</f>
        <v>1</v>
      </c>
      <c r="AZ667" t="s">
        <v>199</v>
      </c>
      <c r="BA667">
        <v>7</v>
      </c>
      <c r="BB667">
        <v>0</v>
      </c>
      <c r="BC667" s="3">
        <v>4</v>
      </c>
      <c r="BD667" s="3">
        <v>1</v>
      </c>
      <c r="BE667" s="3">
        <v>1</v>
      </c>
      <c r="BF667" s="3">
        <v>1</v>
      </c>
      <c r="BG667" s="3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 t="s">
        <v>619</v>
      </c>
      <c r="BT667" t="s">
        <v>536</v>
      </c>
      <c r="BU667" t="s">
        <v>620</v>
      </c>
      <c r="BV667" t="s">
        <v>556</v>
      </c>
    </row>
    <row r="668" spans="1:74" hidden="1" x14ac:dyDescent="0.2">
      <c r="A668">
        <v>687</v>
      </c>
      <c r="B668">
        <v>112</v>
      </c>
      <c r="C668" t="s">
        <v>190</v>
      </c>
      <c r="E668" t="s">
        <v>88</v>
      </c>
      <c r="F668">
        <v>21</v>
      </c>
      <c r="G668">
        <v>2001</v>
      </c>
      <c r="H668">
        <v>21</v>
      </c>
      <c r="I668" t="s">
        <v>69</v>
      </c>
      <c r="J668">
        <v>2</v>
      </c>
      <c r="K668" t="s">
        <v>637</v>
      </c>
      <c r="L668" t="s">
        <v>665</v>
      </c>
      <c r="M668">
        <v>0</v>
      </c>
      <c r="N668">
        <v>60</v>
      </c>
      <c r="O668" t="s">
        <v>539</v>
      </c>
      <c r="P668" t="s">
        <v>542</v>
      </c>
      <c r="Q668" t="s">
        <v>706</v>
      </c>
      <c r="R668" t="s">
        <v>739</v>
      </c>
      <c r="S668" t="s">
        <v>411</v>
      </c>
      <c r="T668" t="s">
        <v>444</v>
      </c>
      <c r="U668" t="s">
        <v>624</v>
      </c>
      <c r="V668" t="s">
        <v>543</v>
      </c>
      <c r="W668" t="s">
        <v>200</v>
      </c>
      <c r="X668" t="s">
        <v>199</v>
      </c>
      <c r="Y668" t="s">
        <v>274</v>
      </c>
      <c r="Z668">
        <v>7</v>
      </c>
      <c r="AA668">
        <v>7</v>
      </c>
      <c r="AB668">
        <v>7</v>
      </c>
      <c r="AC668">
        <v>4</v>
      </c>
      <c r="AD668">
        <v>4</v>
      </c>
      <c r="AE668">
        <v>7</v>
      </c>
      <c r="AF668">
        <v>1</v>
      </c>
      <c r="AG668">
        <v>3</v>
      </c>
      <c r="AH668">
        <v>5</v>
      </c>
      <c r="AI668">
        <v>1</v>
      </c>
      <c r="AJ668">
        <v>7</v>
      </c>
      <c r="AK668">
        <v>3</v>
      </c>
      <c r="AL668">
        <v>4</v>
      </c>
      <c r="AM668">
        <v>1</v>
      </c>
      <c r="AN668">
        <v>34</v>
      </c>
      <c r="AO668">
        <v>1</v>
      </c>
      <c r="AP668">
        <v>7</v>
      </c>
      <c r="AQ668">
        <v>4</v>
      </c>
      <c r="AR668">
        <v>5</v>
      </c>
      <c r="AS668">
        <v>5</v>
      </c>
      <c r="AT668">
        <v>6</v>
      </c>
      <c r="AU668">
        <v>2</v>
      </c>
      <c r="AV668">
        <v>7</v>
      </c>
      <c r="AW668">
        <v>7</v>
      </c>
      <c r="AX668">
        <v>3</v>
      </c>
      <c r="AY668" cm="1">
        <f t="array" ref="AY668">_xlfn.IFS(AZ668="Positive",1, AZ668="Negative",1, AZ668="Neutral",0)</f>
        <v>1</v>
      </c>
      <c r="AZ668" t="s">
        <v>199</v>
      </c>
      <c r="BA668">
        <v>6</v>
      </c>
      <c r="BB668">
        <v>0</v>
      </c>
      <c r="BC668" s="3">
        <v>5</v>
      </c>
      <c r="BD668" s="3">
        <v>0</v>
      </c>
      <c r="BE668" s="3">
        <v>1</v>
      </c>
      <c r="BF668" s="3">
        <v>0</v>
      </c>
      <c r="BG668" s="3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 t="s">
        <v>567</v>
      </c>
      <c r="BT668" t="s">
        <v>322</v>
      </c>
      <c r="BU668" t="s">
        <v>569</v>
      </c>
      <c r="BV668" t="s">
        <v>422</v>
      </c>
    </row>
    <row r="669" spans="1:74" hidden="1" x14ac:dyDescent="0.2">
      <c r="A669">
        <v>688</v>
      </c>
      <c r="B669">
        <v>113</v>
      </c>
      <c r="C669" t="s">
        <v>191</v>
      </c>
      <c r="E669" t="s">
        <v>68</v>
      </c>
      <c r="F669">
        <v>22</v>
      </c>
      <c r="G669">
        <v>1996</v>
      </c>
      <c r="H669">
        <v>26</v>
      </c>
      <c r="I669" t="s">
        <v>69</v>
      </c>
      <c r="J669">
        <v>2</v>
      </c>
      <c r="K669" t="s">
        <v>671</v>
      </c>
      <c r="L669" t="s">
        <v>675</v>
      </c>
      <c r="M669">
        <v>14</v>
      </c>
      <c r="N669">
        <v>57</v>
      </c>
      <c r="O669" t="s">
        <v>446</v>
      </c>
      <c r="P669">
        <v>6</v>
      </c>
      <c r="Q669" t="s">
        <v>748</v>
      </c>
      <c r="R669" t="s">
        <v>754</v>
      </c>
      <c r="S669" t="s">
        <v>550</v>
      </c>
      <c r="T669" t="s">
        <v>575</v>
      </c>
      <c r="U669" t="s">
        <v>448</v>
      </c>
      <c r="V669" t="s">
        <v>471</v>
      </c>
      <c r="W669" t="s">
        <v>200</v>
      </c>
      <c r="X669" t="s">
        <v>199</v>
      </c>
      <c r="Y669" t="s">
        <v>274</v>
      </c>
      <c r="Z669">
        <v>5</v>
      </c>
      <c r="AA669">
        <v>5</v>
      </c>
      <c r="AB669">
        <v>6</v>
      </c>
      <c r="AC669">
        <v>1</v>
      </c>
      <c r="AD669">
        <v>3</v>
      </c>
      <c r="AE669">
        <v>5</v>
      </c>
      <c r="AF669">
        <v>1</v>
      </c>
      <c r="AG669">
        <v>1</v>
      </c>
      <c r="AH669">
        <v>4</v>
      </c>
      <c r="AI669">
        <v>1</v>
      </c>
      <c r="AJ669">
        <v>6</v>
      </c>
      <c r="AK669">
        <v>4</v>
      </c>
      <c r="AL669">
        <v>5</v>
      </c>
      <c r="AM669">
        <v>5</v>
      </c>
      <c r="AN669">
        <v>240</v>
      </c>
      <c r="AO669">
        <v>1</v>
      </c>
      <c r="AP669">
        <v>7</v>
      </c>
      <c r="AQ669">
        <v>5</v>
      </c>
      <c r="AR669">
        <v>2</v>
      </c>
      <c r="AS669">
        <v>6</v>
      </c>
      <c r="AT669">
        <v>6</v>
      </c>
      <c r="AU669">
        <v>6</v>
      </c>
      <c r="AV669">
        <v>5</v>
      </c>
      <c r="AW669">
        <v>6</v>
      </c>
      <c r="AX669">
        <v>3</v>
      </c>
      <c r="AY669" cm="1">
        <f t="array" ref="AY669">_xlfn.IFS(AZ669="Positive",1, AZ669="Negative",1, AZ669="Neutral",0)</f>
        <v>1</v>
      </c>
      <c r="AZ669" t="s">
        <v>199</v>
      </c>
      <c r="BA669">
        <v>7</v>
      </c>
      <c r="BB669">
        <v>4</v>
      </c>
      <c r="BC669" s="3">
        <v>3</v>
      </c>
      <c r="BD669" s="3">
        <v>0</v>
      </c>
      <c r="BE669" s="3">
        <v>0</v>
      </c>
      <c r="BF669" s="3">
        <v>1</v>
      </c>
      <c r="BG669" s="3">
        <v>3</v>
      </c>
      <c r="BH669">
        <v>0</v>
      </c>
      <c r="BI669">
        <v>0</v>
      </c>
      <c r="BJ669">
        <v>2</v>
      </c>
      <c r="BK669">
        <v>1</v>
      </c>
      <c r="BL669">
        <v>1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3</v>
      </c>
      <c r="BT669" t="s">
        <v>489</v>
      </c>
      <c r="BU669" t="s">
        <v>395</v>
      </c>
      <c r="BV669" t="s">
        <v>512</v>
      </c>
    </row>
    <row r="670" spans="1:74" hidden="1" x14ac:dyDescent="0.2">
      <c r="A670">
        <v>689</v>
      </c>
      <c r="B670">
        <v>114</v>
      </c>
      <c r="C670" t="s">
        <v>192</v>
      </c>
      <c r="E670" t="s">
        <v>80</v>
      </c>
      <c r="F670">
        <v>26</v>
      </c>
      <c r="G670">
        <v>1997</v>
      </c>
      <c r="H670">
        <v>25</v>
      </c>
      <c r="I670" t="s">
        <v>69</v>
      </c>
      <c r="J670">
        <v>2</v>
      </c>
      <c r="K670" t="s">
        <v>481</v>
      </c>
      <c r="L670" t="s">
        <v>654</v>
      </c>
      <c r="M670">
        <v>12</v>
      </c>
      <c r="N670">
        <v>49</v>
      </c>
      <c r="O670" t="s">
        <v>625</v>
      </c>
      <c r="P670">
        <v>4</v>
      </c>
      <c r="Q670" t="s">
        <v>743</v>
      </c>
      <c r="R670" t="s">
        <v>728</v>
      </c>
      <c r="S670" t="s">
        <v>499</v>
      </c>
      <c r="T670" t="s">
        <v>491</v>
      </c>
      <c r="U670" t="s">
        <v>626</v>
      </c>
      <c r="V670" t="s">
        <v>627</v>
      </c>
      <c r="W670" t="s">
        <v>200</v>
      </c>
      <c r="X670" t="s">
        <v>199</v>
      </c>
      <c r="Y670" t="s">
        <v>274</v>
      </c>
      <c r="Z670">
        <v>6</v>
      </c>
      <c r="AA670">
        <v>4</v>
      </c>
      <c r="AB670">
        <v>2</v>
      </c>
      <c r="AC670">
        <v>3</v>
      </c>
      <c r="AD670">
        <v>1</v>
      </c>
      <c r="AE670">
        <v>5</v>
      </c>
      <c r="AF670">
        <v>1</v>
      </c>
      <c r="AG670">
        <v>2</v>
      </c>
      <c r="AH670">
        <v>3</v>
      </c>
      <c r="AI670">
        <v>1</v>
      </c>
      <c r="AJ670">
        <v>7</v>
      </c>
      <c r="AK670">
        <v>4</v>
      </c>
      <c r="AL670">
        <v>6</v>
      </c>
      <c r="AM670">
        <v>1</v>
      </c>
      <c r="AN670">
        <v>15</v>
      </c>
      <c r="AO670">
        <v>2</v>
      </c>
      <c r="AP670">
        <v>6</v>
      </c>
      <c r="AQ670">
        <v>2</v>
      </c>
      <c r="AR670">
        <v>3</v>
      </c>
      <c r="AS670">
        <v>3</v>
      </c>
      <c r="AT670">
        <v>4</v>
      </c>
      <c r="AU670">
        <v>6</v>
      </c>
      <c r="AV670">
        <v>4</v>
      </c>
      <c r="AW670">
        <v>7</v>
      </c>
      <c r="AX670">
        <v>3</v>
      </c>
      <c r="AY670" cm="1">
        <f t="array" ref="AY670">_xlfn.IFS(AZ670="Positive",1, AZ670="Negative",1, AZ670="Neutral",0)</f>
        <v>1</v>
      </c>
      <c r="AZ670" t="s">
        <v>199</v>
      </c>
      <c r="BA670">
        <v>5</v>
      </c>
      <c r="BB670">
        <v>5</v>
      </c>
      <c r="BC670" s="3">
        <v>3</v>
      </c>
      <c r="BD670" s="3">
        <v>0</v>
      </c>
      <c r="BE670" s="3">
        <v>1</v>
      </c>
      <c r="BF670" s="3">
        <v>1</v>
      </c>
      <c r="BG670" s="3">
        <v>0</v>
      </c>
      <c r="BH670">
        <v>0</v>
      </c>
      <c r="BI670">
        <v>0</v>
      </c>
      <c r="BJ670">
        <v>5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 t="s">
        <v>285</v>
      </c>
      <c r="BT670" t="s">
        <v>276</v>
      </c>
      <c r="BU670" t="s">
        <v>289</v>
      </c>
      <c r="BV670" t="s">
        <v>280</v>
      </c>
    </row>
    <row r="671" spans="1:74" hidden="1" x14ac:dyDescent="0.2">
      <c r="A671">
        <v>690</v>
      </c>
      <c r="B671">
        <v>115</v>
      </c>
      <c r="C671" t="s">
        <v>193</v>
      </c>
      <c r="E671" t="s">
        <v>93</v>
      </c>
      <c r="F671">
        <v>6</v>
      </c>
      <c r="G671">
        <v>1997</v>
      </c>
      <c r="H671">
        <v>25</v>
      </c>
      <c r="I671" t="s">
        <v>69</v>
      </c>
      <c r="J671">
        <v>2</v>
      </c>
      <c r="K671" t="s">
        <v>671</v>
      </c>
      <c r="L671" t="s">
        <v>677</v>
      </c>
      <c r="M671">
        <v>10</v>
      </c>
      <c r="N671">
        <v>52</v>
      </c>
      <c r="O671" t="s">
        <v>460</v>
      </c>
      <c r="P671" t="s">
        <v>315</v>
      </c>
      <c r="Q671" t="s">
        <v>748</v>
      </c>
      <c r="R671" t="s">
        <v>756</v>
      </c>
      <c r="S671" t="s">
        <v>378</v>
      </c>
      <c r="T671" t="s">
        <v>495</v>
      </c>
      <c r="U671" t="s">
        <v>582</v>
      </c>
      <c r="V671" t="s">
        <v>321</v>
      </c>
      <c r="W671" t="s">
        <v>200</v>
      </c>
      <c r="X671" t="s">
        <v>199</v>
      </c>
      <c r="Y671" t="s">
        <v>274</v>
      </c>
      <c r="Z671">
        <v>2</v>
      </c>
      <c r="AA671">
        <v>7</v>
      </c>
      <c r="AB671">
        <v>6</v>
      </c>
      <c r="AC671">
        <v>2</v>
      </c>
      <c r="AD671">
        <v>1</v>
      </c>
      <c r="AE671">
        <v>3</v>
      </c>
      <c r="AF671">
        <v>2</v>
      </c>
      <c r="AG671">
        <v>5</v>
      </c>
      <c r="AH671">
        <v>7</v>
      </c>
      <c r="AI671">
        <v>1</v>
      </c>
      <c r="AJ671">
        <v>7</v>
      </c>
      <c r="AK671">
        <v>7</v>
      </c>
      <c r="AL671">
        <v>7</v>
      </c>
      <c r="AM671">
        <v>1</v>
      </c>
      <c r="AN671">
        <v>120</v>
      </c>
      <c r="AO671">
        <v>1</v>
      </c>
      <c r="AP671">
        <v>7</v>
      </c>
      <c r="AQ671">
        <v>7</v>
      </c>
      <c r="AR671">
        <v>5</v>
      </c>
      <c r="AS671">
        <v>4</v>
      </c>
      <c r="AT671">
        <v>7</v>
      </c>
      <c r="AU671">
        <v>1</v>
      </c>
      <c r="AV671">
        <v>2</v>
      </c>
      <c r="AW671">
        <v>7</v>
      </c>
      <c r="AX671">
        <v>3</v>
      </c>
      <c r="AY671" cm="1">
        <f t="array" ref="AY671">_xlfn.IFS(AZ671="Positive",1, AZ671="Negative",1, AZ671="Neutral",0)</f>
        <v>1</v>
      </c>
      <c r="AZ671" t="s">
        <v>199</v>
      </c>
      <c r="BA671">
        <v>25</v>
      </c>
      <c r="BB671">
        <v>8</v>
      </c>
      <c r="BC671" s="3">
        <v>13</v>
      </c>
      <c r="BD671" s="3">
        <v>0</v>
      </c>
      <c r="BE671" s="3">
        <v>3</v>
      </c>
      <c r="BF671" s="3">
        <v>6</v>
      </c>
      <c r="BG671" s="3">
        <v>3</v>
      </c>
      <c r="BH671">
        <v>0</v>
      </c>
      <c r="BI671">
        <v>0</v>
      </c>
      <c r="BJ671">
        <v>3</v>
      </c>
      <c r="BK671">
        <v>0</v>
      </c>
      <c r="BL671">
        <v>0</v>
      </c>
      <c r="BM671">
        <v>3</v>
      </c>
      <c r="BN671">
        <v>0</v>
      </c>
      <c r="BO671">
        <v>1</v>
      </c>
      <c r="BP671">
        <v>0</v>
      </c>
      <c r="BQ671">
        <v>1</v>
      </c>
      <c r="BR671">
        <v>0</v>
      </c>
      <c r="BS671">
        <v>3</v>
      </c>
      <c r="BT671" t="s">
        <v>463</v>
      </c>
      <c r="BU671" t="s">
        <v>395</v>
      </c>
      <c r="BV671" t="s">
        <v>628</v>
      </c>
    </row>
  </sheetData>
  <autoFilter ref="BA1:BA671" xr:uid="{00000000-0001-0000-0000-000000000000}">
    <filterColumn colId="0">
      <filters>
        <filter val="0"/>
      </filters>
    </filterColumn>
  </autoFilter>
  <pageMargins left="0.7" right="0.7" top="0.75" bottom="0.75" header="0.3" footer="0.3"/>
  <pageSetup paperSize="9" orientation="portrait" r:id="rId1"/>
  <ignoredErrors>
    <ignoredError sqref="BA269:BB67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B37F-D469-4E7F-96C4-485CD1B07608}">
  <dimension ref="A1:B670"/>
  <sheetViews>
    <sheetView workbookViewId="0">
      <selection activeCell="B1" sqref="A1:B670"/>
    </sheetView>
  </sheetViews>
  <sheetFormatPr baseColWidth="10" defaultColWidth="8.83203125" defaultRowHeight="15" x14ac:dyDescent="0.2"/>
  <sheetData>
    <row r="1" spans="1:2" x14ac:dyDescent="0.2">
      <c r="A1">
        <v>2.17</v>
      </c>
      <c r="B1">
        <v>2.21</v>
      </c>
    </row>
    <row r="2" spans="1:2" x14ac:dyDescent="0.2">
      <c r="A2">
        <v>3.83</v>
      </c>
      <c r="B2">
        <v>1.43</v>
      </c>
    </row>
    <row r="3" spans="1:2" x14ac:dyDescent="0.2">
      <c r="A3">
        <v>2.67</v>
      </c>
      <c r="B3">
        <v>3.64</v>
      </c>
    </row>
    <row r="4" spans="1:2" x14ac:dyDescent="0.2">
      <c r="A4">
        <v>4.5</v>
      </c>
      <c r="B4">
        <v>3.07</v>
      </c>
    </row>
    <row r="5" spans="1:2" x14ac:dyDescent="0.2">
      <c r="A5">
        <v>3.33</v>
      </c>
      <c r="B5">
        <v>3.14</v>
      </c>
    </row>
    <row r="6" spans="1:2" x14ac:dyDescent="0.2">
      <c r="A6">
        <v>3.67</v>
      </c>
      <c r="B6">
        <v>1.71</v>
      </c>
    </row>
    <row r="7" spans="1:2" x14ac:dyDescent="0.2">
      <c r="A7">
        <v>2.25</v>
      </c>
      <c r="B7">
        <v>2.14</v>
      </c>
    </row>
    <row r="8" spans="1:2" x14ac:dyDescent="0.2">
      <c r="A8">
        <v>3.83</v>
      </c>
      <c r="B8">
        <v>1.86</v>
      </c>
    </row>
    <row r="9" spans="1:2" x14ac:dyDescent="0.2">
      <c r="A9">
        <v>4.92</v>
      </c>
      <c r="B9">
        <v>1.57</v>
      </c>
    </row>
    <row r="10" spans="1:2" x14ac:dyDescent="0.2">
      <c r="A10">
        <v>4.42</v>
      </c>
      <c r="B10">
        <v>3.5</v>
      </c>
    </row>
    <row r="11" spans="1:2" x14ac:dyDescent="0.2">
      <c r="A11">
        <v>3.75</v>
      </c>
      <c r="B11">
        <v>2.93</v>
      </c>
    </row>
    <row r="12" spans="1:2" x14ac:dyDescent="0.2">
      <c r="A12">
        <v>3.92</v>
      </c>
      <c r="B12">
        <v>2.5</v>
      </c>
    </row>
    <row r="13" spans="1:2" x14ac:dyDescent="0.2">
      <c r="A13">
        <v>5</v>
      </c>
      <c r="B13">
        <v>2.4300000000000002</v>
      </c>
    </row>
    <row r="14" spans="1:2" x14ac:dyDescent="0.2">
      <c r="A14">
        <v>3.58</v>
      </c>
      <c r="B14">
        <v>2.93</v>
      </c>
    </row>
    <row r="15" spans="1:2" x14ac:dyDescent="0.2">
      <c r="A15">
        <v>4.42</v>
      </c>
      <c r="B15">
        <v>4.29</v>
      </c>
    </row>
    <row r="16" spans="1:2" x14ac:dyDescent="0.2">
      <c r="A16">
        <v>3</v>
      </c>
      <c r="B16">
        <v>3</v>
      </c>
    </row>
    <row r="17" spans="1:2" x14ac:dyDescent="0.2">
      <c r="A17">
        <v>3.67</v>
      </c>
      <c r="B17">
        <v>2.64</v>
      </c>
    </row>
    <row r="18" spans="1:2" x14ac:dyDescent="0.2">
      <c r="A18">
        <v>4.08</v>
      </c>
      <c r="B18">
        <v>4.07</v>
      </c>
    </row>
    <row r="19" spans="1:2" x14ac:dyDescent="0.2">
      <c r="A19">
        <v>4.75</v>
      </c>
      <c r="B19">
        <v>3.14</v>
      </c>
    </row>
    <row r="20" spans="1:2" x14ac:dyDescent="0.2">
      <c r="A20">
        <v>4.67</v>
      </c>
      <c r="B20">
        <v>3.5</v>
      </c>
    </row>
    <row r="21" spans="1:2" x14ac:dyDescent="0.2">
      <c r="A21">
        <v>4</v>
      </c>
      <c r="B21">
        <v>1.86</v>
      </c>
    </row>
    <row r="22" spans="1:2" x14ac:dyDescent="0.2">
      <c r="A22">
        <v>4.08</v>
      </c>
      <c r="B22">
        <v>3.57</v>
      </c>
    </row>
    <row r="23" spans="1:2" x14ac:dyDescent="0.2">
      <c r="A23">
        <v>4.67</v>
      </c>
      <c r="B23">
        <v>1.71</v>
      </c>
    </row>
    <row r="24" spans="1:2" x14ac:dyDescent="0.2">
      <c r="A24">
        <v>4.42</v>
      </c>
      <c r="B24">
        <v>2.14</v>
      </c>
    </row>
    <row r="25" spans="1:2" x14ac:dyDescent="0.2">
      <c r="A25">
        <v>3.92</v>
      </c>
      <c r="B25">
        <v>2.93</v>
      </c>
    </row>
    <row r="26" spans="1:2" x14ac:dyDescent="0.2">
      <c r="A26">
        <v>3.67</v>
      </c>
      <c r="B26">
        <v>2.36</v>
      </c>
    </row>
    <row r="27" spans="1:2" x14ac:dyDescent="0.2">
      <c r="A27">
        <v>4.08</v>
      </c>
      <c r="B27">
        <v>3.5</v>
      </c>
    </row>
    <row r="28" spans="1:2" x14ac:dyDescent="0.2">
      <c r="A28">
        <v>2.58</v>
      </c>
      <c r="B28">
        <v>1.64</v>
      </c>
    </row>
    <row r="29" spans="1:2" x14ac:dyDescent="0.2">
      <c r="A29">
        <v>4.25</v>
      </c>
      <c r="B29">
        <v>3.07</v>
      </c>
    </row>
    <row r="30" spans="1:2" x14ac:dyDescent="0.2">
      <c r="A30">
        <v>3.33</v>
      </c>
      <c r="B30">
        <v>3.5</v>
      </c>
    </row>
    <row r="31" spans="1:2" x14ac:dyDescent="0.2">
      <c r="A31">
        <v>3.25</v>
      </c>
      <c r="B31">
        <v>3</v>
      </c>
    </row>
    <row r="32" spans="1:2" x14ac:dyDescent="0.2">
      <c r="A32">
        <v>3.75</v>
      </c>
      <c r="B32">
        <v>2.29</v>
      </c>
    </row>
    <row r="33" spans="1:2" x14ac:dyDescent="0.2">
      <c r="A33">
        <v>3.25</v>
      </c>
      <c r="B33">
        <v>2.57</v>
      </c>
    </row>
    <row r="34" spans="1:2" x14ac:dyDescent="0.2">
      <c r="A34">
        <v>3.75</v>
      </c>
      <c r="B34">
        <v>3.36</v>
      </c>
    </row>
    <row r="35" spans="1:2" x14ac:dyDescent="0.2">
      <c r="A35">
        <v>2.92</v>
      </c>
      <c r="B35">
        <v>2.57</v>
      </c>
    </row>
    <row r="36" spans="1:2" x14ac:dyDescent="0.2">
      <c r="A36">
        <v>3.25</v>
      </c>
      <c r="B36">
        <v>2.0699999999999998</v>
      </c>
    </row>
    <row r="37" spans="1:2" x14ac:dyDescent="0.2">
      <c r="A37">
        <v>1.75</v>
      </c>
      <c r="B37">
        <v>1.86</v>
      </c>
    </row>
    <row r="38" spans="1:2" x14ac:dyDescent="0.2">
      <c r="A38">
        <v>2.5</v>
      </c>
      <c r="B38">
        <v>2.93</v>
      </c>
    </row>
    <row r="39" spans="1:2" x14ac:dyDescent="0.2">
      <c r="A39">
        <v>4.33</v>
      </c>
      <c r="B39">
        <v>2.21</v>
      </c>
    </row>
    <row r="40" spans="1:2" x14ac:dyDescent="0.2">
      <c r="A40">
        <v>3.33</v>
      </c>
      <c r="B40">
        <v>3.36</v>
      </c>
    </row>
    <row r="41" spans="1:2" x14ac:dyDescent="0.2">
      <c r="A41">
        <v>3.58</v>
      </c>
      <c r="B41">
        <v>3.36</v>
      </c>
    </row>
    <row r="42" spans="1:2" x14ac:dyDescent="0.2">
      <c r="A42">
        <v>3.5</v>
      </c>
      <c r="B42">
        <v>2.93</v>
      </c>
    </row>
    <row r="43" spans="1:2" x14ac:dyDescent="0.2">
      <c r="A43">
        <v>4.33</v>
      </c>
      <c r="B43">
        <v>3.29</v>
      </c>
    </row>
    <row r="44" spans="1:2" x14ac:dyDescent="0.2">
      <c r="A44">
        <v>4.17</v>
      </c>
      <c r="B44">
        <v>3</v>
      </c>
    </row>
    <row r="45" spans="1:2" x14ac:dyDescent="0.2">
      <c r="A45">
        <v>5</v>
      </c>
      <c r="B45">
        <v>2.29</v>
      </c>
    </row>
    <row r="46" spans="1:2" x14ac:dyDescent="0.2">
      <c r="A46">
        <v>4.33</v>
      </c>
      <c r="B46">
        <v>3.21</v>
      </c>
    </row>
    <row r="47" spans="1:2" x14ac:dyDescent="0.2">
      <c r="A47">
        <v>4.58</v>
      </c>
      <c r="B47">
        <v>4.29</v>
      </c>
    </row>
    <row r="48" spans="1:2" x14ac:dyDescent="0.2">
      <c r="A48">
        <v>3.33</v>
      </c>
      <c r="B48">
        <v>2</v>
      </c>
    </row>
    <row r="49" spans="1:2" x14ac:dyDescent="0.2">
      <c r="A49">
        <v>2.5</v>
      </c>
      <c r="B49">
        <v>2.36</v>
      </c>
    </row>
    <row r="50" spans="1:2" x14ac:dyDescent="0.2">
      <c r="A50">
        <v>3.75</v>
      </c>
      <c r="B50">
        <v>1</v>
      </c>
    </row>
    <row r="51" spans="1:2" x14ac:dyDescent="0.2">
      <c r="A51">
        <v>4.75</v>
      </c>
      <c r="B51">
        <v>4.21</v>
      </c>
    </row>
    <row r="52" spans="1:2" x14ac:dyDescent="0.2">
      <c r="A52">
        <v>3.58</v>
      </c>
      <c r="B52">
        <v>3</v>
      </c>
    </row>
    <row r="53" spans="1:2" x14ac:dyDescent="0.2">
      <c r="A53">
        <v>4.08</v>
      </c>
      <c r="B53">
        <v>3.86</v>
      </c>
    </row>
    <row r="54" spans="1:2" x14ac:dyDescent="0.2">
      <c r="A54">
        <v>2.08</v>
      </c>
      <c r="B54">
        <v>1.86</v>
      </c>
    </row>
    <row r="55" spans="1:2" x14ac:dyDescent="0.2">
      <c r="A55">
        <v>2</v>
      </c>
      <c r="B55">
        <v>1.64</v>
      </c>
    </row>
    <row r="56" spans="1:2" x14ac:dyDescent="0.2">
      <c r="A56">
        <v>2.67</v>
      </c>
      <c r="B56">
        <v>2.36</v>
      </c>
    </row>
    <row r="57" spans="1:2" x14ac:dyDescent="0.2">
      <c r="A57">
        <v>3.25</v>
      </c>
      <c r="B57">
        <v>1.29</v>
      </c>
    </row>
    <row r="58" spans="1:2" x14ac:dyDescent="0.2">
      <c r="A58">
        <v>4.42</v>
      </c>
      <c r="B58">
        <v>2.93</v>
      </c>
    </row>
    <row r="59" spans="1:2" x14ac:dyDescent="0.2">
      <c r="A59">
        <v>3.5</v>
      </c>
      <c r="B59">
        <v>3.21</v>
      </c>
    </row>
    <row r="60" spans="1:2" x14ac:dyDescent="0.2">
      <c r="A60">
        <v>3.58</v>
      </c>
      <c r="B60">
        <v>3.36</v>
      </c>
    </row>
    <row r="61" spans="1:2" x14ac:dyDescent="0.2">
      <c r="A61">
        <v>4.58</v>
      </c>
      <c r="B61">
        <v>1.86</v>
      </c>
    </row>
    <row r="62" spans="1:2" x14ac:dyDescent="0.2">
      <c r="A62">
        <v>5</v>
      </c>
      <c r="B62">
        <v>2.64</v>
      </c>
    </row>
    <row r="63" spans="1:2" x14ac:dyDescent="0.2">
      <c r="A63">
        <v>3.67</v>
      </c>
      <c r="B63">
        <v>4.1399999999999997</v>
      </c>
    </row>
    <row r="64" spans="1:2" x14ac:dyDescent="0.2">
      <c r="A64">
        <v>4.08</v>
      </c>
      <c r="B64">
        <v>2.14</v>
      </c>
    </row>
    <row r="65" spans="1:2" x14ac:dyDescent="0.2">
      <c r="A65">
        <v>4.17</v>
      </c>
      <c r="B65">
        <v>1.07</v>
      </c>
    </row>
    <row r="66" spans="1:2" x14ac:dyDescent="0.2">
      <c r="A66">
        <v>3.17</v>
      </c>
      <c r="B66">
        <v>2.71</v>
      </c>
    </row>
    <row r="67" spans="1:2" x14ac:dyDescent="0.2">
      <c r="A67">
        <v>4.08</v>
      </c>
      <c r="B67">
        <v>3</v>
      </c>
    </row>
    <row r="68" spans="1:2" x14ac:dyDescent="0.2">
      <c r="A68">
        <v>3.83</v>
      </c>
      <c r="B68">
        <v>3.21</v>
      </c>
    </row>
    <row r="69" spans="1:2" x14ac:dyDescent="0.2">
      <c r="A69">
        <v>3.75</v>
      </c>
      <c r="B69">
        <v>2.64</v>
      </c>
    </row>
    <row r="70" spans="1:2" x14ac:dyDescent="0.2">
      <c r="A70">
        <v>3.75</v>
      </c>
      <c r="B70">
        <v>2</v>
      </c>
    </row>
    <row r="71" spans="1:2" x14ac:dyDescent="0.2">
      <c r="A71">
        <v>3.67</v>
      </c>
      <c r="B71">
        <v>2.14</v>
      </c>
    </row>
    <row r="72" spans="1:2" x14ac:dyDescent="0.2">
      <c r="A72">
        <v>3.5</v>
      </c>
      <c r="B72">
        <v>2.86</v>
      </c>
    </row>
    <row r="73" spans="1:2" x14ac:dyDescent="0.2">
      <c r="A73">
        <v>3.58</v>
      </c>
      <c r="B73">
        <v>2.29</v>
      </c>
    </row>
    <row r="74" spans="1:2" x14ac:dyDescent="0.2">
      <c r="A74">
        <v>3.08</v>
      </c>
      <c r="B74">
        <v>1.57</v>
      </c>
    </row>
    <row r="75" spans="1:2" x14ac:dyDescent="0.2">
      <c r="A75">
        <v>4</v>
      </c>
      <c r="B75">
        <v>1.36</v>
      </c>
    </row>
    <row r="76" spans="1:2" x14ac:dyDescent="0.2">
      <c r="A76">
        <v>3.83</v>
      </c>
      <c r="B76">
        <v>2</v>
      </c>
    </row>
    <row r="77" spans="1:2" x14ac:dyDescent="0.2">
      <c r="A77">
        <v>4.42</v>
      </c>
      <c r="B77">
        <v>3.43</v>
      </c>
    </row>
    <row r="78" spans="1:2" x14ac:dyDescent="0.2">
      <c r="A78">
        <v>3.25</v>
      </c>
      <c r="B78">
        <v>1.5</v>
      </c>
    </row>
    <row r="79" spans="1:2" x14ac:dyDescent="0.2">
      <c r="A79">
        <v>2.75</v>
      </c>
      <c r="B79">
        <v>2.64</v>
      </c>
    </row>
    <row r="80" spans="1:2" x14ac:dyDescent="0.2">
      <c r="A80">
        <v>2.75</v>
      </c>
      <c r="B80">
        <v>4.07</v>
      </c>
    </row>
    <row r="81" spans="1:2" x14ac:dyDescent="0.2">
      <c r="A81">
        <v>2.58</v>
      </c>
      <c r="B81">
        <v>2.86</v>
      </c>
    </row>
    <row r="82" spans="1:2" x14ac:dyDescent="0.2">
      <c r="A82">
        <v>4.08</v>
      </c>
      <c r="B82">
        <v>2.14</v>
      </c>
    </row>
    <row r="83" spans="1:2" x14ac:dyDescent="0.2">
      <c r="A83">
        <v>2.75</v>
      </c>
      <c r="B83">
        <v>2.71</v>
      </c>
    </row>
    <row r="84" spans="1:2" x14ac:dyDescent="0.2">
      <c r="A84">
        <v>4.58</v>
      </c>
      <c r="B84">
        <v>2.4300000000000002</v>
      </c>
    </row>
    <row r="85" spans="1:2" x14ac:dyDescent="0.2">
      <c r="A85">
        <v>3.67</v>
      </c>
      <c r="B85">
        <v>2</v>
      </c>
    </row>
    <row r="86" spans="1:2" x14ac:dyDescent="0.2">
      <c r="A86">
        <v>3.92</v>
      </c>
      <c r="B86">
        <v>2.14</v>
      </c>
    </row>
    <row r="87" spans="1:2" x14ac:dyDescent="0.2">
      <c r="A87">
        <v>3.83</v>
      </c>
      <c r="B87">
        <v>2.14</v>
      </c>
    </row>
    <row r="88" spans="1:2" x14ac:dyDescent="0.2">
      <c r="A88">
        <v>3.33</v>
      </c>
      <c r="B88">
        <v>3.36</v>
      </c>
    </row>
    <row r="89" spans="1:2" x14ac:dyDescent="0.2">
      <c r="A89">
        <v>3.17</v>
      </c>
      <c r="B89">
        <v>2.29</v>
      </c>
    </row>
    <row r="90" spans="1:2" x14ac:dyDescent="0.2">
      <c r="A90">
        <v>3.92</v>
      </c>
      <c r="B90">
        <v>3.57</v>
      </c>
    </row>
    <row r="91" spans="1:2" x14ac:dyDescent="0.2">
      <c r="A91">
        <v>1.58</v>
      </c>
      <c r="B91">
        <v>1.21</v>
      </c>
    </row>
    <row r="92" spans="1:2" x14ac:dyDescent="0.2">
      <c r="A92">
        <v>3.58</v>
      </c>
      <c r="B92">
        <v>1.1399999999999999</v>
      </c>
    </row>
    <row r="93" spans="1:2" x14ac:dyDescent="0.2">
      <c r="A93">
        <v>3.42</v>
      </c>
      <c r="B93">
        <v>1</v>
      </c>
    </row>
    <row r="94" spans="1:2" x14ac:dyDescent="0.2">
      <c r="A94">
        <v>4.75</v>
      </c>
      <c r="B94">
        <v>1.71</v>
      </c>
    </row>
    <row r="95" spans="1:2" x14ac:dyDescent="0.2">
      <c r="A95">
        <v>3.92</v>
      </c>
      <c r="B95">
        <v>2.57</v>
      </c>
    </row>
    <row r="96" spans="1:2" x14ac:dyDescent="0.2">
      <c r="A96">
        <v>2.83</v>
      </c>
      <c r="B96">
        <v>1.71</v>
      </c>
    </row>
    <row r="97" spans="1:2" x14ac:dyDescent="0.2">
      <c r="A97">
        <v>3.5</v>
      </c>
      <c r="B97">
        <v>2.57</v>
      </c>
    </row>
    <row r="98" spans="1:2" x14ac:dyDescent="0.2">
      <c r="A98">
        <v>3.83</v>
      </c>
      <c r="B98">
        <v>2.29</v>
      </c>
    </row>
    <row r="99" spans="1:2" x14ac:dyDescent="0.2">
      <c r="A99">
        <v>4.58</v>
      </c>
      <c r="B99">
        <v>1.43</v>
      </c>
    </row>
    <row r="100" spans="1:2" x14ac:dyDescent="0.2">
      <c r="A100">
        <v>2.08</v>
      </c>
      <c r="B100">
        <v>2.64</v>
      </c>
    </row>
    <row r="101" spans="1:2" x14ac:dyDescent="0.2">
      <c r="A101">
        <v>4.42</v>
      </c>
      <c r="B101">
        <v>3.86</v>
      </c>
    </row>
    <row r="102" spans="1:2" x14ac:dyDescent="0.2">
      <c r="A102">
        <v>2.75</v>
      </c>
      <c r="B102">
        <v>2.79</v>
      </c>
    </row>
    <row r="103" spans="1:2" x14ac:dyDescent="0.2">
      <c r="A103">
        <v>2.83</v>
      </c>
      <c r="B103">
        <v>2.29</v>
      </c>
    </row>
    <row r="104" spans="1:2" x14ac:dyDescent="0.2">
      <c r="A104">
        <v>4.92</v>
      </c>
      <c r="B104">
        <v>2.4300000000000002</v>
      </c>
    </row>
    <row r="105" spans="1:2" x14ac:dyDescent="0.2">
      <c r="A105">
        <v>3.75</v>
      </c>
      <c r="B105">
        <v>2.64</v>
      </c>
    </row>
    <row r="106" spans="1:2" x14ac:dyDescent="0.2">
      <c r="A106">
        <v>4.08</v>
      </c>
      <c r="B106">
        <v>3.07</v>
      </c>
    </row>
    <row r="107" spans="1:2" x14ac:dyDescent="0.2">
      <c r="A107">
        <v>2.58</v>
      </c>
      <c r="B107">
        <v>2.4300000000000002</v>
      </c>
    </row>
    <row r="108" spans="1:2" x14ac:dyDescent="0.2">
      <c r="A108">
        <v>3.83</v>
      </c>
      <c r="B108">
        <v>3.57</v>
      </c>
    </row>
    <row r="109" spans="1:2" x14ac:dyDescent="0.2">
      <c r="A109">
        <v>4.25</v>
      </c>
      <c r="B109">
        <v>2.4300000000000002</v>
      </c>
    </row>
    <row r="110" spans="1:2" x14ac:dyDescent="0.2">
      <c r="A110">
        <v>2.92</v>
      </c>
      <c r="B110">
        <v>3.21</v>
      </c>
    </row>
    <row r="111" spans="1:2" x14ac:dyDescent="0.2">
      <c r="A111">
        <v>3</v>
      </c>
      <c r="B111">
        <v>3.07</v>
      </c>
    </row>
    <row r="112" spans="1:2" x14ac:dyDescent="0.2">
      <c r="A112">
        <v>2.17</v>
      </c>
      <c r="B112">
        <v>2.21</v>
      </c>
    </row>
    <row r="113" spans="1:2" x14ac:dyDescent="0.2">
      <c r="A113">
        <v>3.83</v>
      </c>
      <c r="B113">
        <v>1.43</v>
      </c>
    </row>
    <row r="114" spans="1:2" x14ac:dyDescent="0.2">
      <c r="A114">
        <v>2.67</v>
      </c>
      <c r="B114">
        <v>3.64</v>
      </c>
    </row>
    <row r="115" spans="1:2" x14ac:dyDescent="0.2">
      <c r="A115">
        <v>4.5</v>
      </c>
      <c r="B115">
        <v>3.07</v>
      </c>
    </row>
    <row r="116" spans="1:2" x14ac:dyDescent="0.2">
      <c r="A116">
        <v>3.33</v>
      </c>
      <c r="B116">
        <v>3.14</v>
      </c>
    </row>
    <row r="117" spans="1:2" x14ac:dyDescent="0.2">
      <c r="A117">
        <v>3.67</v>
      </c>
      <c r="B117">
        <v>1.71</v>
      </c>
    </row>
    <row r="118" spans="1:2" x14ac:dyDescent="0.2">
      <c r="A118">
        <v>2.25</v>
      </c>
      <c r="B118">
        <v>2.14</v>
      </c>
    </row>
    <row r="119" spans="1:2" x14ac:dyDescent="0.2">
      <c r="A119">
        <v>3.83</v>
      </c>
      <c r="B119">
        <v>1.86</v>
      </c>
    </row>
    <row r="120" spans="1:2" x14ac:dyDescent="0.2">
      <c r="A120">
        <v>4.92</v>
      </c>
      <c r="B120">
        <v>1.57</v>
      </c>
    </row>
    <row r="121" spans="1:2" x14ac:dyDescent="0.2">
      <c r="A121">
        <v>4.42</v>
      </c>
      <c r="B121">
        <v>3.5</v>
      </c>
    </row>
    <row r="122" spans="1:2" x14ac:dyDescent="0.2">
      <c r="A122">
        <v>3.75</v>
      </c>
      <c r="B122">
        <v>2.93</v>
      </c>
    </row>
    <row r="123" spans="1:2" x14ac:dyDescent="0.2">
      <c r="A123">
        <v>3.75</v>
      </c>
      <c r="B123">
        <v>2.4300000000000002</v>
      </c>
    </row>
    <row r="124" spans="1:2" x14ac:dyDescent="0.2">
      <c r="A124">
        <v>3.92</v>
      </c>
      <c r="B124">
        <v>2.5</v>
      </c>
    </row>
    <row r="125" spans="1:2" x14ac:dyDescent="0.2">
      <c r="A125">
        <v>5</v>
      </c>
      <c r="B125">
        <v>2.4300000000000002</v>
      </c>
    </row>
    <row r="126" spans="1:2" x14ac:dyDescent="0.2">
      <c r="A126">
        <v>3.58</v>
      </c>
      <c r="B126">
        <v>2.93</v>
      </c>
    </row>
    <row r="127" spans="1:2" x14ac:dyDescent="0.2">
      <c r="A127">
        <v>4.42</v>
      </c>
      <c r="B127">
        <v>4.29</v>
      </c>
    </row>
    <row r="128" spans="1:2" x14ac:dyDescent="0.2">
      <c r="A128">
        <v>3</v>
      </c>
      <c r="B128">
        <v>3</v>
      </c>
    </row>
    <row r="129" spans="1:2" x14ac:dyDescent="0.2">
      <c r="A129">
        <v>3.67</v>
      </c>
      <c r="B129">
        <v>2.64</v>
      </c>
    </row>
    <row r="130" spans="1:2" x14ac:dyDescent="0.2">
      <c r="A130">
        <v>4.08</v>
      </c>
      <c r="B130">
        <v>4.07</v>
      </c>
    </row>
    <row r="131" spans="1:2" x14ac:dyDescent="0.2">
      <c r="A131">
        <v>4.75</v>
      </c>
      <c r="B131">
        <v>3.14</v>
      </c>
    </row>
    <row r="132" spans="1:2" x14ac:dyDescent="0.2">
      <c r="A132">
        <v>4.67</v>
      </c>
      <c r="B132">
        <v>3.5</v>
      </c>
    </row>
    <row r="133" spans="1:2" x14ac:dyDescent="0.2">
      <c r="A133">
        <v>4</v>
      </c>
      <c r="B133">
        <v>1.86</v>
      </c>
    </row>
    <row r="134" spans="1:2" x14ac:dyDescent="0.2">
      <c r="A134">
        <v>4.08</v>
      </c>
      <c r="B134">
        <v>3.57</v>
      </c>
    </row>
    <row r="135" spans="1:2" x14ac:dyDescent="0.2">
      <c r="A135">
        <v>4.67</v>
      </c>
      <c r="B135">
        <v>1.71</v>
      </c>
    </row>
    <row r="136" spans="1:2" x14ac:dyDescent="0.2">
      <c r="A136">
        <v>4.42</v>
      </c>
      <c r="B136">
        <v>2.14</v>
      </c>
    </row>
    <row r="137" spans="1:2" x14ac:dyDescent="0.2">
      <c r="A137">
        <v>3.92</v>
      </c>
      <c r="B137">
        <v>2.93</v>
      </c>
    </row>
    <row r="138" spans="1:2" x14ac:dyDescent="0.2">
      <c r="A138">
        <v>3.67</v>
      </c>
      <c r="B138">
        <v>2.36</v>
      </c>
    </row>
    <row r="139" spans="1:2" x14ac:dyDescent="0.2">
      <c r="A139">
        <v>4.08</v>
      </c>
      <c r="B139">
        <v>3.5</v>
      </c>
    </row>
    <row r="140" spans="1:2" x14ac:dyDescent="0.2">
      <c r="A140">
        <v>2.58</v>
      </c>
      <c r="B140">
        <v>1.64</v>
      </c>
    </row>
    <row r="141" spans="1:2" x14ac:dyDescent="0.2">
      <c r="A141">
        <v>4.25</v>
      </c>
      <c r="B141">
        <v>3.07</v>
      </c>
    </row>
    <row r="142" spans="1:2" x14ac:dyDescent="0.2">
      <c r="A142">
        <v>3.33</v>
      </c>
      <c r="B142">
        <v>3.5</v>
      </c>
    </row>
    <row r="143" spans="1:2" x14ac:dyDescent="0.2">
      <c r="A143">
        <v>3.25</v>
      </c>
      <c r="B143">
        <v>3</v>
      </c>
    </row>
    <row r="144" spans="1:2" x14ac:dyDescent="0.2">
      <c r="A144">
        <v>3.75</v>
      </c>
      <c r="B144">
        <v>2.29</v>
      </c>
    </row>
    <row r="145" spans="1:2" x14ac:dyDescent="0.2">
      <c r="A145">
        <v>3.25</v>
      </c>
      <c r="B145">
        <v>2.57</v>
      </c>
    </row>
    <row r="146" spans="1:2" x14ac:dyDescent="0.2">
      <c r="A146">
        <v>3.75</v>
      </c>
      <c r="B146">
        <v>3.36</v>
      </c>
    </row>
    <row r="147" spans="1:2" x14ac:dyDescent="0.2">
      <c r="A147">
        <v>2.92</v>
      </c>
      <c r="B147">
        <v>2.57</v>
      </c>
    </row>
    <row r="148" spans="1:2" x14ac:dyDescent="0.2">
      <c r="A148">
        <v>3.25</v>
      </c>
      <c r="B148">
        <v>2.0699999999999998</v>
      </c>
    </row>
    <row r="149" spans="1:2" x14ac:dyDescent="0.2">
      <c r="A149">
        <v>1.75</v>
      </c>
      <c r="B149">
        <v>1.86</v>
      </c>
    </row>
    <row r="150" spans="1:2" x14ac:dyDescent="0.2">
      <c r="A150">
        <v>2.5</v>
      </c>
      <c r="B150">
        <v>2.93</v>
      </c>
    </row>
    <row r="151" spans="1:2" x14ac:dyDescent="0.2">
      <c r="A151">
        <v>4.33</v>
      </c>
      <c r="B151">
        <v>2.21</v>
      </c>
    </row>
    <row r="152" spans="1:2" x14ac:dyDescent="0.2">
      <c r="A152">
        <v>3.33</v>
      </c>
      <c r="B152">
        <v>3.36</v>
      </c>
    </row>
    <row r="153" spans="1:2" x14ac:dyDescent="0.2">
      <c r="A153">
        <v>3.58</v>
      </c>
      <c r="B153">
        <v>3.36</v>
      </c>
    </row>
    <row r="154" spans="1:2" x14ac:dyDescent="0.2">
      <c r="A154">
        <v>3.5</v>
      </c>
      <c r="B154">
        <v>2.93</v>
      </c>
    </row>
    <row r="155" spans="1:2" x14ac:dyDescent="0.2">
      <c r="A155">
        <v>4.33</v>
      </c>
      <c r="B155">
        <v>3.29</v>
      </c>
    </row>
    <row r="156" spans="1:2" x14ac:dyDescent="0.2">
      <c r="A156">
        <v>4.17</v>
      </c>
      <c r="B156">
        <v>3</v>
      </c>
    </row>
    <row r="157" spans="1:2" x14ac:dyDescent="0.2">
      <c r="A157">
        <v>5</v>
      </c>
      <c r="B157">
        <v>2.29</v>
      </c>
    </row>
    <row r="158" spans="1:2" x14ac:dyDescent="0.2">
      <c r="A158">
        <v>4.33</v>
      </c>
      <c r="B158">
        <v>3.21</v>
      </c>
    </row>
    <row r="159" spans="1:2" x14ac:dyDescent="0.2">
      <c r="A159">
        <v>4.58</v>
      </c>
      <c r="B159">
        <v>4.29</v>
      </c>
    </row>
    <row r="160" spans="1:2" x14ac:dyDescent="0.2">
      <c r="A160">
        <v>3.33</v>
      </c>
      <c r="B160">
        <v>2</v>
      </c>
    </row>
    <row r="161" spans="1:2" x14ac:dyDescent="0.2">
      <c r="A161">
        <v>2.5</v>
      </c>
      <c r="B161">
        <v>2.36</v>
      </c>
    </row>
    <row r="162" spans="1:2" x14ac:dyDescent="0.2">
      <c r="A162">
        <v>4.75</v>
      </c>
      <c r="B162">
        <v>4.21</v>
      </c>
    </row>
    <row r="163" spans="1:2" x14ac:dyDescent="0.2">
      <c r="A163">
        <v>3.58</v>
      </c>
      <c r="B163">
        <v>3</v>
      </c>
    </row>
    <row r="164" spans="1:2" x14ac:dyDescent="0.2">
      <c r="A164">
        <v>4.08</v>
      </c>
      <c r="B164">
        <v>3.86</v>
      </c>
    </row>
    <row r="165" spans="1:2" x14ac:dyDescent="0.2">
      <c r="A165">
        <v>2.08</v>
      </c>
      <c r="B165">
        <v>1.86</v>
      </c>
    </row>
    <row r="166" spans="1:2" x14ac:dyDescent="0.2">
      <c r="A166">
        <v>2</v>
      </c>
      <c r="B166">
        <v>1.64</v>
      </c>
    </row>
    <row r="167" spans="1:2" x14ac:dyDescent="0.2">
      <c r="A167">
        <v>2.67</v>
      </c>
      <c r="B167">
        <v>2.36</v>
      </c>
    </row>
    <row r="168" spans="1:2" x14ac:dyDescent="0.2">
      <c r="A168">
        <v>3.25</v>
      </c>
      <c r="B168">
        <v>1.29</v>
      </c>
    </row>
    <row r="169" spans="1:2" x14ac:dyDescent="0.2">
      <c r="A169">
        <v>4.42</v>
      </c>
      <c r="B169">
        <v>2.93</v>
      </c>
    </row>
    <row r="170" spans="1:2" x14ac:dyDescent="0.2">
      <c r="A170">
        <v>3.5</v>
      </c>
      <c r="B170">
        <v>3.21</v>
      </c>
    </row>
    <row r="171" spans="1:2" x14ac:dyDescent="0.2">
      <c r="A171">
        <v>3.58</v>
      </c>
      <c r="B171">
        <v>3.36</v>
      </c>
    </row>
    <row r="172" spans="1:2" x14ac:dyDescent="0.2">
      <c r="A172">
        <v>4.58</v>
      </c>
      <c r="B172">
        <v>1.86</v>
      </c>
    </row>
    <row r="173" spans="1:2" x14ac:dyDescent="0.2">
      <c r="A173">
        <v>5</v>
      </c>
      <c r="B173">
        <v>2.64</v>
      </c>
    </row>
    <row r="174" spans="1:2" x14ac:dyDescent="0.2">
      <c r="A174">
        <v>3.67</v>
      </c>
      <c r="B174">
        <v>4.1399999999999997</v>
      </c>
    </row>
    <row r="175" spans="1:2" x14ac:dyDescent="0.2">
      <c r="A175">
        <v>4.08</v>
      </c>
      <c r="B175">
        <v>2.14</v>
      </c>
    </row>
    <row r="176" spans="1:2" x14ac:dyDescent="0.2">
      <c r="A176">
        <v>4.17</v>
      </c>
      <c r="B176">
        <v>1.07</v>
      </c>
    </row>
    <row r="177" spans="1:2" x14ac:dyDescent="0.2">
      <c r="A177">
        <v>3.17</v>
      </c>
      <c r="B177">
        <v>2.71</v>
      </c>
    </row>
    <row r="178" spans="1:2" x14ac:dyDescent="0.2">
      <c r="A178">
        <v>4.08</v>
      </c>
      <c r="B178">
        <v>3</v>
      </c>
    </row>
    <row r="179" spans="1:2" x14ac:dyDescent="0.2">
      <c r="A179">
        <v>3.83</v>
      </c>
      <c r="B179">
        <v>3.21</v>
      </c>
    </row>
    <row r="180" spans="1:2" x14ac:dyDescent="0.2">
      <c r="A180">
        <v>3.75</v>
      </c>
      <c r="B180">
        <v>2.64</v>
      </c>
    </row>
    <row r="181" spans="1:2" x14ac:dyDescent="0.2">
      <c r="A181">
        <v>3.75</v>
      </c>
      <c r="B181">
        <v>2</v>
      </c>
    </row>
    <row r="182" spans="1:2" x14ac:dyDescent="0.2">
      <c r="A182">
        <v>3.67</v>
      </c>
      <c r="B182">
        <v>2.14</v>
      </c>
    </row>
    <row r="183" spans="1:2" x14ac:dyDescent="0.2">
      <c r="A183">
        <v>3.5</v>
      </c>
      <c r="B183">
        <v>2.86</v>
      </c>
    </row>
    <row r="184" spans="1:2" x14ac:dyDescent="0.2">
      <c r="A184">
        <v>3.58</v>
      </c>
      <c r="B184">
        <v>2.29</v>
      </c>
    </row>
    <row r="185" spans="1:2" x14ac:dyDescent="0.2">
      <c r="A185">
        <v>3.08</v>
      </c>
      <c r="B185">
        <v>1.57</v>
      </c>
    </row>
    <row r="186" spans="1:2" x14ac:dyDescent="0.2">
      <c r="A186">
        <v>4</v>
      </c>
      <c r="B186">
        <v>1.36</v>
      </c>
    </row>
    <row r="187" spans="1:2" x14ac:dyDescent="0.2">
      <c r="A187">
        <v>3.83</v>
      </c>
      <c r="B187">
        <v>2</v>
      </c>
    </row>
    <row r="188" spans="1:2" x14ac:dyDescent="0.2">
      <c r="A188">
        <v>4.42</v>
      </c>
      <c r="B188">
        <v>3.43</v>
      </c>
    </row>
    <row r="189" spans="1:2" x14ac:dyDescent="0.2">
      <c r="A189">
        <v>3.25</v>
      </c>
      <c r="B189">
        <v>1.5</v>
      </c>
    </row>
    <row r="190" spans="1:2" x14ac:dyDescent="0.2">
      <c r="A190">
        <v>2.75</v>
      </c>
      <c r="B190">
        <v>2.64</v>
      </c>
    </row>
    <row r="191" spans="1:2" x14ac:dyDescent="0.2">
      <c r="A191">
        <v>2.75</v>
      </c>
      <c r="B191">
        <v>4.07</v>
      </c>
    </row>
    <row r="192" spans="1:2" x14ac:dyDescent="0.2">
      <c r="A192">
        <v>2.58</v>
      </c>
      <c r="B192">
        <v>2.86</v>
      </c>
    </row>
    <row r="193" spans="1:2" x14ac:dyDescent="0.2">
      <c r="A193">
        <v>4.08</v>
      </c>
      <c r="B193">
        <v>2.14</v>
      </c>
    </row>
    <row r="194" spans="1:2" x14ac:dyDescent="0.2">
      <c r="A194">
        <v>2.75</v>
      </c>
      <c r="B194">
        <v>2.71</v>
      </c>
    </row>
    <row r="195" spans="1:2" x14ac:dyDescent="0.2">
      <c r="A195">
        <v>4.58</v>
      </c>
      <c r="B195">
        <v>2.4300000000000002</v>
      </c>
    </row>
    <row r="196" spans="1:2" x14ac:dyDescent="0.2">
      <c r="A196">
        <v>3.67</v>
      </c>
      <c r="B196">
        <v>2</v>
      </c>
    </row>
    <row r="197" spans="1:2" x14ac:dyDescent="0.2">
      <c r="A197">
        <v>3.92</v>
      </c>
      <c r="B197">
        <v>2.14</v>
      </c>
    </row>
    <row r="198" spans="1:2" x14ac:dyDescent="0.2">
      <c r="A198">
        <v>3.83</v>
      </c>
      <c r="B198">
        <v>2.14</v>
      </c>
    </row>
    <row r="199" spans="1:2" x14ac:dyDescent="0.2">
      <c r="A199">
        <v>3.17</v>
      </c>
      <c r="B199">
        <v>2.29</v>
      </c>
    </row>
    <row r="200" spans="1:2" x14ac:dyDescent="0.2">
      <c r="A200">
        <v>2.33</v>
      </c>
      <c r="B200">
        <v>3.29</v>
      </c>
    </row>
    <row r="201" spans="1:2" x14ac:dyDescent="0.2">
      <c r="A201">
        <v>3.92</v>
      </c>
      <c r="B201">
        <v>3.57</v>
      </c>
    </row>
    <row r="202" spans="1:2" x14ac:dyDescent="0.2">
      <c r="A202">
        <v>1.58</v>
      </c>
      <c r="B202">
        <v>1.21</v>
      </c>
    </row>
    <row r="203" spans="1:2" x14ac:dyDescent="0.2">
      <c r="A203">
        <v>3.58</v>
      </c>
      <c r="B203">
        <v>1.1399999999999999</v>
      </c>
    </row>
    <row r="204" spans="1:2" x14ac:dyDescent="0.2">
      <c r="A204">
        <v>3.92</v>
      </c>
      <c r="B204">
        <v>2.57</v>
      </c>
    </row>
    <row r="205" spans="1:2" x14ac:dyDescent="0.2">
      <c r="A205">
        <v>2.83</v>
      </c>
      <c r="B205">
        <v>1.71</v>
      </c>
    </row>
    <row r="206" spans="1:2" x14ac:dyDescent="0.2">
      <c r="A206">
        <v>3.5</v>
      </c>
      <c r="B206">
        <v>2.57</v>
      </c>
    </row>
    <row r="207" spans="1:2" x14ac:dyDescent="0.2">
      <c r="A207">
        <v>3.83</v>
      </c>
      <c r="B207">
        <v>2.29</v>
      </c>
    </row>
    <row r="208" spans="1:2" x14ac:dyDescent="0.2">
      <c r="A208">
        <v>4.58</v>
      </c>
      <c r="B208">
        <v>1.43</v>
      </c>
    </row>
    <row r="209" spans="1:2" x14ac:dyDescent="0.2">
      <c r="A209">
        <v>2.08</v>
      </c>
      <c r="B209">
        <v>2.64</v>
      </c>
    </row>
    <row r="210" spans="1:2" x14ac:dyDescent="0.2">
      <c r="A210">
        <v>4.42</v>
      </c>
      <c r="B210">
        <v>3.86</v>
      </c>
    </row>
    <row r="211" spans="1:2" x14ac:dyDescent="0.2">
      <c r="A211">
        <v>2.75</v>
      </c>
      <c r="B211">
        <v>2.79</v>
      </c>
    </row>
    <row r="212" spans="1:2" x14ac:dyDescent="0.2">
      <c r="A212">
        <v>2.83</v>
      </c>
      <c r="B212">
        <v>2.29</v>
      </c>
    </row>
    <row r="213" spans="1:2" x14ac:dyDescent="0.2">
      <c r="A213">
        <v>4.92</v>
      </c>
      <c r="B213">
        <v>2.4300000000000002</v>
      </c>
    </row>
    <row r="214" spans="1:2" x14ac:dyDescent="0.2">
      <c r="A214">
        <v>3.75</v>
      </c>
      <c r="B214">
        <v>2.64</v>
      </c>
    </row>
    <row r="215" spans="1:2" x14ac:dyDescent="0.2">
      <c r="A215">
        <v>4.08</v>
      </c>
      <c r="B215">
        <v>3.07</v>
      </c>
    </row>
    <row r="216" spans="1:2" x14ac:dyDescent="0.2">
      <c r="A216">
        <v>2.58</v>
      </c>
      <c r="B216">
        <v>2.4300000000000002</v>
      </c>
    </row>
    <row r="217" spans="1:2" x14ac:dyDescent="0.2">
      <c r="A217">
        <v>3.83</v>
      </c>
      <c r="B217">
        <v>3.57</v>
      </c>
    </row>
    <row r="218" spans="1:2" x14ac:dyDescent="0.2">
      <c r="A218">
        <v>2.92</v>
      </c>
      <c r="B218">
        <v>3.29</v>
      </c>
    </row>
    <row r="219" spans="1:2" x14ac:dyDescent="0.2">
      <c r="A219">
        <v>4.25</v>
      </c>
      <c r="B219">
        <v>2.4300000000000002</v>
      </c>
    </row>
    <row r="220" spans="1:2" x14ac:dyDescent="0.2">
      <c r="A220">
        <v>2.92</v>
      </c>
      <c r="B220">
        <v>3.21</v>
      </c>
    </row>
    <row r="221" spans="1:2" x14ac:dyDescent="0.2">
      <c r="A221">
        <v>3</v>
      </c>
      <c r="B221">
        <v>3.07</v>
      </c>
    </row>
    <row r="222" spans="1:2" x14ac:dyDescent="0.2">
      <c r="A222">
        <v>3</v>
      </c>
      <c r="B222">
        <v>3.36</v>
      </c>
    </row>
    <row r="223" spans="1:2" x14ac:dyDescent="0.2">
      <c r="A223">
        <v>2.17</v>
      </c>
      <c r="B223">
        <v>2.21</v>
      </c>
    </row>
    <row r="224" spans="1:2" x14ac:dyDescent="0.2">
      <c r="A224">
        <v>3.83</v>
      </c>
      <c r="B224">
        <v>1.43</v>
      </c>
    </row>
    <row r="225" spans="1:2" x14ac:dyDescent="0.2">
      <c r="A225">
        <v>2.67</v>
      </c>
      <c r="B225">
        <v>3.64</v>
      </c>
    </row>
    <row r="226" spans="1:2" x14ac:dyDescent="0.2">
      <c r="A226">
        <v>4.5</v>
      </c>
      <c r="B226">
        <v>3.07</v>
      </c>
    </row>
    <row r="227" spans="1:2" x14ac:dyDescent="0.2">
      <c r="A227">
        <v>3.33</v>
      </c>
      <c r="B227">
        <v>3.14</v>
      </c>
    </row>
    <row r="228" spans="1:2" x14ac:dyDescent="0.2">
      <c r="A228">
        <v>3.67</v>
      </c>
      <c r="B228">
        <v>1.71</v>
      </c>
    </row>
    <row r="229" spans="1:2" x14ac:dyDescent="0.2">
      <c r="A229">
        <v>2.25</v>
      </c>
      <c r="B229">
        <v>2.14</v>
      </c>
    </row>
    <row r="230" spans="1:2" x14ac:dyDescent="0.2">
      <c r="A230">
        <v>3.83</v>
      </c>
      <c r="B230">
        <v>1.86</v>
      </c>
    </row>
    <row r="231" spans="1:2" x14ac:dyDescent="0.2">
      <c r="A231">
        <v>4.92</v>
      </c>
      <c r="B231">
        <v>1.57</v>
      </c>
    </row>
    <row r="232" spans="1:2" x14ac:dyDescent="0.2">
      <c r="A232">
        <v>4.42</v>
      </c>
      <c r="B232">
        <v>3.5</v>
      </c>
    </row>
    <row r="233" spans="1:2" x14ac:dyDescent="0.2">
      <c r="A233">
        <v>3.75</v>
      </c>
      <c r="B233">
        <v>2.93</v>
      </c>
    </row>
    <row r="234" spans="1:2" x14ac:dyDescent="0.2">
      <c r="A234">
        <v>3.75</v>
      </c>
      <c r="B234">
        <v>2.4300000000000002</v>
      </c>
    </row>
    <row r="235" spans="1:2" x14ac:dyDescent="0.2">
      <c r="A235">
        <v>3.92</v>
      </c>
      <c r="B235">
        <v>2.5</v>
      </c>
    </row>
    <row r="236" spans="1:2" x14ac:dyDescent="0.2">
      <c r="A236">
        <v>5</v>
      </c>
      <c r="B236">
        <v>2.4300000000000002</v>
      </c>
    </row>
    <row r="237" spans="1:2" x14ac:dyDescent="0.2">
      <c r="A237">
        <v>3.58</v>
      </c>
      <c r="B237">
        <v>2.93</v>
      </c>
    </row>
    <row r="238" spans="1:2" x14ac:dyDescent="0.2">
      <c r="A238">
        <v>4.42</v>
      </c>
      <c r="B238">
        <v>4.29</v>
      </c>
    </row>
    <row r="239" spans="1:2" x14ac:dyDescent="0.2">
      <c r="A239">
        <v>3</v>
      </c>
      <c r="B239">
        <v>3</v>
      </c>
    </row>
    <row r="240" spans="1:2" x14ac:dyDescent="0.2">
      <c r="A240">
        <v>4.08</v>
      </c>
      <c r="B240">
        <v>4.07</v>
      </c>
    </row>
    <row r="241" spans="1:2" x14ac:dyDescent="0.2">
      <c r="A241">
        <v>4.75</v>
      </c>
      <c r="B241">
        <v>3.14</v>
      </c>
    </row>
    <row r="242" spans="1:2" x14ac:dyDescent="0.2">
      <c r="A242">
        <v>4.67</v>
      </c>
      <c r="B242">
        <v>3.5</v>
      </c>
    </row>
    <row r="243" spans="1:2" x14ac:dyDescent="0.2">
      <c r="A243">
        <v>4</v>
      </c>
      <c r="B243">
        <v>1.86</v>
      </c>
    </row>
    <row r="244" spans="1:2" x14ac:dyDescent="0.2">
      <c r="A244">
        <v>4.08</v>
      </c>
      <c r="B244">
        <v>3.57</v>
      </c>
    </row>
    <row r="245" spans="1:2" x14ac:dyDescent="0.2">
      <c r="A245">
        <v>4.67</v>
      </c>
      <c r="B245">
        <v>1.71</v>
      </c>
    </row>
    <row r="246" spans="1:2" x14ac:dyDescent="0.2">
      <c r="A246">
        <v>4.42</v>
      </c>
      <c r="B246">
        <v>2.14</v>
      </c>
    </row>
    <row r="247" spans="1:2" x14ac:dyDescent="0.2">
      <c r="A247">
        <v>3.92</v>
      </c>
      <c r="B247">
        <v>2.93</v>
      </c>
    </row>
    <row r="248" spans="1:2" x14ac:dyDescent="0.2">
      <c r="A248">
        <v>3.67</v>
      </c>
      <c r="B248">
        <v>2.36</v>
      </c>
    </row>
    <row r="249" spans="1:2" x14ac:dyDescent="0.2">
      <c r="A249">
        <v>4.08</v>
      </c>
      <c r="B249">
        <v>3.5</v>
      </c>
    </row>
    <row r="250" spans="1:2" x14ac:dyDescent="0.2">
      <c r="A250">
        <v>2.58</v>
      </c>
      <c r="B250">
        <v>1.64</v>
      </c>
    </row>
    <row r="251" spans="1:2" x14ac:dyDescent="0.2">
      <c r="A251">
        <v>4.25</v>
      </c>
      <c r="B251">
        <v>3.07</v>
      </c>
    </row>
    <row r="252" spans="1:2" x14ac:dyDescent="0.2">
      <c r="A252">
        <v>3.33</v>
      </c>
      <c r="B252">
        <v>3.5</v>
      </c>
    </row>
    <row r="253" spans="1:2" x14ac:dyDescent="0.2">
      <c r="A253">
        <v>3.25</v>
      </c>
      <c r="B253">
        <v>3</v>
      </c>
    </row>
    <row r="254" spans="1:2" x14ac:dyDescent="0.2">
      <c r="A254">
        <v>3.75</v>
      </c>
      <c r="B254">
        <v>2.29</v>
      </c>
    </row>
    <row r="255" spans="1:2" x14ac:dyDescent="0.2">
      <c r="A255">
        <v>3.25</v>
      </c>
      <c r="B255">
        <v>2.57</v>
      </c>
    </row>
    <row r="256" spans="1:2" x14ac:dyDescent="0.2">
      <c r="A256">
        <v>3.75</v>
      </c>
      <c r="B256">
        <v>3.36</v>
      </c>
    </row>
    <row r="257" spans="1:2" x14ac:dyDescent="0.2">
      <c r="A257">
        <v>2.92</v>
      </c>
      <c r="B257">
        <v>2.57</v>
      </c>
    </row>
    <row r="258" spans="1:2" x14ac:dyDescent="0.2">
      <c r="A258">
        <v>3.25</v>
      </c>
      <c r="B258">
        <v>2.0699999999999998</v>
      </c>
    </row>
    <row r="259" spans="1:2" x14ac:dyDescent="0.2">
      <c r="A259">
        <v>1.75</v>
      </c>
      <c r="B259">
        <v>1.86</v>
      </c>
    </row>
    <row r="260" spans="1:2" x14ac:dyDescent="0.2">
      <c r="A260">
        <v>2.5</v>
      </c>
      <c r="B260">
        <v>2.93</v>
      </c>
    </row>
    <row r="261" spans="1:2" x14ac:dyDescent="0.2">
      <c r="A261">
        <v>4.33</v>
      </c>
      <c r="B261">
        <v>2.21</v>
      </c>
    </row>
    <row r="262" spans="1:2" x14ac:dyDescent="0.2">
      <c r="A262">
        <v>3.33</v>
      </c>
      <c r="B262">
        <v>3.36</v>
      </c>
    </row>
    <row r="263" spans="1:2" x14ac:dyDescent="0.2">
      <c r="A263">
        <v>3.58</v>
      </c>
      <c r="B263">
        <v>3.36</v>
      </c>
    </row>
    <row r="264" spans="1:2" x14ac:dyDescent="0.2">
      <c r="A264">
        <v>3.5</v>
      </c>
      <c r="B264">
        <v>2.93</v>
      </c>
    </row>
    <row r="265" spans="1:2" x14ac:dyDescent="0.2">
      <c r="A265">
        <v>4.33</v>
      </c>
      <c r="B265">
        <v>3.29</v>
      </c>
    </row>
    <row r="266" spans="1:2" x14ac:dyDescent="0.2">
      <c r="A266">
        <v>4.17</v>
      </c>
      <c r="B266">
        <v>3</v>
      </c>
    </row>
    <row r="267" spans="1:2" x14ac:dyDescent="0.2">
      <c r="A267">
        <v>5</v>
      </c>
      <c r="B267">
        <v>2.29</v>
      </c>
    </row>
    <row r="268" spans="1:2" x14ac:dyDescent="0.2">
      <c r="A268">
        <v>4.33</v>
      </c>
      <c r="B268">
        <v>3.21</v>
      </c>
    </row>
    <row r="269" spans="1:2" x14ac:dyDescent="0.2">
      <c r="A269">
        <v>4.58</v>
      </c>
      <c r="B269">
        <v>4.29</v>
      </c>
    </row>
    <row r="270" spans="1:2" x14ac:dyDescent="0.2">
      <c r="A270">
        <v>3.33</v>
      </c>
      <c r="B270">
        <v>2</v>
      </c>
    </row>
    <row r="271" spans="1:2" x14ac:dyDescent="0.2">
      <c r="A271">
        <v>2.5</v>
      </c>
      <c r="B271">
        <v>2.36</v>
      </c>
    </row>
    <row r="272" spans="1:2" x14ac:dyDescent="0.2">
      <c r="A272">
        <v>3.75</v>
      </c>
      <c r="B272">
        <v>1</v>
      </c>
    </row>
    <row r="273" spans="1:2" x14ac:dyDescent="0.2">
      <c r="A273">
        <v>4.75</v>
      </c>
      <c r="B273">
        <v>4.21</v>
      </c>
    </row>
    <row r="274" spans="1:2" x14ac:dyDescent="0.2">
      <c r="A274">
        <v>3.58</v>
      </c>
      <c r="B274">
        <v>3</v>
      </c>
    </row>
    <row r="275" spans="1:2" x14ac:dyDescent="0.2">
      <c r="A275">
        <v>4.08</v>
      </c>
      <c r="B275">
        <v>3.86</v>
      </c>
    </row>
    <row r="276" spans="1:2" x14ac:dyDescent="0.2">
      <c r="A276">
        <v>2.08</v>
      </c>
      <c r="B276">
        <v>1.86</v>
      </c>
    </row>
    <row r="277" spans="1:2" x14ac:dyDescent="0.2">
      <c r="A277">
        <v>2</v>
      </c>
      <c r="B277">
        <v>1.64</v>
      </c>
    </row>
    <row r="278" spans="1:2" x14ac:dyDescent="0.2">
      <c r="A278">
        <v>2.67</v>
      </c>
      <c r="B278">
        <v>2.36</v>
      </c>
    </row>
    <row r="279" spans="1:2" x14ac:dyDescent="0.2">
      <c r="A279">
        <v>3.25</v>
      </c>
      <c r="B279">
        <v>1.29</v>
      </c>
    </row>
    <row r="280" spans="1:2" x14ac:dyDescent="0.2">
      <c r="A280">
        <v>4.42</v>
      </c>
      <c r="B280">
        <v>2.93</v>
      </c>
    </row>
    <row r="281" spans="1:2" x14ac:dyDescent="0.2">
      <c r="A281">
        <v>3.5</v>
      </c>
      <c r="B281">
        <v>3.21</v>
      </c>
    </row>
    <row r="282" spans="1:2" x14ac:dyDescent="0.2">
      <c r="A282">
        <v>3.58</v>
      </c>
      <c r="B282">
        <v>3.36</v>
      </c>
    </row>
    <row r="283" spans="1:2" x14ac:dyDescent="0.2">
      <c r="A283">
        <v>4.58</v>
      </c>
      <c r="B283">
        <v>1.86</v>
      </c>
    </row>
    <row r="284" spans="1:2" x14ac:dyDescent="0.2">
      <c r="A284">
        <v>5</v>
      </c>
      <c r="B284">
        <v>2.64</v>
      </c>
    </row>
    <row r="285" spans="1:2" x14ac:dyDescent="0.2">
      <c r="A285">
        <v>3.67</v>
      </c>
      <c r="B285">
        <v>4.1399999999999997</v>
      </c>
    </row>
    <row r="286" spans="1:2" x14ac:dyDescent="0.2">
      <c r="A286">
        <v>4.08</v>
      </c>
      <c r="B286">
        <v>2.14</v>
      </c>
    </row>
    <row r="287" spans="1:2" x14ac:dyDescent="0.2">
      <c r="A287">
        <v>4.17</v>
      </c>
      <c r="B287">
        <v>1.07</v>
      </c>
    </row>
    <row r="288" spans="1:2" x14ac:dyDescent="0.2">
      <c r="A288">
        <v>3.17</v>
      </c>
      <c r="B288">
        <v>2.71</v>
      </c>
    </row>
    <row r="289" spans="1:2" x14ac:dyDescent="0.2">
      <c r="A289">
        <v>4.08</v>
      </c>
      <c r="B289">
        <v>3</v>
      </c>
    </row>
    <row r="290" spans="1:2" x14ac:dyDescent="0.2">
      <c r="A290">
        <v>3.83</v>
      </c>
      <c r="B290">
        <v>3.21</v>
      </c>
    </row>
    <row r="291" spans="1:2" x14ac:dyDescent="0.2">
      <c r="A291">
        <v>3.75</v>
      </c>
      <c r="B291">
        <v>2.64</v>
      </c>
    </row>
    <row r="292" spans="1:2" x14ac:dyDescent="0.2">
      <c r="A292">
        <v>3.75</v>
      </c>
      <c r="B292">
        <v>2</v>
      </c>
    </row>
    <row r="293" spans="1:2" x14ac:dyDescent="0.2">
      <c r="A293">
        <v>3.67</v>
      </c>
      <c r="B293">
        <v>2.14</v>
      </c>
    </row>
    <row r="294" spans="1:2" x14ac:dyDescent="0.2">
      <c r="A294">
        <v>3.5</v>
      </c>
      <c r="B294">
        <v>2.86</v>
      </c>
    </row>
    <row r="295" spans="1:2" x14ac:dyDescent="0.2">
      <c r="A295">
        <v>3.58</v>
      </c>
      <c r="B295">
        <v>2.29</v>
      </c>
    </row>
    <row r="296" spans="1:2" x14ac:dyDescent="0.2">
      <c r="A296">
        <v>3.08</v>
      </c>
      <c r="B296">
        <v>1.57</v>
      </c>
    </row>
    <row r="297" spans="1:2" x14ac:dyDescent="0.2">
      <c r="A297">
        <v>4</v>
      </c>
      <c r="B297">
        <v>1.36</v>
      </c>
    </row>
    <row r="298" spans="1:2" x14ac:dyDescent="0.2">
      <c r="A298">
        <v>3.83</v>
      </c>
      <c r="B298">
        <v>2</v>
      </c>
    </row>
    <row r="299" spans="1:2" x14ac:dyDescent="0.2">
      <c r="A299">
        <v>4.42</v>
      </c>
      <c r="B299">
        <v>3.43</v>
      </c>
    </row>
    <row r="300" spans="1:2" x14ac:dyDescent="0.2">
      <c r="A300">
        <v>3.25</v>
      </c>
      <c r="B300">
        <v>1.5</v>
      </c>
    </row>
    <row r="301" spans="1:2" x14ac:dyDescent="0.2">
      <c r="A301">
        <v>2.75</v>
      </c>
      <c r="B301">
        <v>2.64</v>
      </c>
    </row>
    <row r="302" spans="1:2" x14ac:dyDescent="0.2">
      <c r="A302">
        <v>2.75</v>
      </c>
      <c r="B302">
        <v>4.07</v>
      </c>
    </row>
    <row r="303" spans="1:2" x14ac:dyDescent="0.2">
      <c r="A303">
        <v>2.58</v>
      </c>
      <c r="B303">
        <v>2.86</v>
      </c>
    </row>
    <row r="304" spans="1:2" x14ac:dyDescent="0.2">
      <c r="A304">
        <v>4.08</v>
      </c>
      <c r="B304">
        <v>2.14</v>
      </c>
    </row>
    <row r="305" spans="1:2" x14ac:dyDescent="0.2">
      <c r="A305">
        <v>2.75</v>
      </c>
      <c r="B305">
        <v>2.71</v>
      </c>
    </row>
    <row r="306" spans="1:2" x14ac:dyDescent="0.2">
      <c r="A306">
        <v>4.58</v>
      </c>
      <c r="B306">
        <v>2.4300000000000002</v>
      </c>
    </row>
    <row r="307" spans="1:2" x14ac:dyDescent="0.2">
      <c r="A307">
        <v>3.67</v>
      </c>
      <c r="B307">
        <v>2</v>
      </c>
    </row>
    <row r="308" spans="1:2" x14ac:dyDescent="0.2">
      <c r="A308">
        <v>3.92</v>
      </c>
      <c r="B308">
        <v>2.14</v>
      </c>
    </row>
    <row r="309" spans="1:2" x14ac:dyDescent="0.2">
      <c r="A309">
        <v>3.83</v>
      </c>
      <c r="B309">
        <v>2.14</v>
      </c>
    </row>
    <row r="310" spans="1:2" x14ac:dyDescent="0.2">
      <c r="A310">
        <v>3.33</v>
      </c>
      <c r="B310">
        <v>3.36</v>
      </c>
    </row>
    <row r="311" spans="1:2" x14ac:dyDescent="0.2">
      <c r="A311">
        <v>3.17</v>
      </c>
      <c r="B311">
        <v>2.29</v>
      </c>
    </row>
    <row r="312" spans="1:2" x14ac:dyDescent="0.2">
      <c r="A312">
        <v>2.33</v>
      </c>
      <c r="B312">
        <v>3.29</v>
      </c>
    </row>
    <row r="313" spans="1:2" x14ac:dyDescent="0.2">
      <c r="A313">
        <v>3.92</v>
      </c>
      <c r="B313">
        <v>3.57</v>
      </c>
    </row>
    <row r="314" spans="1:2" x14ac:dyDescent="0.2">
      <c r="A314">
        <v>1.58</v>
      </c>
      <c r="B314">
        <v>1.21</v>
      </c>
    </row>
    <row r="315" spans="1:2" x14ac:dyDescent="0.2">
      <c r="A315">
        <v>3.58</v>
      </c>
      <c r="B315">
        <v>1.1399999999999999</v>
      </c>
    </row>
    <row r="316" spans="1:2" x14ac:dyDescent="0.2">
      <c r="A316">
        <v>4.75</v>
      </c>
      <c r="B316">
        <v>1.71</v>
      </c>
    </row>
    <row r="317" spans="1:2" x14ac:dyDescent="0.2">
      <c r="A317">
        <v>3.92</v>
      </c>
      <c r="B317">
        <v>2.57</v>
      </c>
    </row>
    <row r="318" spans="1:2" x14ac:dyDescent="0.2">
      <c r="A318">
        <v>2.83</v>
      </c>
      <c r="B318">
        <v>1.71</v>
      </c>
    </row>
    <row r="319" spans="1:2" x14ac:dyDescent="0.2">
      <c r="A319">
        <v>3.5</v>
      </c>
      <c r="B319">
        <v>2.57</v>
      </c>
    </row>
    <row r="320" spans="1:2" x14ac:dyDescent="0.2">
      <c r="A320">
        <v>3.83</v>
      </c>
      <c r="B320">
        <v>2.29</v>
      </c>
    </row>
    <row r="321" spans="1:2" x14ac:dyDescent="0.2">
      <c r="A321">
        <v>4.58</v>
      </c>
      <c r="B321">
        <v>1.43</v>
      </c>
    </row>
    <row r="322" spans="1:2" x14ac:dyDescent="0.2">
      <c r="A322">
        <v>2.08</v>
      </c>
      <c r="B322">
        <v>2.64</v>
      </c>
    </row>
    <row r="323" spans="1:2" x14ac:dyDescent="0.2">
      <c r="A323">
        <v>4.42</v>
      </c>
      <c r="B323">
        <v>3.86</v>
      </c>
    </row>
    <row r="324" spans="1:2" x14ac:dyDescent="0.2">
      <c r="A324">
        <v>2.75</v>
      </c>
      <c r="B324">
        <v>2.79</v>
      </c>
    </row>
    <row r="325" spans="1:2" x14ac:dyDescent="0.2">
      <c r="A325">
        <v>2.83</v>
      </c>
      <c r="B325">
        <v>2.29</v>
      </c>
    </row>
    <row r="326" spans="1:2" x14ac:dyDescent="0.2">
      <c r="A326">
        <v>4.92</v>
      </c>
      <c r="B326">
        <v>2.4300000000000002</v>
      </c>
    </row>
    <row r="327" spans="1:2" x14ac:dyDescent="0.2">
      <c r="A327">
        <v>3.75</v>
      </c>
      <c r="B327">
        <v>2.64</v>
      </c>
    </row>
    <row r="328" spans="1:2" x14ac:dyDescent="0.2">
      <c r="A328">
        <v>4.08</v>
      </c>
      <c r="B328">
        <v>3.07</v>
      </c>
    </row>
    <row r="329" spans="1:2" x14ac:dyDescent="0.2">
      <c r="A329">
        <v>2.58</v>
      </c>
      <c r="B329">
        <v>2.4300000000000002</v>
      </c>
    </row>
    <row r="330" spans="1:2" x14ac:dyDescent="0.2">
      <c r="A330">
        <v>3.83</v>
      </c>
      <c r="B330">
        <v>3.57</v>
      </c>
    </row>
    <row r="331" spans="1:2" x14ac:dyDescent="0.2">
      <c r="A331">
        <v>2.92</v>
      </c>
      <c r="B331">
        <v>3.29</v>
      </c>
    </row>
    <row r="332" spans="1:2" x14ac:dyDescent="0.2">
      <c r="A332">
        <v>4.25</v>
      </c>
      <c r="B332">
        <v>2.4300000000000002</v>
      </c>
    </row>
    <row r="333" spans="1:2" x14ac:dyDescent="0.2">
      <c r="A333">
        <v>2.92</v>
      </c>
      <c r="B333">
        <v>3.21</v>
      </c>
    </row>
    <row r="334" spans="1:2" x14ac:dyDescent="0.2">
      <c r="A334">
        <v>3</v>
      </c>
      <c r="B334">
        <v>3.07</v>
      </c>
    </row>
    <row r="335" spans="1:2" x14ac:dyDescent="0.2">
      <c r="A335">
        <v>3</v>
      </c>
      <c r="B335">
        <v>3.36</v>
      </c>
    </row>
    <row r="336" spans="1:2" x14ac:dyDescent="0.2">
      <c r="A336">
        <v>2.17</v>
      </c>
      <c r="B336">
        <v>2.21</v>
      </c>
    </row>
    <row r="337" spans="1:2" x14ac:dyDescent="0.2">
      <c r="A337">
        <v>3.83</v>
      </c>
      <c r="B337">
        <v>1.43</v>
      </c>
    </row>
    <row r="338" spans="1:2" x14ac:dyDescent="0.2">
      <c r="A338">
        <v>2.67</v>
      </c>
      <c r="B338">
        <v>3.64</v>
      </c>
    </row>
    <row r="339" spans="1:2" x14ac:dyDescent="0.2">
      <c r="A339">
        <v>4.5</v>
      </c>
      <c r="B339">
        <v>3.07</v>
      </c>
    </row>
    <row r="340" spans="1:2" x14ac:dyDescent="0.2">
      <c r="A340">
        <v>3.33</v>
      </c>
      <c r="B340">
        <v>3.14</v>
      </c>
    </row>
    <row r="341" spans="1:2" x14ac:dyDescent="0.2">
      <c r="A341">
        <v>3.67</v>
      </c>
      <c r="B341">
        <v>1.71</v>
      </c>
    </row>
    <row r="342" spans="1:2" x14ac:dyDescent="0.2">
      <c r="A342">
        <v>2.25</v>
      </c>
      <c r="B342">
        <v>2.14</v>
      </c>
    </row>
    <row r="343" spans="1:2" x14ac:dyDescent="0.2">
      <c r="A343">
        <v>3.83</v>
      </c>
      <c r="B343">
        <v>1.86</v>
      </c>
    </row>
    <row r="344" spans="1:2" x14ac:dyDescent="0.2">
      <c r="A344">
        <v>4.92</v>
      </c>
      <c r="B344">
        <v>1.57</v>
      </c>
    </row>
    <row r="345" spans="1:2" x14ac:dyDescent="0.2">
      <c r="A345">
        <v>4.42</v>
      </c>
      <c r="B345">
        <v>3.5</v>
      </c>
    </row>
    <row r="346" spans="1:2" x14ac:dyDescent="0.2">
      <c r="A346">
        <v>3.75</v>
      </c>
      <c r="B346">
        <v>2.93</v>
      </c>
    </row>
    <row r="347" spans="1:2" x14ac:dyDescent="0.2">
      <c r="A347">
        <v>3.75</v>
      </c>
      <c r="B347">
        <v>2.4300000000000002</v>
      </c>
    </row>
    <row r="348" spans="1:2" x14ac:dyDescent="0.2">
      <c r="A348">
        <v>3.92</v>
      </c>
      <c r="B348">
        <v>2.5</v>
      </c>
    </row>
    <row r="349" spans="1:2" x14ac:dyDescent="0.2">
      <c r="A349">
        <v>5</v>
      </c>
      <c r="B349">
        <v>2.4300000000000002</v>
      </c>
    </row>
    <row r="350" spans="1:2" x14ac:dyDescent="0.2">
      <c r="A350">
        <v>3.58</v>
      </c>
      <c r="B350">
        <v>2.93</v>
      </c>
    </row>
    <row r="351" spans="1:2" x14ac:dyDescent="0.2">
      <c r="A351">
        <v>4.42</v>
      </c>
      <c r="B351">
        <v>4.29</v>
      </c>
    </row>
    <row r="352" spans="1:2" x14ac:dyDescent="0.2">
      <c r="A352">
        <v>3</v>
      </c>
      <c r="B352">
        <v>3</v>
      </c>
    </row>
    <row r="353" spans="1:2" x14ac:dyDescent="0.2">
      <c r="A353">
        <v>3.67</v>
      </c>
      <c r="B353">
        <v>2.64</v>
      </c>
    </row>
    <row r="354" spans="1:2" x14ac:dyDescent="0.2">
      <c r="A354">
        <v>4.08</v>
      </c>
      <c r="B354">
        <v>4.07</v>
      </c>
    </row>
    <row r="355" spans="1:2" x14ac:dyDescent="0.2">
      <c r="A355">
        <v>4.75</v>
      </c>
      <c r="B355">
        <v>3.14</v>
      </c>
    </row>
    <row r="356" spans="1:2" x14ac:dyDescent="0.2">
      <c r="A356">
        <v>4.67</v>
      </c>
      <c r="B356">
        <v>3.5</v>
      </c>
    </row>
    <row r="357" spans="1:2" x14ac:dyDescent="0.2">
      <c r="A357">
        <v>4</v>
      </c>
      <c r="B357">
        <v>1.86</v>
      </c>
    </row>
    <row r="358" spans="1:2" x14ac:dyDescent="0.2">
      <c r="A358">
        <v>4.08</v>
      </c>
      <c r="B358">
        <v>3.57</v>
      </c>
    </row>
    <row r="359" spans="1:2" x14ac:dyDescent="0.2">
      <c r="A359">
        <v>4.67</v>
      </c>
      <c r="B359">
        <v>1.71</v>
      </c>
    </row>
    <row r="360" spans="1:2" x14ac:dyDescent="0.2">
      <c r="A360">
        <v>4.42</v>
      </c>
      <c r="B360">
        <v>2.14</v>
      </c>
    </row>
    <row r="361" spans="1:2" x14ac:dyDescent="0.2">
      <c r="A361">
        <v>3.92</v>
      </c>
      <c r="B361">
        <v>2.93</v>
      </c>
    </row>
    <row r="362" spans="1:2" x14ac:dyDescent="0.2">
      <c r="A362">
        <v>3.67</v>
      </c>
      <c r="B362">
        <v>2.36</v>
      </c>
    </row>
    <row r="363" spans="1:2" x14ac:dyDescent="0.2">
      <c r="A363">
        <v>4.08</v>
      </c>
      <c r="B363">
        <v>3.5</v>
      </c>
    </row>
    <row r="364" spans="1:2" x14ac:dyDescent="0.2">
      <c r="A364">
        <v>2.58</v>
      </c>
      <c r="B364">
        <v>1.64</v>
      </c>
    </row>
    <row r="365" spans="1:2" x14ac:dyDescent="0.2">
      <c r="A365">
        <v>4.25</v>
      </c>
      <c r="B365">
        <v>3.07</v>
      </c>
    </row>
    <row r="366" spans="1:2" x14ac:dyDescent="0.2">
      <c r="A366">
        <v>3.33</v>
      </c>
      <c r="B366">
        <v>3.5</v>
      </c>
    </row>
    <row r="367" spans="1:2" x14ac:dyDescent="0.2">
      <c r="A367">
        <v>3.25</v>
      </c>
      <c r="B367">
        <v>3</v>
      </c>
    </row>
    <row r="368" spans="1:2" x14ac:dyDescent="0.2">
      <c r="A368">
        <v>3.75</v>
      </c>
      <c r="B368">
        <v>2.29</v>
      </c>
    </row>
    <row r="369" spans="1:2" x14ac:dyDescent="0.2">
      <c r="A369">
        <v>3.25</v>
      </c>
      <c r="B369">
        <v>2.57</v>
      </c>
    </row>
    <row r="370" spans="1:2" x14ac:dyDescent="0.2">
      <c r="A370">
        <v>3.75</v>
      </c>
      <c r="B370">
        <v>3.36</v>
      </c>
    </row>
    <row r="371" spans="1:2" x14ac:dyDescent="0.2">
      <c r="A371">
        <v>2.92</v>
      </c>
      <c r="B371">
        <v>2.57</v>
      </c>
    </row>
    <row r="372" spans="1:2" x14ac:dyDescent="0.2">
      <c r="A372">
        <v>3.25</v>
      </c>
      <c r="B372">
        <v>2.0699999999999998</v>
      </c>
    </row>
    <row r="373" spans="1:2" x14ac:dyDescent="0.2">
      <c r="A373">
        <v>1.75</v>
      </c>
      <c r="B373">
        <v>1.86</v>
      </c>
    </row>
    <row r="374" spans="1:2" x14ac:dyDescent="0.2">
      <c r="A374">
        <v>2.5</v>
      </c>
      <c r="B374">
        <v>2.93</v>
      </c>
    </row>
    <row r="375" spans="1:2" x14ac:dyDescent="0.2">
      <c r="A375">
        <v>4.33</v>
      </c>
      <c r="B375">
        <v>2.21</v>
      </c>
    </row>
    <row r="376" spans="1:2" x14ac:dyDescent="0.2">
      <c r="A376">
        <v>3.33</v>
      </c>
      <c r="B376">
        <v>3.36</v>
      </c>
    </row>
    <row r="377" spans="1:2" x14ac:dyDescent="0.2">
      <c r="A377">
        <v>3.58</v>
      </c>
      <c r="B377">
        <v>3.36</v>
      </c>
    </row>
    <row r="378" spans="1:2" x14ac:dyDescent="0.2">
      <c r="A378">
        <v>3.5</v>
      </c>
      <c r="B378">
        <v>2.93</v>
      </c>
    </row>
    <row r="379" spans="1:2" x14ac:dyDescent="0.2">
      <c r="A379">
        <v>4.33</v>
      </c>
      <c r="B379">
        <v>3.29</v>
      </c>
    </row>
    <row r="380" spans="1:2" x14ac:dyDescent="0.2">
      <c r="A380">
        <v>4.17</v>
      </c>
      <c r="B380">
        <v>3</v>
      </c>
    </row>
    <row r="381" spans="1:2" x14ac:dyDescent="0.2">
      <c r="A381">
        <v>5</v>
      </c>
      <c r="B381">
        <v>2.29</v>
      </c>
    </row>
    <row r="382" spans="1:2" x14ac:dyDescent="0.2">
      <c r="A382">
        <v>4.33</v>
      </c>
      <c r="B382">
        <v>3.21</v>
      </c>
    </row>
    <row r="383" spans="1:2" x14ac:dyDescent="0.2">
      <c r="A383">
        <v>4.58</v>
      </c>
      <c r="B383">
        <v>4.29</v>
      </c>
    </row>
    <row r="384" spans="1:2" x14ac:dyDescent="0.2">
      <c r="A384">
        <v>3.33</v>
      </c>
      <c r="B384">
        <v>2</v>
      </c>
    </row>
    <row r="385" spans="1:2" x14ac:dyDescent="0.2">
      <c r="A385">
        <v>2.5</v>
      </c>
      <c r="B385">
        <v>2.36</v>
      </c>
    </row>
    <row r="386" spans="1:2" x14ac:dyDescent="0.2">
      <c r="A386">
        <v>4.75</v>
      </c>
      <c r="B386">
        <v>4.21</v>
      </c>
    </row>
    <row r="387" spans="1:2" x14ac:dyDescent="0.2">
      <c r="A387">
        <v>3.58</v>
      </c>
      <c r="B387">
        <v>3</v>
      </c>
    </row>
    <row r="388" spans="1:2" x14ac:dyDescent="0.2">
      <c r="A388">
        <v>4.08</v>
      </c>
      <c r="B388">
        <v>3.86</v>
      </c>
    </row>
    <row r="389" spans="1:2" x14ac:dyDescent="0.2">
      <c r="A389">
        <v>2.08</v>
      </c>
      <c r="B389">
        <v>1.86</v>
      </c>
    </row>
    <row r="390" spans="1:2" x14ac:dyDescent="0.2">
      <c r="A390">
        <v>2</v>
      </c>
      <c r="B390">
        <v>1.64</v>
      </c>
    </row>
    <row r="391" spans="1:2" x14ac:dyDescent="0.2">
      <c r="A391">
        <v>2.67</v>
      </c>
      <c r="B391">
        <v>2.36</v>
      </c>
    </row>
    <row r="392" spans="1:2" x14ac:dyDescent="0.2">
      <c r="A392">
        <v>3.25</v>
      </c>
      <c r="B392">
        <v>1.29</v>
      </c>
    </row>
    <row r="393" spans="1:2" x14ac:dyDescent="0.2">
      <c r="A393">
        <v>4.42</v>
      </c>
      <c r="B393">
        <v>2.93</v>
      </c>
    </row>
    <row r="394" spans="1:2" x14ac:dyDescent="0.2">
      <c r="A394">
        <v>3.5</v>
      </c>
      <c r="B394">
        <v>3.21</v>
      </c>
    </row>
    <row r="395" spans="1:2" x14ac:dyDescent="0.2">
      <c r="A395">
        <v>3.58</v>
      </c>
      <c r="B395">
        <v>3.36</v>
      </c>
    </row>
    <row r="396" spans="1:2" x14ac:dyDescent="0.2">
      <c r="A396">
        <v>4.58</v>
      </c>
      <c r="B396">
        <v>1.86</v>
      </c>
    </row>
    <row r="397" spans="1:2" x14ac:dyDescent="0.2">
      <c r="A397">
        <v>5</v>
      </c>
      <c r="B397">
        <v>2.64</v>
      </c>
    </row>
    <row r="398" spans="1:2" x14ac:dyDescent="0.2">
      <c r="A398">
        <v>3.67</v>
      </c>
      <c r="B398">
        <v>4.1399999999999997</v>
      </c>
    </row>
    <row r="399" spans="1:2" x14ac:dyDescent="0.2">
      <c r="A399">
        <v>4.08</v>
      </c>
      <c r="B399">
        <v>2.14</v>
      </c>
    </row>
    <row r="400" spans="1:2" x14ac:dyDescent="0.2">
      <c r="A400">
        <v>4.17</v>
      </c>
      <c r="B400">
        <v>1.07</v>
      </c>
    </row>
    <row r="401" spans="1:2" x14ac:dyDescent="0.2">
      <c r="A401">
        <v>3.17</v>
      </c>
      <c r="B401">
        <v>2.71</v>
      </c>
    </row>
    <row r="402" spans="1:2" x14ac:dyDescent="0.2">
      <c r="A402">
        <v>4.08</v>
      </c>
      <c r="B402">
        <v>3</v>
      </c>
    </row>
    <row r="403" spans="1:2" x14ac:dyDescent="0.2">
      <c r="A403">
        <v>3.83</v>
      </c>
      <c r="B403">
        <v>3.21</v>
      </c>
    </row>
    <row r="404" spans="1:2" x14ac:dyDescent="0.2">
      <c r="A404">
        <v>3.75</v>
      </c>
      <c r="B404">
        <v>2.64</v>
      </c>
    </row>
    <row r="405" spans="1:2" x14ac:dyDescent="0.2">
      <c r="A405">
        <v>3.75</v>
      </c>
      <c r="B405">
        <v>2</v>
      </c>
    </row>
    <row r="406" spans="1:2" x14ac:dyDescent="0.2">
      <c r="A406">
        <v>3.67</v>
      </c>
      <c r="B406">
        <v>2.14</v>
      </c>
    </row>
    <row r="407" spans="1:2" x14ac:dyDescent="0.2">
      <c r="A407">
        <v>3.5</v>
      </c>
      <c r="B407">
        <v>2.86</v>
      </c>
    </row>
    <row r="408" spans="1:2" x14ac:dyDescent="0.2">
      <c r="A408">
        <v>3.58</v>
      </c>
      <c r="B408">
        <v>2.29</v>
      </c>
    </row>
    <row r="409" spans="1:2" x14ac:dyDescent="0.2">
      <c r="A409">
        <v>3.08</v>
      </c>
      <c r="B409">
        <v>1.57</v>
      </c>
    </row>
    <row r="410" spans="1:2" x14ac:dyDescent="0.2">
      <c r="A410">
        <v>4</v>
      </c>
      <c r="B410">
        <v>1.36</v>
      </c>
    </row>
    <row r="411" spans="1:2" x14ac:dyDescent="0.2">
      <c r="A411">
        <v>3.83</v>
      </c>
      <c r="B411">
        <v>2</v>
      </c>
    </row>
    <row r="412" spans="1:2" x14ac:dyDescent="0.2">
      <c r="A412">
        <v>4.42</v>
      </c>
      <c r="B412">
        <v>3.43</v>
      </c>
    </row>
    <row r="413" spans="1:2" x14ac:dyDescent="0.2">
      <c r="A413">
        <v>3.25</v>
      </c>
      <c r="B413">
        <v>1.5</v>
      </c>
    </row>
    <row r="414" spans="1:2" x14ac:dyDescent="0.2">
      <c r="A414">
        <v>2.75</v>
      </c>
      <c r="B414">
        <v>2.64</v>
      </c>
    </row>
    <row r="415" spans="1:2" x14ac:dyDescent="0.2">
      <c r="A415">
        <v>2.75</v>
      </c>
      <c r="B415">
        <v>4.07</v>
      </c>
    </row>
    <row r="416" spans="1:2" x14ac:dyDescent="0.2">
      <c r="A416">
        <v>2.58</v>
      </c>
      <c r="B416">
        <v>2.86</v>
      </c>
    </row>
    <row r="417" spans="1:2" x14ac:dyDescent="0.2">
      <c r="A417">
        <v>4.08</v>
      </c>
      <c r="B417">
        <v>2.14</v>
      </c>
    </row>
    <row r="418" spans="1:2" x14ac:dyDescent="0.2">
      <c r="A418">
        <v>2.75</v>
      </c>
      <c r="B418">
        <v>2.71</v>
      </c>
    </row>
    <row r="419" spans="1:2" x14ac:dyDescent="0.2">
      <c r="A419">
        <v>4.58</v>
      </c>
      <c r="B419">
        <v>2.4300000000000002</v>
      </c>
    </row>
    <row r="420" spans="1:2" x14ac:dyDescent="0.2">
      <c r="A420">
        <v>3.67</v>
      </c>
      <c r="B420">
        <v>2</v>
      </c>
    </row>
    <row r="421" spans="1:2" x14ac:dyDescent="0.2">
      <c r="A421">
        <v>3.92</v>
      </c>
      <c r="B421">
        <v>2.14</v>
      </c>
    </row>
    <row r="422" spans="1:2" x14ac:dyDescent="0.2">
      <c r="A422">
        <v>3.83</v>
      </c>
      <c r="B422">
        <v>2.14</v>
      </c>
    </row>
    <row r="423" spans="1:2" x14ac:dyDescent="0.2">
      <c r="A423">
        <v>3.33</v>
      </c>
      <c r="B423">
        <v>3.36</v>
      </c>
    </row>
    <row r="424" spans="1:2" x14ac:dyDescent="0.2">
      <c r="A424">
        <v>3.17</v>
      </c>
      <c r="B424">
        <v>2.29</v>
      </c>
    </row>
    <row r="425" spans="1:2" x14ac:dyDescent="0.2">
      <c r="A425">
        <v>2.33</v>
      </c>
      <c r="B425">
        <v>3.29</v>
      </c>
    </row>
    <row r="426" spans="1:2" x14ac:dyDescent="0.2">
      <c r="A426">
        <v>3.92</v>
      </c>
      <c r="B426">
        <v>3.57</v>
      </c>
    </row>
    <row r="427" spans="1:2" x14ac:dyDescent="0.2">
      <c r="A427">
        <v>1.58</v>
      </c>
      <c r="B427">
        <v>1.21</v>
      </c>
    </row>
    <row r="428" spans="1:2" x14ac:dyDescent="0.2">
      <c r="A428">
        <v>3.58</v>
      </c>
      <c r="B428">
        <v>1.1399999999999999</v>
      </c>
    </row>
    <row r="429" spans="1:2" x14ac:dyDescent="0.2">
      <c r="A429">
        <v>3.42</v>
      </c>
      <c r="B429">
        <v>1</v>
      </c>
    </row>
    <row r="430" spans="1:2" x14ac:dyDescent="0.2">
      <c r="A430">
        <v>4.75</v>
      </c>
      <c r="B430">
        <v>1.71</v>
      </c>
    </row>
    <row r="431" spans="1:2" x14ac:dyDescent="0.2">
      <c r="A431">
        <v>3.92</v>
      </c>
      <c r="B431">
        <v>2.57</v>
      </c>
    </row>
    <row r="432" spans="1:2" x14ac:dyDescent="0.2">
      <c r="A432">
        <v>2.83</v>
      </c>
      <c r="B432">
        <v>1.71</v>
      </c>
    </row>
    <row r="433" spans="1:2" x14ac:dyDescent="0.2">
      <c r="A433">
        <v>3.5</v>
      </c>
      <c r="B433">
        <v>2.57</v>
      </c>
    </row>
    <row r="434" spans="1:2" x14ac:dyDescent="0.2">
      <c r="A434">
        <v>3.83</v>
      </c>
      <c r="B434">
        <v>2.29</v>
      </c>
    </row>
    <row r="435" spans="1:2" x14ac:dyDescent="0.2">
      <c r="A435">
        <v>4.58</v>
      </c>
      <c r="B435">
        <v>1.43</v>
      </c>
    </row>
    <row r="436" spans="1:2" x14ac:dyDescent="0.2">
      <c r="A436">
        <v>2.08</v>
      </c>
      <c r="B436">
        <v>2.64</v>
      </c>
    </row>
    <row r="437" spans="1:2" x14ac:dyDescent="0.2">
      <c r="A437">
        <v>4.42</v>
      </c>
      <c r="B437">
        <v>3.86</v>
      </c>
    </row>
    <row r="438" spans="1:2" x14ac:dyDescent="0.2">
      <c r="A438">
        <v>2.75</v>
      </c>
      <c r="B438">
        <v>2.79</v>
      </c>
    </row>
    <row r="439" spans="1:2" x14ac:dyDescent="0.2">
      <c r="A439">
        <v>2.83</v>
      </c>
      <c r="B439">
        <v>2.29</v>
      </c>
    </row>
    <row r="440" spans="1:2" x14ac:dyDescent="0.2">
      <c r="A440">
        <v>4.92</v>
      </c>
      <c r="B440">
        <v>2.4300000000000002</v>
      </c>
    </row>
    <row r="441" spans="1:2" x14ac:dyDescent="0.2">
      <c r="A441">
        <v>3.75</v>
      </c>
      <c r="B441">
        <v>2.64</v>
      </c>
    </row>
    <row r="442" spans="1:2" x14ac:dyDescent="0.2">
      <c r="A442">
        <v>4.08</v>
      </c>
      <c r="B442">
        <v>3.07</v>
      </c>
    </row>
    <row r="443" spans="1:2" x14ac:dyDescent="0.2">
      <c r="A443">
        <v>2.58</v>
      </c>
      <c r="B443">
        <v>2.4300000000000002</v>
      </c>
    </row>
    <row r="444" spans="1:2" x14ac:dyDescent="0.2">
      <c r="A444">
        <v>3.83</v>
      </c>
      <c r="B444">
        <v>3.57</v>
      </c>
    </row>
    <row r="445" spans="1:2" x14ac:dyDescent="0.2">
      <c r="A445">
        <v>2.92</v>
      </c>
      <c r="B445">
        <v>3.29</v>
      </c>
    </row>
    <row r="446" spans="1:2" x14ac:dyDescent="0.2">
      <c r="A446">
        <v>4.25</v>
      </c>
      <c r="B446">
        <v>2.4300000000000002</v>
      </c>
    </row>
    <row r="447" spans="1:2" x14ac:dyDescent="0.2">
      <c r="A447">
        <v>2.92</v>
      </c>
      <c r="B447">
        <v>3.21</v>
      </c>
    </row>
    <row r="448" spans="1:2" x14ac:dyDescent="0.2">
      <c r="A448">
        <v>3</v>
      </c>
      <c r="B448">
        <v>3.36</v>
      </c>
    </row>
    <row r="449" spans="1:2" x14ac:dyDescent="0.2">
      <c r="A449">
        <v>2.17</v>
      </c>
      <c r="B449">
        <v>2.21</v>
      </c>
    </row>
    <row r="450" spans="1:2" x14ac:dyDescent="0.2">
      <c r="A450">
        <v>3.83</v>
      </c>
      <c r="B450">
        <v>1.43</v>
      </c>
    </row>
    <row r="451" spans="1:2" x14ac:dyDescent="0.2">
      <c r="A451">
        <v>2.67</v>
      </c>
      <c r="B451">
        <v>3.64</v>
      </c>
    </row>
    <row r="452" spans="1:2" x14ac:dyDescent="0.2">
      <c r="A452">
        <v>4.5</v>
      </c>
      <c r="B452">
        <v>3.07</v>
      </c>
    </row>
    <row r="453" spans="1:2" x14ac:dyDescent="0.2">
      <c r="A453">
        <v>3.33</v>
      </c>
      <c r="B453">
        <v>3.14</v>
      </c>
    </row>
    <row r="454" spans="1:2" x14ac:dyDescent="0.2">
      <c r="A454">
        <v>3.67</v>
      </c>
      <c r="B454">
        <v>1.71</v>
      </c>
    </row>
    <row r="455" spans="1:2" x14ac:dyDescent="0.2">
      <c r="A455">
        <v>2.25</v>
      </c>
      <c r="B455">
        <v>2.14</v>
      </c>
    </row>
    <row r="456" spans="1:2" x14ac:dyDescent="0.2">
      <c r="A456">
        <v>3.83</v>
      </c>
      <c r="B456">
        <v>1.86</v>
      </c>
    </row>
    <row r="457" spans="1:2" x14ac:dyDescent="0.2">
      <c r="A457">
        <v>4.92</v>
      </c>
      <c r="B457">
        <v>1.57</v>
      </c>
    </row>
    <row r="458" spans="1:2" x14ac:dyDescent="0.2">
      <c r="A458">
        <v>4.42</v>
      </c>
      <c r="B458">
        <v>3.5</v>
      </c>
    </row>
    <row r="459" spans="1:2" x14ac:dyDescent="0.2">
      <c r="A459">
        <v>3.75</v>
      </c>
      <c r="B459">
        <v>2.93</v>
      </c>
    </row>
    <row r="460" spans="1:2" x14ac:dyDescent="0.2">
      <c r="A460">
        <v>3.75</v>
      </c>
      <c r="B460">
        <v>2.4300000000000002</v>
      </c>
    </row>
    <row r="461" spans="1:2" x14ac:dyDescent="0.2">
      <c r="A461">
        <v>3.92</v>
      </c>
      <c r="B461">
        <v>2.5</v>
      </c>
    </row>
    <row r="462" spans="1:2" x14ac:dyDescent="0.2">
      <c r="A462">
        <v>5</v>
      </c>
      <c r="B462">
        <v>2.4300000000000002</v>
      </c>
    </row>
    <row r="463" spans="1:2" x14ac:dyDescent="0.2">
      <c r="A463">
        <v>3.58</v>
      </c>
      <c r="B463">
        <v>2.93</v>
      </c>
    </row>
    <row r="464" spans="1:2" x14ac:dyDescent="0.2">
      <c r="A464">
        <v>4.42</v>
      </c>
      <c r="B464">
        <v>4.29</v>
      </c>
    </row>
    <row r="465" spans="1:2" x14ac:dyDescent="0.2">
      <c r="A465">
        <v>3</v>
      </c>
      <c r="B465">
        <v>3</v>
      </c>
    </row>
    <row r="466" spans="1:2" x14ac:dyDescent="0.2">
      <c r="A466">
        <v>3.67</v>
      </c>
      <c r="B466">
        <v>2.64</v>
      </c>
    </row>
    <row r="467" spans="1:2" x14ac:dyDescent="0.2">
      <c r="A467">
        <v>4.08</v>
      </c>
      <c r="B467">
        <v>4.07</v>
      </c>
    </row>
    <row r="468" spans="1:2" x14ac:dyDescent="0.2">
      <c r="A468">
        <v>4.75</v>
      </c>
      <c r="B468">
        <v>3.14</v>
      </c>
    </row>
    <row r="469" spans="1:2" x14ac:dyDescent="0.2">
      <c r="A469">
        <v>4.67</v>
      </c>
      <c r="B469">
        <v>3.5</v>
      </c>
    </row>
    <row r="470" spans="1:2" x14ac:dyDescent="0.2">
      <c r="A470">
        <v>4</v>
      </c>
      <c r="B470">
        <v>1.86</v>
      </c>
    </row>
    <row r="471" spans="1:2" x14ac:dyDescent="0.2">
      <c r="A471">
        <v>4.08</v>
      </c>
      <c r="B471">
        <v>3.57</v>
      </c>
    </row>
    <row r="472" spans="1:2" x14ac:dyDescent="0.2">
      <c r="A472">
        <v>4.67</v>
      </c>
      <c r="B472">
        <v>1.71</v>
      </c>
    </row>
    <row r="473" spans="1:2" x14ac:dyDescent="0.2">
      <c r="A473">
        <v>4.42</v>
      </c>
      <c r="B473">
        <v>2.14</v>
      </c>
    </row>
    <row r="474" spans="1:2" x14ac:dyDescent="0.2">
      <c r="A474">
        <v>3.92</v>
      </c>
      <c r="B474">
        <v>2.93</v>
      </c>
    </row>
    <row r="475" spans="1:2" x14ac:dyDescent="0.2">
      <c r="A475">
        <v>3.67</v>
      </c>
      <c r="B475">
        <v>2.36</v>
      </c>
    </row>
    <row r="476" spans="1:2" x14ac:dyDescent="0.2">
      <c r="A476">
        <v>4.08</v>
      </c>
      <c r="B476">
        <v>3.5</v>
      </c>
    </row>
    <row r="477" spans="1:2" x14ac:dyDescent="0.2">
      <c r="A477">
        <v>2.58</v>
      </c>
      <c r="B477">
        <v>1.64</v>
      </c>
    </row>
    <row r="478" spans="1:2" x14ac:dyDescent="0.2">
      <c r="A478">
        <v>4.25</v>
      </c>
      <c r="B478">
        <v>3.07</v>
      </c>
    </row>
    <row r="479" spans="1:2" x14ac:dyDescent="0.2">
      <c r="A479">
        <v>3.33</v>
      </c>
      <c r="B479">
        <v>3.5</v>
      </c>
    </row>
    <row r="480" spans="1:2" x14ac:dyDescent="0.2">
      <c r="A480">
        <v>3.25</v>
      </c>
      <c r="B480">
        <v>3</v>
      </c>
    </row>
    <row r="481" spans="1:2" x14ac:dyDescent="0.2">
      <c r="A481">
        <v>3.75</v>
      </c>
      <c r="B481">
        <v>2.29</v>
      </c>
    </row>
    <row r="482" spans="1:2" x14ac:dyDescent="0.2">
      <c r="A482">
        <v>3.25</v>
      </c>
      <c r="B482">
        <v>2.57</v>
      </c>
    </row>
    <row r="483" spans="1:2" x14ac:dyDescent="0.2">
      <c r="A483">
        <v>3.75</v>
      </c>
      <c r="B483">
        <v>3.36</v>
      </c>
    </row>
    <row r="484" spans="1:2" x14ac:dyDescent="0.2">
      <c r="A484">
        <v>2.92</v>
      </c>
      <c r="B484">
        <v>2.57</v>
      </c>
    </row>
    <row r="485" spans="1:2" x14ac:dyDescent="0.2">
      <c r="A485">
        <v>3.25</v>
      </c>
      <c r="B485">
        <v>2.0699999999999998</v>
      </c>
    </row>
    <row r="486" spans="1:2" x14ac:dyDescent="0.2">
      <c r="A486">
        <v>1.75</v>
      </c>
      <c r="B486">
        <v>1.86</v>
      </c>
    </row>
    <row r="487" spans="1:2" x14ac:dyDescent="0.2">
      <c r="A487">
        <v>2.5</v>
      </c>
      <c r="B487">
        <v>2.93</v>
      </c>
    </row>
    <row r="488" spans="1:2" x14ac:dyDescent="0.2">
      <c r="A488">
        <v>4.33</v>
      </c>
      <c r="B488">
        <v>2.21</v>
      </c>
    </row>
    <row r="489" spans="1:2" x14ac:dyDescent="0.2">
      <c r="A489">
        <v>3.33</v>
      </c>
      <c r="B489">
        <v>3.36</v>
      </c>
    </row>
    <row r="490" spans="1:2" x14ac:dyDescent="0.2">
      <c r="A490">
        <v>3.58</v>
      </c>
      <c r="B490">
        <v>3.36</v>
      </c>
    </row>
    <row r="491" spans="1:2" x14ac:dyDescent="0.2">
      <c r="A491">
        <v>3.5</v>
      </c>
      <c r="B491">
        <v>2.93</v>
      </c>
    </row>
    <row r="492" spans="1:2" x14ac:dyDescent="0.2">
      <c r="A492">
        <v>4.33</v>
      </c>
      <c r="B492">
        <v>3.29</v>
      </c>
    </row>
    <row r="493" spans="1:2" x14ac:dyDescent="0.2">
      <c r="A493">
        <v>5</v>
      </c>
      <c r="B493">
        <v>2.29</v>
      </c>
    </row>
    <row r="494" spans="1:2" x14ac:dyDescent="0.2">
      <c r="A494">
        <v>4.33</v>
      </c>
      <c r="B494">
        <v>3.21</v>
      </c>
    </row>
    <row r="495" spans="1:2" x14ac:dyDescent="0.2">
      <c r="A495">
        <v>4.58</v>
      </c>
      <c r="B495">
        <v>4.29</v>
      </c>
    </row>
    <row r="496" spans="1:2" x14ac:dyDescent="0.2">
      <c r="A496">
        <v>3.33</v>
      </c>
      <c r="B496">
        <v>2</v>
      </c>
    </row>
    <row r="497" spans="1:2" x14ac:dyDescent="0.2">
      <c r="A497">
        <v>2.5</v>
      </c>
      <c r="B497">
        <v>2.36</v>
      </c>
    </row>
    <row r="498" spans="1:2" x14ac:dyDescent="0.2">
      <c r="A498">
        <v>3.75</v>
      </c>
      <c r="B498">
        <v>1</v>
      </c>
    </row>
    <row r="499" spans="1:2" x14ac:dyDescent="0.2">
      <c r="A499">
        <v>4.75</v>
      </c>
      <c r="B499">
        <v>4.21</v>
      </c>
    </row>
    <row r="500" spans="1:2" x14ac:dyDescent="0.2">
      <c r="A500">
        <v>3.58</v>
      </c>
      <c r="B500">
        <v>3</v>
      </c>
    </row>
    <row r="501" spans="1:2" x14ac:dyDescent="0.2">
      <c r="A501">
        <v>4.08</v>
      </c>
      <c r="B501">
        <v>3.86</v>
      </c>
    </row>
    <row r="502" spans="1:2" x14ac:dyDescent="0.2">
      <c r="A502">
        <v>2.08</v>
      </c>
      <c r="B502">
        <v>1.86</v>
      </c>
    </row>
    <row r="503" spans="1:2" x14ac:dyDescent="0.2">
      <c r="A503">
        <v>2</v>
      </c>
      <c r="B503">
        <v>1.64</v>
      </c>
    </row>
    <row r="504" spans="1:2" x14ac:dyDescent="0.2">
      <c r="A504">
        <v>2.67</v>
      </c>
      <c r="B504">
        <v>2.36</v>
      </c>
    </row>
    <row r="505" spans="1:2" x14ac:dyDescent="0.2">
      <c r="A505">
        <v>4.42</v>
      </c>
      <c r="B505">
        <v>2.93</v>
      </c>
    </row>
    <row r="506" spans="1:2" x14ac:dyDescent="0.2">
      <c r="A506">
        <v>3.5</v>
      </c>
      <c r="B506">
        <v>3.21</v>
      </c>
    </row>
    <row r="507" spans="1:2" x14ac:dyDescent="0.2">
      <c r="A507">
        <v>3.58</v>
      </c>
      <c r="B507">
        <v>3.36</v>
      </c>
    </row>
    <row r="508" spans="1:2" x14ac:dyDescent="0.2">
      <c r="A508">
        <v>4.58</v>
      </c>
      <c r="B508">
        <v>1.86</v>
      </c>
    </row>
    <row r="509" spans="1:2" x14ac:dyDescent="0.2">
      <c r="A509">
        <v>5</v>
      </c>
      <c r="B509">
        <v>2.64</v>
      </c>
    </row>
    <row r="510" spans="1:2" x14ac:dyDescent="0.2">
      <c r="A510">
        <v>3.67</v>
      </c>
      <c r="B510">
        <v>4.1399999999999997</v>
      </c>
    </row>
    <row r="511" spans="1:2" x14ac:dyDescent="0.2">
      <c r="A511">
        <v>4.08</v>
      </c>
      <c r="B511">
        <v>2.14</v>
      </c>
    </row>
    <row r="512" spans="1:2" x14ac:dyDescent="0.2">
      <c r="A512">
        <v>4.17</v>
      </c>
      <c r="B512">
        <v>1.07</v>
      </c>
    </row>
    <row r="513" spans="1:2" x14ac:dyDescent="0.2">
      <c r="A513">
        <v>3.17</v>
      </c>
      <c r="B513">
        <v>2.71</v>
      </c>
    </row>
    <row r="514" spans="1:2" x14ac:dyDescent="0.2">
      <c r="A514">
        <v>4.08</v>
      </c>
      <c r="B514">
        <v>3</v>
      </c>
    </row>
    <row r="515" spans="1:2" x14ac:dyDescent="0.2">
      <c r="A515">
        <v>3.83</v>
      </c>
      <c r="B515">
        <v>3.21</v>
      </c>
    </row>
    <row r="516" spans="1:2" x14ac:dyDescent="0.2">
      <c r="A516">
        <v>3.75</v>
      </c>
      <c r="B516">
        <v>2.64</v>
      </c>
    </row>
    <row r="517" spans="1:2" x14ac:dyDescent="0.2">
      <c r="A517">
        <v>3.75</v>
      </c>
      <c r="B517">
        <v>2</v>
      </c>
    </row>
    <row r="518" spans="1:2" x14ac:dyDescent="0.2">
      <c r="A518">
        <v>3.67</v>
      </c>
      <c r="B518">
        <v>2.14</v>
      </c>
    </row>
    <row r="519" spans="1:2" x14ac:dyDescent="0.2">
      <c r="A519">
        <v>3.5</v>
      </c>
      <c r="B519">
        <v>2.86</v>
      </c>
    </row>
    <row r="520" spans="1:2" x14ac:dyDescent="0.2">
      <c r="A520">
        <v>3.58</v>
      </c>
      <c r="B520">
        <v>2.29</v>
      </c>
    </row>
    <row r="521" spans="1:2" x14ac:dyDescent="0.2">
      <c r="A521">
        <v>3.08</v>
      </c>
      <c r="B521">
        <v>1.57</v>
      </c>
    </row>
    <row r="522" spans="1:2" x14ac:dyDescent="0.2">
      <c r="A522">
        <v>4</v>
      </c>
      <c r="B522">
        <v>1.36</v>
      </c>
    </row>
    <row r="523" spans="1:2" x14ac:dyDescent="0.2">
      <c r="A523">
        <v>3.83</v>
      </c>
      <c r="B523">
        <v>2</v>
      </c>
    </row>
    <row r="524" spans="1:2" x14ac:dyDescent="0.2">
      <c r="A524">
        <v>4.42</v>
      </c>
      <c r="B524">
        <v>3.43</v>
      </c>
    </row>
    <row r="525" spans="1:2" x14ac:dyDescent="0.2">
      <c r="A525">
        <v>3.25</v>
      </c>
      <c r="B525">
        <v>1.5</v>
      </c>
    </row>
    <row r="526" spans="1:2" x14ac:dyDescent="0.2">
      <c r="A526">
        <v>2.75</v>
      </c>
      <c r="B526">
        <v>2.64</v>
      </c>
    </row>
    <row r="527" spans="1:2" x14ac:dyDescent="0.2">
      <c r="A527">
        <v>2.75</v>
      </c>
      <c r="B527">
        <v>4.07</v>
      </c>
    </row>
    <row r="528" spans="1:2" x14ac:dyDescent="0.2">
      <c r="A528">
        <v>2.58</v>
      </c>
      <c r="B528">
        <v>2.86</v>
      </c>
    </row>
    <row r="529" spans="1:2" x14ac:dyDescent="0.2">
      <c r="A529">
        <v>4.08</v>
      </c>
      <c r="B529">
        <v>2.14</v>
      </c>
    </row>
    <row r="530" spans="1:2" x14ac:dyDescent="0.2">
      <c r="A530">
        <v>2.75</v>
      </c>
      <c r="B530">
        <v>2.71</v>
      </c>
    </row>
    <row r="531" spans="1:2" x14ac:dyDescent="0.2">
      <c r="A531">
        <v>4.58</v>
      </c>
      <c r="B531">
        <v>2.4300000000000002</v>
      </c>
    </row>
    <row r="532" spans="1:2" x14ac:dyDescent="0.2">
      <c r="A532">
        <v>3.67</v>
      </c>
      <c r="B532">
        <v>2</v>
      </c>
    </row>
    <row r="533" spans="1:2" x14ac:dyDescent="0.2">
      <c r="A533">
        <v>3.92</v>
      </c>
      <c r="B533">
        <v>2.14</v>
      </c>
    </row>
    <row r="534" spans="1:2" x14ac:dyDescent="0.2">
      <c r="A534">
        <v>3.83</v>
      </c>
      <c r="B534">
        <v>2.14</v>
      </c>
    </row>
    <row r="535" spans="1:2" x14ac:dyDescent="0.2">
      <c r="A535">
        <v>3.33</v>
      </c>
      <c r="B535">
        <v>3.36</v>
      </c>
    </row>
    <row r="536" spans="1:2" x14ac:dyDescent="0.2">
      <c r="A536">
        <v>3.17</v>
      </c>
      <c r="B536">
        <v>2.29</v>
      </c>
    </row>
    <row r="537" spans="1:2" x14ac:dyDescent="0.2">
      <c r="A537">
        <v>2.33</v>
      </c>
      <c r="B537">
        <v>3.29</v>
      </c>
    </row>
    <row r="538" spans="1:2" x14ac:dyDescent="0.2">
      <c r="A538">
        <v>3.92</v>
      </c>
      <c r="B538">
        <v>3.57</v>
      </c>
    </row>
    <row r="539" spans="1:2" x14ac:dyDescent="0.2">
      <c r="A539">
        <v>1.58</v>
      </c>
      <c r="B539">
        <v>1.21</v>
      </c>
    </row>
    <row r="540" spans="1:2" x14ac:dyDescent="0.2">
      <c r="A540">
        <v>4.75</v>
      </c>
      <c r="B540">
        <v>1.71</v>
      </c>
    </row>
    <row r="541" spans="1:2" x14ac:dyDescent="0.2">
      <c r="A541">
        <v>3.92</v>
      </c>
      <c r="B541">
        <v>2.57</v>
      </c>
    </row>
    <row r="542" spans="1:2" x14ac:dyDescent="0.2">
      <c r="A542">
        <v>2.83</v>
      </c>
      <c r="B542">
        <v>1.71</v>
      </c>
    </row>
    <row r="543" spans="1:2" x14ac:dyDescent="0.2">
      <c r="A543">
        <v>3.5</v>
      </c>
      <c r="B543">
        <v>2.57</v>
      </c>
    </row>
    <row r="544" spans="1:2" x14ac:dyDescent="0.2">
      <c r="A544">
        <v>3.83</v>
      </c>
      <c r="B544">
        <v>2.29</v>
      </c>
    </row>
    <row r="545" spans="1:2" x14ac:dyDescent="0.2">
      <c r="A545">
        <v>4.58</v>
      </c>
      <c r="B545">
        <v>1.43</v>
      </c>
    </row>
    <row r="546" spans="1:2" x14ac:dyDescent="0.2">
      <c r="A546">
        <v>2.08</v>
      </c>
      <c r="B546">
        <v>2.64</v>
      </c>
    </row>
    <row r="547" spans="1:2" x14ac:dyDescent="0.2">
      <c r="A547">
        <v>4.42</v>
      </c>
      <c r="B547">
        <v>3.86</v>
      </c>
    </row>
    <row r="548" spans="1:2" x14ac:dyDescent="0.2">
      <c r="A548">
        <v>2.75</v>
      </c>
      <c r="B548">
        <v>2.79</v>
      </c>
    </row>
    <row r="549" spans="1:2" x14ac:dyDescent="0.2">
      <c r="A549">
        <v>2.83</v>
      </c>
      <c r="B549">
        <v>2.29</v>
      </c>
    </row>
    <row r="550" spans="1:2" x14ac:dyDescent="0.2">
      <c r="A550">
        <v>4.92</v>
      </c>
      <c r="B550">
        <v>2.4300000000000002</v>
      </c>
    </row>
    <row r="551" spans="1:2" x14ac:dyDescent="0.2">
      <c r="A551">
        <v>3.75</v>
      </c>
      <c r="B551">
        <v>2.64</v>
      </c>
    </row>
    <row r="552" spans="1:2" x14ac:dyDescent="0.2">
      <c r="A552">
        <v>4.08</v>
      </c>
      <c r="B552">
        <v>3.07</v>
      </c>
    </row>
    <row r="553" spans="1:2" x14ac:dyDescent="0.2">
      <c r="A553">
        <v>2.58</v>
      </c>
      <c r="B553">
        <v>2.4300000000000002</v>
      </c>
    </row>
    <row r="554" spans="1:2" x14ac:dyDescent="0.2">
      <c r="A554">
        <v>3.83</v>
      </c>
      <c r="B554">
        <v>3.57</v>
      </c>
    </row>
    <row r="555" spans="1:2" x14ac:dyDescent="0.2">
      <c r="A555">
        <v>2.92</v>
      </c>
      <c r="B555">
        <v>3.29</v>
      </c>
    </row>
    <row r="556" spans="1:2" x14ac:dyDescent="0.2">
      <c r="A556">
        <v>4.25</v>
      </c>
      <c r="B556">
        <v>2.4300000000000002</v>
      </c>
    </row>
    <row r="557" spans="1:2" x14ac:dyDescent="0.2">
      <c r="A557">
        <v>2.92</v>
      </c>
      <c r="B557">
        <v>3.21</v>
      </c>
    </row>
    <row r="558" spans="1:2" x14ac:dyDescent="0.2">
      <c r="A558">
        <v>3</v>
      </c>
      <c r="B558">
        <v>3.07</v>
      </c>
    </row>
    <row r="559" spans="1:2" x14ac:dyDescent="0.2">
      <c r="A559">
        <v>3</v>
      </c>
      <c r="B559">
        <v>3.36</v>
      </c>
    </row>
    <row r="560" spans="1:2" x14ac:dyDescent="0.2">
      <c r="A560">
        <v>2.17</v>
      </c>
      <c r="B560">
        <v>2.21</v>
      </c>
    </row>
    <row r="561" spans="1:2" x14ac:dyDescent="0.2">
      <c r="A561">
        <v>3.83</v>
      </c>
      <c r="B561">
        <v>1.43</v>
      </c>
    </row>
    <row r="562" spans="1:2" x14ac:dyDescent="0.2">
      <c r="A562">
        <v>2.67</v>
      </c>
      <c r="B562">
        <v>3.64</v>
      </c>
    </row>
    <row r="563" spans="1:2" x14ac:dyDescent="0.2">
      <c r="A563">
        <v>4.5</v>
      </c>
      <c r="B563">
        <v>3.07</v>
      </c>
    </row>
    <row r="564" spans="1:2" x14ac:dyDescent="0.2">
      <c r="A564">
        <v>3.33</v>
      </c>
      <c r="B564">
        <v>3.14</v>
      </c>
    </row>
    <row r="565" spans="1:2" x14ac:dyDescent="0.2">
      <c r="A565">
        <v>3.67</v>
      </c>
      <c r="B565">
        <v>1.71</v>
      </c>
    </row>
    <row r="566" spans="1:2" x14ac:dyDescent="0.2">
      <c r="A566">
        <v>2.25</v>
      </c>
      <c r="B566">
        <v>2.14</v>
      </c>
    </row>
    <row r="567" spans="1:2" x14ac:dyDescent="0.2">
      <c r="A567">
        <v>3.83</v>
      </c>
      <c r="B567">
        <v>1.86</v>
      </c>
    </row>
    <row r="568" spans="1:2" x14ac:dyDescent="0.2">
      <c r="A568">
        <v>4.92</v>
      </c>
      <c r="B568">
        <v>1.57</v>
      </c>
    </row>
    <row r="569" spans="1:2" x14ac:dyDescent="0.2">
      <c r="A569">
        <v>4.42</v>
      </c>
      <c r="B569">
        <v>3.5</v>
      </c>
    </row>
    <row r="570" spans="1:2" x14ac:dyDescent="0.2">
      <c r="A570">
        <v>3.75</v>
      </c>
      <c r="B570">
        <v>2.93</v>
      </c>
    </row>
    <row r="571" spans="1:2" x14ac:dyDescent="0.2">
      <c r="A571">
        <v>3.75</v>
      </c>
      <c r="B571">
        <v>2.4300000000000002</v>
      </c>
    </row>
    <row r="572" spans="1:2" x14ac:dyDescent="0.2">
      <c r="A572">
        <v>3.92</v>
      </c>
      <c r="B572">
        <v>2.5</v>
      </c>
    </row>
    <row r="573" spans="1:2" x14ac:dyDescent="0.2">
      <c r="A573">
        <v>5</v>
      </c>
      <c r="B573">
        <v>2.4300000000000002</v>
      </c>
    </row>
    <row r="574" spans="1:2" x14ac:dyDescent="0.2">
      <c r="A574">
        <v>3.58</v>
      </c>
      <c r="B574">
        <v>2.93</v>
      </c>
    </row>
    <row r="575" spans="1:2" x14ac:dyDescent="0.2">
      <c r="A575">
        <v>4.42</v>
      </c>
      <c r="B575">
        <v>4.29</v>
      </c>
    </row>
    <row r="576" spans="1:2" x14ac:dyDescent="0.2">
      <c r="A576">
        <v>3</v>
      </c>
      <c r="B576">
        <v>3</v>
      </c>
    </row>
    <row r="577" spans="1:2" x14ac:dyDescent="0.2">
      <c r="A577">
        <v>3.67</v>
      </c>
      <c r="B577">
        <v>2.64</v>
      </c>
    </row>
    <row r="578" spans="1:2" x14ac:dyDescent="0.2">
      <c r="A578">
        <v>4.08</v>
      </c>
      <c r="B578">
        <v>4.07</v>
      </c>
    </row>
    <row r="579" spans="1:2" x14ac:dyDescent="0.2">
      <c r="A579">
        <v>4.75</v>
      </c>
      <c r="B579">
        <v>3.14</v>
      </c>
    </row>
    <row r="580" spans="1:2" x14ac:dyDescent="0.2">
      <c r="A580">
        <v>4.67</v>
      </c>
      <c r="B580">
        <v>3.5</v>
      </c>
    </row>
    <row r="581" spans="1:2" x14ac:dyDescent="0.2">
      <c r="A581">
        <v>4</v>
      </c>
      <c r="B581">
        <v>1.86</v>
      </c>
    </row>
    <row r="582" spans="1:2" x14ac:dyDescent="0.2">
      <c r="A582">
        <v>4.08</v>
      </c>
      <c r="B582">
        <v>3.57</v>
      </c>
    </row>
    <row r="583" spans="1:2" x14ac:dyDescent="0.2">
      <c r="A583">
        <v>4.67</v>
      </c>
      <c r="B583">
        <v>1.71</v>
      </c>
    </row>
    <row r="584" spans="1:2" x14ac:dyDescent="0.2">
      <c r="A584">
        <v>4.42</v>
      </c>
      <c r="B584">
        <v>2.14</v>
      </c>
    </row>
    <row r="585" spans="1:2" x14ac:dyDescent="0.2">
      <c r="A585">
        <v>3.92</v>
      </c>
      <c r="B585">
        <v>2.93</v>
      </c>
    </row>
    <row r="586" spans="1:2" x14ac:dyDescent="0.2">
      <c r="A586">
        <v>3.67</v>
      </c>
      <c r="B586">
        <v>2.36</v>
      </c>
    </row>
    <row r="587" spans="1:2" x14ac:dyDescent="0.2">
      <c r="A587">
        <v>4.08</v>
      </c>
      <c r="B587">
        <v>3.5</v>
      </c>
    </row>
    <row r="588" spans="1:2" x14ac:dyDescent="0.2">
      <c r="A588">
        <v>2.58</v>
      </c>
      <c r="B588">
        <v>1.64</v>
      </c>
    </row>
    <row r="589" spans="1:2" x14ac:dyDescent="0.2">
      <c r="A589">
        <v>4.25</v>
      </c>
      <c r="B589">
        <v>3.07</v>
      </c>
    </row>
    <row r="590" spans="1:2" x14ac:dyDescent="0.2">
      <c r="A590">
        <v>3.33</v>
      </c>
      <c r="B590">
        <v>3.5</v>
      </c>
    </row>
    <row r="591" spans="1:2" x14ac:dyDescent="0.2">
      <c r="A591">
        <v>3.25</v>
      </c>
      <c r="B591">
        <v>3</v>
      </c>
    </row>
    <row r="592" spans="1:2" x14ac:dyDescent="0.2">
      <c r="A592">
        <v>3.75</v>
      </c>
      <c r="B592">
        <v>2.29</v>
      </c>
    </row>
    <row r="593" spans="1:2" x14ac:dyDescent="0.2">
      <c r="A593">
        <v>3.25</v>
      </c>
      <c r="B593">
        <v>2.57</v>
      </c>
    </row>
    <row r="594" spans="1:2" x14ac:dyDescent="0.2">
      <c r="A594">
        <v>3.75</v>
      </c>
      <c r="B594">
        <v>3.36</v>
      </c>
    </row>
    <row r="595" spans="1:2" x14ac:dyDescent="0.2">
      <c r="A595">
        <v>2.92</v>
      </c>
      <c r="B595">
        <v>2.57</v>
      </c>
    </row>
    <row r="596" spans="1:2" x14ac:dyDescent="0.2">
      <c r="A596">
        <v>3.25</v>
      </c>
      <c r="B596">
        <v>2.0699999999999998</v>
      </c>
    </row>
    <row r="597" spans="1:2" x14ac:dyDescent="0.2">
      <c r="A597">
        <v>1.75</v>
      </c>
      <c r="B597">
        <v>1.86</v>
      </c>
    </row>
    <row r="598" spans="1:2" x14ac:dyDescent="0.2">
      <c r="A598">
        <v>2.5</v>
      </c>
      <c r="B598">
        <v>2.93</v>
      </c>
    </row>
    <row r="599" spans="1:2" x14ac:dyDescent="0.2">
      <c r="A599">
        <v>4.33</v>
      </c>
      <c r="B599">
        <v>2.21</v>
      </c>
    </row>
    <row r="600" spans="1:2" x14ac:dyDescent="0.2">
      <c r="A600">
        <v>3.33</v>
      </c>
      <c r="B600">
        <v>3.36</v>
      </c>
    </row>
    <row r="601" spans="1:2" x14ac:dyDescent="0.2">
      <c r="A601">
        <v>3.58</v>
      </c>
      <c r="B601">
        <v>3.36</v>
      </c>
    </row>
    <row r="602" spans="1:2" x14ac:dyDescent="0.2">
      <c r="A602">
        <v>3.5</v>
      </c>
      <c r="B602">
        <v>2.93</v>
      </c>
    </row>
    <row r="603" spans="1:2" x14ac:dyDescent="0.2">
      <c r="A603">
        <v>4.33</v>
      </c>
      <c r="B603">
        <v>3.29</v>
      </c>
    </row>
    <row r="604" spans="1:2" x14ac:dyDescent="0.2">
      <c r="A604">
        <v>4.17</v>
      </c>
      <c r="B604">
        <v>3</v>
      </c>
    </row>
    <row r="605" spans="1:2" x14ac:dyDescent="0.2">
      <c r="A605">
        <v>5</v>
      </c>
      <c r="B605">
        <v>2.29</v>
      </c>
    </row>
    <row r="606" spans="1:2" x14ac:dyDescent="0.2">
      <c r="A606">
        <v>4.33</v>
      </c>
      <c r="B606">
        <v>3.21</v>
      </c>
    </row>
    <row r="607" spans="1:2" x14ac:dyDescent="0.2">
      <c r="A607">
        <v>4.58</v>
      </c>
      <c r="B607">
        <v>4.29</v>
      </c>
    </row>
    <row r="608" spans="1:2" x14ac:dyDescent="0.2">
      <c r="A608">
        <v>3.33</v>
      </c>
      <c r="B608">
        <v>2</v>
      </c>
    </row>
    <row r="609" spans="1:2" x14ac:dyDescent="0.2">
      <c r="A609">
        <v>3.75</v>
      </c>
      <c r="B609">
        <v>1</v>
      </c>
    </row>
    <row r="610" spans="1:2" x14ac:dyDescent="0.2">
      <c r="A610">
        <v>4.75</v>
      </c>
      <c r="B610">
        <v>4.21</v>
      </c>
    </row>
    <row r="611" spans="1:2" x14ac:dyDescent="0.2">
      <c r="A611">
        <v>3.58</v>
      </c>
      <c r="B611">
        <v>3</v>
      </c>
    </row>
    <row r="612" spans="1:2" x14ac:dyDescent="0.2">
      <c r="A612">
        <v>4.08</v>
      </c>
      <c r="B612">
        <v>3.86</v>
      </c>
    </row>
    <row r="613" spans="1:2" x14ac:dyDescent="0.2">
      <c r="A613">
        <v>2.08</v>
      </c>
      <c r="B613">
        <v>1.86</v>
      </c>
    </row>
    <row r="614" spans="1:2" x14ac:dyDescent="0.2">
      <c r="A614">
        <v>2</v>
      </c>
      <c r="B614">
        <v>1.64</v>
      </c>
    </row>
    <row r="615" spans="1:2" x14ac:dyDescent="0.2">
      <c r="A615">
        <v>2.67</v>
      </c>
      <c r="B615">
        <v>2.36</v>
      </c>
    </row>
    <row r="616" spans="1:2" x14ac:dyDescent="0.2">
      <c r="A616">
        <v>3.25</v>
      </c>
      <c r="B616">
        <v>1.29</v>
      </c>
    </row>
    <row r="617" spans="1:2" x14ac:dyDescent="0.2">
      <c r="A617">
        <v>4.42</v>
      </c>
      <c r="B617">
        <v>2.93</v>
      </c>
    </row>
    <row r="618" spans="1:2" x14ac:dyDescent="0.2">
      <c r="A618">
        <v>3.5</v>
      </c>
      <c r="B618">
        <v>3.21</v>
      </c>
    </row>
    <row r="619" spans="1:2" x14ac:dyDescent="0.2">
      <c r="A619">
        <v>3.58</v>
      </c>
      <c r="B619">
        <v>3.36</v>
      </c>
    </row>
    <row r="620" spans="1:2" x14ac:dyDescent="0.2">
      <c r="A620">
        <v>4.58</v>
      </c>
      <c r="B620">
        <v>1.86</v>
      </c>
    </row>
    <row r="621" spans="1:2" x14ac:dyDescent="0.2">
      <c r="A621">
        <v>5</v>
      </c>
      <c r="B621">
        <v>2.64</v>
      </c>
    </row>
    <row r="622" spans="1:2" x14ac:dyDescent="0.2">
      <c r="A622">
        <v>3.67</v>
      </c>
      <c r="B622">
        <v>4.1399999999999997</v>
      </c>
    </row>
    <row r="623" spans="1:2" x14ac:dyDescent="0.2">
      <c r="A623">
        <v>4.08</v>
      </c>
      <c r="B623">
        <v>2.14</v>
      </c>
    </row>
    <row r="624" spans="1:2" x14ac:dyDescent="0.2">
      <c r="A624">
        <v>4.17</v>
      </c>
      <c r="B624">
        <v>1.07</v>
      </c>
    </row>
    <row r="625" spans="1:2" x14ac:dyDescent="0.2">
      <c r="A625">
        <v>3.17</v>
      </c>
      <c r="B625">
        <v>2.71</v>
      </c>
    </row>
    <row r="626" spans="1:2" x14ac:dyDescent="0.2">
      <c r="A626">
        <v>4.08</v>
      </c>
      <c r="B626">
        <v>3</v>
      </c>
    </row>
    <row r="627" spans="1:2" x14ac:dyDescent="0.2">
      <c r="A627">
        <v>3.83</v>
      </c>
      <c r="B627">
        <v>3.21</v>
      </c>
    </row>
    <row r="628" spans="1:2" x14ac:dyDescent="0.2">
      <c r="A628">
        <v>3.75</v>
      </c>
      <c r="B628">
        <v>2.64</v>
      </c>
    </row>
    <row r="629" spans="1:2" x14ac:dyDescent="0.2">
      <c r="A629">
        <v>3.75</v>
      </c>
      <c r="B629">
        <v>2</v>
      </c>
    </row>
    <row r="630" spans="1:2" x14ac:dyDescent="0.2">
      <c r="A630">
        <v>3.67</v>
      </c>
      <c r="B630">
        <v>2.14</v>
      </c>
    </row>
    <row r="631" spans="1:2" x14ac:dyDescent="0.2">
      <c r="A631">
        <v>3.5</v>
      </c>
      <c r="B631">
        <v>2.86</v>
      </c>
    </row>
    <row r="632" spans="1:2" x14ac:dyDescent="0.2">
      <c r="A632">
        <v>3.58</v>
      </c>
      <c r="B632">
        <v>2.29</v>
      </c>
    </row>
    <row r="633" spans="1:2" x14ac:dyDescent="0.2">
      <c r="A633">
        <v>3.08</v>
      </c>
      <c r="B633">
        <v>1.57</v>
      </c>
    </row>
    <row r="634" spans="1:2" x14ac:dyDescent="0.2">
      <c r="A634">
        <v>4</v>
      </c>
      <c r="B634">
        <v>1.36</v>
      </c>
    </row>
    <row r="635" spans="1:2" x14ac:dyDescent="0.2">
      <c r="A635">
        <v>3.83</v>
      </c>
      <c r="B635">
        <v>2</v>
      </c>
    </row>
    <row r="636" spans="1:2" x14ac:dyDescent="0.2">
      <c r="A636">
        <v>4.42</v>
      </c>
      <c r="B636">
        <v>3.43</v>
      </c>
    </row>
    <row r="637" spans="1:2" x14ac:dyDescent="0.2">
      <c r="A637">
        <v>3.25</v>
      </c>
      <c r="B637">
        <v>1.5</v>
      </c>
    </row>
    <row r="638" spans="1:2" x14ac:dyDescent="0.2">
      <c r="A638">
        <v>2.75</v>
      </c>
      <c r="B638">
        <v>2.64</v>
      </c>
    </row>
    <row r="639" spans="1:2" x14ac:dyDescent="0.2">
      <c r="A639">
        <v>2.75</v>
      </c>
      <c r="B639">
        <v>4.07</v>
      </c>
    </row>
    <row r="640" spans="1:2" x14ac:dyDescent="0.2">
      <c r="A640">
        <v>2.58</v>
      </c>
      <c r="B640">
        <v>2.86</v>
      </c>
    </row>
    <row r="641" spans="1:2" x14ac:dyDescent="0.2">
      <c r="A641">
        <v>4.08</v>
      </c>
      <c r="B641">
        <v>2.14</v>
      </c>
    </row>
    <row r="642" spans="1:2" x14ac:dyDescent="0.2">
      <c r="A642">
        <v>2.75</v>
      </c>
      <c r="B642">
        <v>2.71</v>
      </c>
    </row>
    <row r="643" spans="1:2" x14ac:dyDescent="0.2">
      <c r="A643">
        <v>4.58</v>
      </c>
      <c r="B643">
        <v>2.4300000000000002</v>
      </c>
    </row>
    <row r="644" spans="1:2" x14ac:dyDescent="0.2">
      <c r="A644">
        <v>3.67</v>
      </c>
      <c r="B644">
        <v>2</v>
      </c>
    </row>
    <row r="645" spans="1:2" x14ac:dyDescent="0.2">
      <c r="A645">
        <v>3.92</v>
      </c>
      <c r="B645">
        <v>2.14</v>
      </c>
    </row>
    <row r="646" spans="1:2" x14ac:dyDescent="0.2">
      <c r="A646">
        <v>3.83</v>
      </c>
      <c r="B646">
        <v>2.14</v>
      </c>
    </row>
    <row r="647" spans="1:2" x14ac:dyDescent="0.2">
      <c r="A647">
        <v>3.17</v>
      </c>
      <c r="B647">
        <v>2.29</v>
      </c>
    </row>
    <row r="648" spans="1:2" x14ac:dyDescent="0.2">
      <c r="A648">
        <v>2.33</v>
      </c>
      <c r="B648">
        <v>3.29</v>
      </c>
    </row>
    <row r="649" spans="1:2" x14ac:dyDescent="0.2">
      <c r="A649">
        <v>3.92</v>
      </c>
      <c r="B649">
        <v>3.57</v>
      </c>
    </row>
    <row r="650" spans="1:2" x14ac:dyDescent="0.2">
      <c r="A650">
        <v>1.58</v>
      </c>
      <c r="B650">
        <v>1.21</v>
      </c>
    </row>
    <row r="651" spans="1:2" x14ac:dyDescent="0.2">
      <c r="A651">
        <v>3.58</v>
      </c>
      <c r="B651">
        <v>1.1399999999999999</v>
      </c>
    </row>
    <row r="652" spans="1:2" x14ac:dyDescent="0.2">
      <c r="A652">
        <v>3.42</v>
      </c>
      <c r="B652">
        <v>1</v>
      </c>
    </row>
    <row r="653" spans="1:2" x14ac:dyDescent="0.2">
      <c r="A653">
        <v>4.75</v>
      </c>
      <c r="B653">
        <v>1.71</v>
      </c>
    </row>
    <row r="654" spans="1:2" x14ac:dyDescent="0.2">
      <c r="A654">
        <v>3.92</v>
      </c>
      <c r="B654">
        <v>2.57</v>
      </c>
    </row>
    <row r="655" spans="1:2" x14ac:dyDescent="0.2">
      <c r="A655">
        <v>2.83</v>
      </c>
      <c r="B655">
        <v>1.71</v>
      </c>
    </row>
    <row r="656" spans="1:2" x14ac:dyDescent="0.2">
      <c r="A656">
        <v>3.5</v>
      </c>
      <c r="B656">
        <v>2.57</v>
      </c>
    </row>
    <row r="657" spans="1:2" x14ac:dyDescent="0.2">
      <c r="A657">
        <v>3.83</v>
      </c>
      <c r="B657">
        <v>2.29</v>
      </c>
    </row>
    <row r="658" spans="1:2" x14ac:dyDescent="0.2">
      <c r="A658">
        <v>4.58</v>
      </c>
      <c r="B658">
        <v>1.43</v>
      </c>
    </row>
    <row r="659" spans="1:2" x14ac:dyDescent="0.2">
      <c r="A659">
        <v>2.08</v>
      </c>
      <c r="B659">
        <v>2.64</v>
      </c>
    </row>
    <row r="660" spans="1:2" x14ac:dyDescent="0.2">
      <c r="A660">
        <v>4.42</v>
      </c>
      <c r="B660">
        <v>3.86</v>
      </c>
    </row>
    <row r="661" spans="1:2" x14ac:dyDescent="0.2">
      <c r="A661">
        <v>2.75</v>
      </c>
      <c r="B661">
        <v>2.79</v>
      </c>
    </row>
    <row r="662" spans="1:2" x14ac:dyDescent="0.2">
      <c r="A662">
        <v>2.83</v>
      </c>
      <c r="B662">
        <v>2.29</v>
      </c>
    </row>
    <row r="663" spans="1:2" x14ac:dyDescent="0.2">
      <c r="A663">
        <v>4.92</v>
      </c>
      <c r="B663">
        <v>2.4300000000000002</v>
      </c>
    </row>
    <row r="664" spans="1:2" x14ac:dyDescent="0.2">
      <c r="A664">
        <v>3.75</v>
      </c>
      <c r="B664">
        <v>2.64</v>
      </c>
    </row>
    <row r="665" spans="1:2" x14ac:dyDescent="0.2">
      <c r="A665">
        <v>4.08</v>
      </c>
      <c r="B665">
        <v>3.07</v>
      </c>
    </row>
    <row r="666" spans="1:2" x14ac:dyDescent="0.2">
      <c r="A666">
        <v>2.58</v>
      </c>
      <c r="B666">
        <v>2.4300000000000002</v>
      </c>
    </row>
    <row r="667" spans="1:2" x14ac:dyDescent="0.2">
      <c r="A667">
        <v>3.83</v>
      </c>
      <c r="B667">
        <v>3.57</v>
      </c>
    </row>
    <row r="668" spans="1:2" x14ac:dyDescent="0.2">
      <c r="A668">
        <v>2.92</v>
      </c>
      <c r="B668">
        <v>3.29</v>
      </c>
    </row>
    <row r="669" spans="1:2" x14ac:dyDescent="0.2">
      <c r="A669">
        <v>4.25</v>
      </c>
      <c r="B669">
        <v>2.4300000000000002</v>
      </c>
    </row>
    <row r="670" spans="1:2" x14ac:dyDescent="0.2">
      <c r="A670">
        <v>2.92</v>
      </c>
      <c r="B670">
        <v>3.21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1C2E-BED8-419C-88ED-58F2D632F8A1}">
  <dimension ref="D1:K671"/>
  <sheetViews>
    <sheetView workbookViewId="0">
      <selection activeCell="M30" sqref="M30"/>
    </sheetView>
  </sheetViews>
  <sheetFormatPr baseColWidth="10" defaultColWidth="8.83203125" defaultRowHeight="15" x14ac:dyDescent="0.2"/>
  <sheetData>
    <row r="1" spans="4:11" x14ac:dyDescent="0.2">
      <c r="D1" t="s">
        <v>201</v>
      </c>
      <c r="E1" t="s">
        <v>38</v>
      </c>
      <c r="F1" t="s">
        <v>40</v>
      </c>
      <c r="G1" t="s">
        <v>42</v>
      </c>
      <c r="H1" t="s">
        <v>43</v>
      </c>
    </row>
    <row r="2" spans="4:11" x14ac:dyDescent="0.2">
      <c r="D2" t="s">
        <v>70</v>
      </c>
      <c r="E2">
        <v>5</v>
      </c>
      <c r="F2">
        <v>4</v>
      </c>
      <c r="G2">
        <v>6</v>
      </c>
      <c r="H2">
        <v>7</v>
      </c>
      <c r="I2">
        <f>AVERAGE(E2:H2)</f>
        <v>5.5</v>
      </c>
      <c r="J2" t="str" cm="1">
        <f t="array" ref="J2:J117">_xlfn.UNIQUE(D2:D680)</f>
        <v>3-ÖZT11.docx</v>
      </c>
      <c r="K2">
        <f>AVERAGEIF($D2:$D680,J2,I2:I680)</f>
        <v>5.916666666666667</v>
      </c>
    </row>
    <row r="3" spans="4:11" x14ac:dyDescent="0.2">
      <c r="D3" t="s">
        <v>72</v>
      </c>
      <c r="E3">
        <v>1</v>
      </c>
      <c r="F3">
        <v>2</v>
      </c>
      <c r="G3">
        <v>6</v>
      </c>
      <c r="H3">
        <v>7</v>
      </c>
      <c r="I3">
        <f t="shared" ref="I3:I66" si="0">AVERAGE(E3:H3)</f>
        <v>4</v>
      </c>
      <c r="J3" t="str">
        <v>4-YEŞ08.docx</v>
      </c>
      <c r="K3">
        <f t="shared" ref="K3:K66" si="1">AVERAGEIF($D3:$D681,J3,I3:I681)</f>
        <v>4.375</v>
      </c>
    </row>
    <row r="4" spans="4:11" x14ac:dyDescent="0.2">
      <c r="D4" t="s">
        <v>74</v>
      </c>
      <c r="E4">
        <v>1</v>
      </c>
      <c r="F4">
        <v>1</v>
      </c>
      <c r="G4">
        <v>1</v>
      </c>
      <c r="H4">
        <v>1</v>
      </c>
      <c r="I4">
        <f t="shared" si="0"/>
        <v>1</v>
      </c>
      <c r="J4" t="str">
        <v>5-SEL06.docx</v>
      </c>
      <c r="K4">
        <f t="shared" si="1"/>
        <v>2.7916666666666665</v>
      </c>
    </row>
    <row r="5" spans="4:11" x14ac:dyDescent="0.2">
      <c r="D5" t="s">
        <v>75</v>
      </c>
      <c r="E5">
        <v>6</v>
      </c>
      <c r="F5">
        <v>6</v>
      </c>
      <c r="G5">
        <v>6</v>
      </c>
      <c r="H5">
        <v>5</v>
      </c>
      <c r="I5">
        <f t="shared" si="0"/>
        <v>5.75</v>
      </c>
      <c r="J5" t="str">
        <v>6-Kez01.docx</v>
      </c>
      <c r="K5">
        <f t="shared" si="1"/>
        <v>6.166666666666667</v>
      </c>
    </row>
    <row r="6" spans="4:11" x14ac:dyDescent="0.2">
      <c r="D6" t="s">
        <v>77</v>
      </c>
      <c r="E6">
        <v>6</v>
      </c>
      <c r="F6">
        <v>5</v>
      </c>
      <c r="G6">
        <v>6</v>
      </c>
      <c r="H6">
        <v>6</v>
      </c>
      <c r="I6">
        <f t="shared" si="0"/>
        <v>5.75</v>
      </c>
      <c r="J6" t="str">
        <v>7-Mel10.docx</v>
      </c>
      <c r="K6">
        <f t="shared" si="1"/>
        <v>5.166666666666667</v>
      </c>
    </row>
    <row r="7" spans="4:11" x14ac:dyDescent="0.2">
      <c r="D7" t="s">
        <v>79</v>
      </c>
      <c r="E7">
        <v>5</v>
      </c>
      <c r="F7">
        <v>5</v>
      </c>
      <c r="G7">
        <v>6</v>
      </c>
      <c r="H7">
        <v>3</v>
      </c>
      <c r="I7">
        <f t="shared" si="0"/>
        <v>4.75</v>
      </c>
      <c r="J7" t="str">
        <v>8-ELV07.docx</v>
      </c>
      <c r="K7">
        <f t="shared" si="1"/>
        <v>4.875</v>
      </c>
    </row>
    <row r="8" spans="4:11" x14ac:dyDescent="0.2">
      <c r="D8" t="s">
        <v>81</v>
      </c>
      <c r="E8">
        <v>4</v>
      </c>
      <c r="F8">
        <v>5</v>
      </c>
      <c r="G8">
        <v>7</v>
      </c>
      <c r="H8">
        <v>5</v>
      </c>
      <c r="I8">
        <f t="shared" si="0"/>
        <v>5.25</v>
      </c>
      <c r="J8" t="str">
        <v>10-AYŞ12.docx</v>
      </c>
      <c r="K8">
        <f t="shared" si="1"/>
        <v>4.458333333333333</v>
      </c>
    </row>
    <row r="9" spans="4:11" x14ac:dyDescent="0.2">
      <c r="D9" t="s">
        <v>83</v>
      </c>
      <c r="E9">
        <v>3</v>
      </c>
      <c r="F9">
        <v>3</v>
      </c>
      <c r="G9">
        <v>5</v>
      </c>
      <c r="H9">
        <v>5</v>
      </c>
      <c r="I9">
        <f t="shared" si="0"/>
        <v>4</v>
      </c>
      <c r="J9" t="str">
        <v>11-NİL07.docx</v>
      </c>
      <c r="K9">
        <f t="shared" si="1"/>
        <v>3.9166666666666665</v>
      </c>
    </row>
    <row r="10" spans="4:11" x14ac:dyDescent="0.2">
      <c r="D10" t="s">
        <v>84</v>
      </c>
      <c r="E10">
        <v>6</v>
      </c>
      <c r="F10">
        <v>6</v>
      </c>
      <c r="G10">
        <v>6</v>
      </c>
      <c r="H10">
        <v>6</v>
      </c>
      <c r="I10">
        <f t="shared" si="0"/>
        <v>6</v>
      </c>
      <c r="J10" t="str">
        <v>12-pın03.docx</v>
      </c>
      <c r="K10">
        <f t="shared" si="1"/>
        <v>5.208333333333333</v>
      </c>
    </row>
    <row r="11" spans="4:11" x14ac:dyDescent="0.2">
      <c r="D11" t="s">
        <v>86</v>
      </c>
      <c r="E11">
        <v>7</v>
      </c>
      <c r="F11">
        <v>5</v>
      </c>
      <c r="G11">
        <v>7</v>
      </c>
      <c r="H11">
        <v>6</v>
      </c>
      <c r="I11">
        <f t="shared" si="0"/>
        <v>6.25</v>
      </c>
      <c r="J11" t="str">
        <v>13-GÜL09.docx</v>
      </c>
      <c r="K11">
        <f t="shared" si="1"/>
        <v>6.25</v>
      </c>
    </row>
    <row r="12" spans="4:11" x14ac:dyDescent="0.2">
      <c r="D12" t="s">
        <v>87</v>
      </c>
      <c r="E12">
        <v>4</v>
      </c>
      <c r="F12">
        <v>3</v>
      </c>
      <c r="G12">
        <v>6</v>
      </c>
      <c r="H12">
        <v>6</v>
      </c>
      <c r="I12">
        <f t="shared" si="0"/>
        <v>4.75</v>
      </c>
      <c r="J12" t="str">
        <v>14-VİL05.docx</v>
      </c>
      <c r="K12">
        <f t="shared" si="1"/>
        <v>5.375</v>
      </c>
    </row>
    <row r="13" spans="4:11" x14ac:dyDescent="0.2">
      <c r="D13" t="s">
        <v>90</v>
      </c>
      <c r="E13">
        <v>5</v>
      </c>
      <c r="F13">
        <v>6</v>
      </c>
      <c r="G13">
        <v>4</v>
      </c>
      <c r="H13">
        <v>3</v>
      </c>
      <c r="I13">
        <f t="shared" si="0"/>
        <v>4.5</v>
      </c>
      <c r="J13" t="str">
        <v>16-MUA01.docx</v>
      </c>
      <c r="K13">
        <f t="shared" si="1"/>
        <v>4.958333333333333</v>
      </c>
    </row>
    <row r="14" spans="4:11" x14ac:dyDescent="0.2">
      <c r="D14" t="s">
        <v>91</v>
      </c>
      <c r="E14">
        <v>5</v>
      </c>
      <c r="F14">
        <v>7</v>
      </c>
      <c r="G14">
        <v>7</v>
      </c>
      <c r="H14">
        <v>7</v>
      </c>
      <c r="I14">
        <f t="shared" si="0"/>
        <v>6.5</v>
      </c>
      <c r="J14" t="str">
        <v>17-FUL12.docx</v>
      </c>
      <c r="K14">
        <f t="shared" si="1"/>
        <v>4.833333333333333</v>
      </c>
    </row>
    <row r="15" spans="4:11" x14ac:dyDescent="0.2">
      <c r="D15" t="s">
        <v>92</v>
      </c>
      <c r="E15">
        <v>4</v>
      </c>
      <c r="F15">
        <v>4</v>
      </c>
      <c r="G15">
        <v>7</v>
      </c>
      <c r="H15">
        <v>7</v>
      </c>
      <c r="I15">
        <f t="shared" si="0"/>
        <v>5.5</v>
      </c>
      <c r="J15" t="str">
        <v>18-sel04.docx</v>
      </c>
      <c r="K15">
        <f t="shared" si="1"/>
        <v>5.458333333333333</v>
      </c>
    </row>
    <row r="16" spans="4:11" x14ac:dyDescent="0.2">
      <c r="D16" t="s">
        <v>94</v>
      </c>
      <c r="E16">
        <v>7</v>
      </c>
      <c r="F16">
        <v>6</v>
      </c>
      <c r="G16">
        <v>7</v>
      </c>
      <c r="H16">
        <v>7</v>
      </c>
      <c r="I16">
        <f t="shared" si="0"/>
        <v>6.75</v>
      </c>
      <c r="J16" t="str">
        <v>19-hal01.docx</v>
      </c>
      <c r="K16">
        <f t="shared" si="1"/>
        <v>4.5</v>
      </c>
    </row>
    <row r="17" spans="4:11" x14ac:dyDescent="0.2">
      <c r="D17" t="s">
        <v>95</v>
      </c>
      <c r="E17">
        <v>4</v>
      </c>
      <c r="F17">
        <v>4</v>
      </c>
      <c r="G17">
        <v>4</v>
      </c>
      <c r="H17">
        <v>4</v>
      </c>
      <c r="I17">
        <f t="shared" si="0"/>
        <v>4</v>
      </c>
      <c r="J17" t="str">
        <v>20-HAN08.docx</v>
      </c>
      <c r="K17">
        <f t="shared" si="1"/>
        <v>4.125</v>
      </c>
    </row>
    <row r="18" spans="4:11" x14ac:dyDescent="0.2">
      <c r="D18" t="s">
        <v>96</v>
      </c>
      <c r="E18">
        <v>6</v>
      </c>
      <c r="F18">
        <v>6</v>
      </c>
      <c r="G18">
        <v>6</v>
      </c>
      <c r="H18">
        <v>6</v>
      </c>
      <c r="I18">
        <f t="shared" si="0"/>
        <v>6</v>
      </c>
      <c r="J18" t="str">
        <v>21-nec02.docx</v>
      </c>
      <c r="K18">
        <f t="shared" si="1"/>
        <v>4.55</v>
      </c>
    </row>
    <row r="19" spans="4:11" x14ac:dyDescent="0.2">
      <c r="D19" t="s">
        <v>98</v>
      </c>
      <c r="E19">
        <v>6</v>
      </c>
      <c r="F19">
        <v>6</v>
      </c>
      <c r="G19">
        <v>6</v>
      </c>
      <c r="H19">
        <v>6</v>
      </c>
      <c r="I19">
        <f t="shared" si="0"/>
        <v>6</v>
      </c>
      <c r="J19" t="str">
        <v>22-TÜL121.docx</v>
      </c>
      <c r="K19">
        <f t="shared" si="1"/>
        <v>5.416666666666667</v>
      </c>
    </row>
    <row r="20" spans="4:11" x14ac:dyDescent="0.2">
      <c r="D20" t="s">
        <v>99</v>
      </c>
      <c r="E20">
        <v>5</v>
      </c>
      <c r="F20">
        <v>5</v>
      </c>
      <c r="G20">
        <v>5</v>
      </c>
      <c r="H20">
        <v>3</v>
      </c>
      <c r="I20">
        <f t="shared" si="0"/>
        <v>4.5</v>
      </c>
      <c r="J20" t="str">
        <v>23-Gon06.docx</v>
      </c>
      <c r="K20">
        <f t="shared" si="1"/>
        <v>4.458333333333333</v>
      </c>
    </row>
    <row r="21" spans="4:11" x14ac:dyDescent="0.2">
      <c r="D21" t="s">
        <v>100</v>
      </c>
      <c r="E21">
        <v>6</v>
      </c>
      <c r="F21">
        <v>7</v>
      </c>
      <c r="G21">
        <v>7</v>
      </c>
      <c r="H21">
        <v>7</v>
      </c>
      <c r="I21">
        <f t="shared" si="0"/>
        <v>6.75</v>
      </c>
      <c r="J21" t="str">
        <v>25-sez10.docx</v>
      </c>
      <c r="K21">
        <f t="shared" si="1"/>
        <v>5.875</v>
      </c>
    </row>
    <row r="22" spans="4:11" x14ac:dyDescent="0.2">
      <c r="D22" t="s">
        <v>101</v>
      </c>
      <c r="E22">
        <v>5</v>
      </c>
      <c r="F22">
        <v>5</v>
      </c>
      <c r="G22">
        <v>6</v>
      </c>
      <c r="H22">
        <v>6</v>
      </c>
      <c r="I22">
        <f t="shared" si="0"/>
        <v>5.5</v>
      </c>
      <c r="J22" t="str">
        <v>26-ayl01.docx</v>
      </c>
      <c r="K22">
        <f t="shared" si="1"/>
        <v>2.9583333333333335</v>
      </c>
    </row>
    <row r="23" spans="4:11" x14ac:dyDescent="0.2">
      <c r="D23" t="s">
        <v>102</v>
      </c>
      <c r="E23">
        <v>4</v>
      </c>
      <c r="F23">
        <v>4</v>
      </c>
      <c r="G23">
        <v>4</v>
      </c>
      <c r="H23">
        <v>3</v>
      </c>
      <c r="I23">
        <f t="shared" si="0"/>
        <v>3.75</v>
      </c>
      <c r="J23" t="str">
        <v>27-SEY09.docx</v>
      </c>
      <c r="K23">
        <f t="shared" si="1"/>
        <v>4.208333333333333</v>
      </c>
    </row>
    <row r="24" spans="4:11" x14ac:dyDescent="0.2">
      <c r="D24" t="s">
        <v>103</v>
      </c>
      <c r="E24">
        <v>6</v>
      </c>
      <c r="F24">
        <v>7</v>
      </c>
      <c r="G24">
        <v>7</v>
      </c>
      <c r="H24">
        <v>3</v>
      </c>
      <c r="I24">
        <f t="shared" si="0"/>
        <v>5.75</v>
      </c>
      <c r="J24" t="str">
        <v>29-ASU02.docx</v>
      </c>
      <c r="K24">
        <f t="shared" si="1"/>
        <v>5.916666666666667</v>
      </c>
    </row>
    <row r="25" spans="4:11" x14ac:dyDescent="0.2">
      <c r="D25" t="s">
        <v>104</v>
      </c>
      <c r="E25">
        <v>3</v>
      </c>
      <c r="F25">
        <v>6</v>
      </c>
      <c r="G25">
        <v>6</v>
      </c>
      <c r="H25">
        <v>6</v>
      </c>
      <c r="I25">
        <f t="shared" si="0"/>
        <v>5.25</v>
      </c>
      <c r="J25" t="str">
        <v>30-TÜL03.docx</v>
      </c>
      <c r="K25">
        <f t="shared" si="1"/>
        <v>6</v>
      </c>
    </row>
    <row r="26" spans="4:11" x14ac:dyDescent="0.2">
      <c r="D26" t="s">
        <v>105</v>
      </c>
      <c r="E26">
        <v>4</v>
      </c>
      <c r="F26">
        <v>6</v>
      </c>
      <c r="G26">
        <v>6</v>
      </c>
      <c r="H26">
        <v>5</v>
      </c>
      <c r="I26">
        <f t="shared" si="0"/>
        <v>5.25</v>
      </c>
      <c r="J26" t="str">
        <v>31-FAT03.docx</v>
      </c>
      <c r="K26">
        <f t="shared" si="1"/>
        <v>5.75</v>
      </c>
    </row>
    <row r="27" spans="4:11" x14ac:dyDescent="0.2">
      <c r="D27" t="s">
        <v>106</v>
      </c>
      <c r="E27">
        <v>2</v>
      </c>
      <c r="F27">
        <v>4</v>
      </c>
      <c r="G27">
        <v>7</v>
      </c>
      <c r="H27">
        <v>7</v>
      </c>
      <c r="I27">
        <f t="shared" si="0"/>
        <v>5</v>
      </c>
      <c r="J27" t="str">
        <v>32-NAZ03.docx</v>
      </c>
      <c r="K27">
        <f t="shared" si="1"/>
        <v>5.583333333333333</v>
      </c>
    </row>
    <row r="28" spans="4:11" x14ac:dyDescent="0.2">
      <c r="D28" t="s">
        <v>107</v>
      </c>
      <c r="E28">
        <v>5</v>
      </c>
      <c r="F28">
        <v>5</v>
      </c>
      <c r="G28">
        <v>4</v>
      </c>
      <c r="H28">
        <v>4</v>
      </c>
      <c r="I28">
        <f t="shared" si="0"/>
        <v>4.5</v>
      </c>
      <c r="J28" t="str">
        <v>33-ESR08.docx</v>
      </c>
      <c r="K28">
        <f t="shared" si="1"/>
        <v>5.291666666666667</v>
      </c>
    </row>
    <row r="29" spans="4:11" x14ac:dyDescent="0.2">
      <c r="D29" t="s">
        <v>108</v>
      </c>
      <c r="E29">
        <v>6</v>
      </c>
      <c r="F29">
        <v>5</v>
      </c>
      <c r="G29">
        <v>6</v>
      </c>
      <c r="H29">
        <v>6</v>
      </c>
      <c r="I29">
        <f t="shared" si="0"/>
        <v>5.75</v>
      </c>
      <c r="J29" t="str">
        <v>34-GÜL02.docx</v>
      </c>
      <c r="K29">
        <f t="shared" si="1"/>
        <v>3.8333333333333335</v>
      </c>
    </row>
    <row r="30" spans="4:11" x14ac:dyDescent="0.2">
      <c r="D30" t="s">
        <v>109</v>
      </c>
      <c r="E30">
        <v>4</v>
      </c>
      <c r="F30">
        <v>6</v>
      </c>
      <c r="G30">
        <v>4</v>
      </c>
      <c r="H30">
        <v>3</v>
      </c>
      <c r="I30">
        <f t="shared" si="0"/>
        <v>4.25</v>
      </c>
      <c r="J30" t="str">
        <v>35-DEN06.docx</v>
      </c>
      <c r="K30">
        <f t="shared" si="1"/>
        <v>4.125</v>
      </c>
    </row>
    <row r="31" spans="4:11" x14ac:dyDescent="0.2">
      <c r="D31" t="s">
        <v>110</v>
      </c>
      <c r="E31">
        <v>3</v>
      </c>
      <c r="F31">
        <v>4</v>
      </c>
      <c r="G31">
        <v>3</v>
      </c>
      <c r="H31">
        <v>5</v>
      </c>
      <c r="I31">
        <f t="shared" si="0"/>
        <v>3.75</v>
      </c>
      <c r="J31" t="str">
        <v>36-müg09.docx</v>
      </c>
      <c r="K31">
        <f t="shared" si="1"/>
        <v>3.8333333333333335</v>
      </c>
    </row>
    <row r="32" spans="4:11" x14ac:dyDescent="0.2">
      <c r="D32" t="s">
        <v>111</v>
      </c>
      <c r="E32">
        <v>5</v>
      </c>
      <c r="F32">
        <v>5</v>
      </c>
      <c r="G32">
        <v>6</v>
      </c>
      <c r="H32">
        <v>6</v>
      </c>
      <c r="I32">
        <f t="shared" si="0"/>
        <v>5.5</v>
      </c>
      <c r="J32" t="str">
        <v>37-EBR05.docx</v>
      </c>
      <c r="K32">
        <f t="shared" si="1"/>
        <v>4.75</v>
      </c>
    </row>
    <row r="33" spans="4:11" x14ac:dyDescent="0.2">
      <c r="D33" t="s">
        <v>112</v>
      </c>
      <c r="E33">
        <v>6</v>
      </c>
      <c r="F33">
        <v>6</v>
      </c>
      <c r="G33">
        <v>5</v>
      </c>
      <c r="H33">
        <v>6</v>
      </c>
      <c r="I33">
        <f t="shared" si="0"/>
        <v>5.75</v>
      </c>
      <c r="J33" t="str">
        <v>38-AYŞ06.docx</v>
      </c>
      <c r="K33">
        <f t="shared" si="1"/>
        <v>4.333333333333333</v>
      </c>
    </row>
    <row r="34" spans="4:11" x14ac:dyDescent="0.2">
      <c r="D34" t="s">
        <v>113</v>
      </c>
      <c r="E34">
        <v>6</v>
      </c>
      <c r="F34">
        <v>6</v>
      </c>
      <c r="G34">
        <v>6</v>
      </c>
      <c r="H34">
        <v>6</v>
      </c>
      <c r="I34">
        <f t="shared" si="0"/>
        <v>6</v>
      </c>
      <c r="J34" t="str">
        <v>39-SEV10.docx</v>
      </c>
      <c r="K34">
        <f t="shared" si="1"/>
        <v>5.458333333333333</v>
      </c>
    </row>
    <row r="35" spans="4:11" x14ac:dyDescent="0.2">
      <c r="D35" t="s">
        <v>114</v>
      </c>
      <c r="E35">
        <v>7</v>
      </c>
      <c r="F35">
        <v>7</v>
      </c>
      <c r="G35">
        <v>7</v>
      </c>
      <c r="H35">
        <v>7</v>
      </c>
      <c r="I35">
        <f t="shared" si="0"/>
        <v>7</v>
      </c>
      <c r="J35" t="str">
        <v>40-Ata05.docx</v>
      </c>
      <c r="K35">
        <f t="shared" si="1"/>
        <v>5.625</v>
      </c>
    </row>
    <row r="36" spans="4:11" x14ac:dyDescent="0.2">
      <c r="D36" t="s">
        <v>115</v>
      </c>
      <c r="E36">
        <v>3</v>
      </c>
      <c r="F36">
        <v>3</v>
      </c>
      <c r="G36">
        <v>5</v>
      </c>
      <c r="H36">
        <v>6</v>
      </c>
      <c r="I36">
        <f t="shared" si="0"/>
        <v>4.25</v>
      </c>
      <c r="J36" t="str">
        <v>41-Ipe03.docx</v>
      </c>
      <c r="K36">
        <f t="shared" si="1"/>
        <v>4.583333333333333</v>
      </c>
    </row>
    <row r="37" spans="4:11" x14ac:dyDescent="0.2">
      <c r="D37" t="s">
        <v>116</v>
      </c>
      <c r="E37">
        <v>5</v>
      </c>
      <c r="F37">
        <v>2</v>
      </c>
      <c r="G37">
        <v>5</v>
      </c>
      <c r="H37">
        <v>5</v>
      </c>
      <c r="I37">
        <f t="shared" si="0"/>
        <v>4.25</v>
      </c>
      <c r="J37" t="str">
        <v>42-ESY11.docx</v>
      </c>
      <c r="K37">
        <f t="shared" si="1"/>
        <v>4.166666666666667</v>
      </c>
    </row>
    <row r="38" spans="4:11" x14ac:dyDescent="0.2">
      <c r="D38" t="s">
        <v>117</v>
      </c>
      <c r="E38">
        <v>5</v>
      </c>
      <c r="F38">
        <v>4</v>
      </c>
      <c r="G38">
        <v>5</v>
      </c>
      <c r="H38">
        <v>5</v>
      </c>
      <c r="I38">
        <f t="shared" si="0"/>
        <v>4.75</v>
      </c>
      <c r="J38" t="str">
        <v>43-EMİ05.docx</v>
      </c>
      <c r="K38">
        <f t="shared" si="1"/>
        <v>4.125</v>
      </c>
    </row>
    <row r="39" spans="4:11" x14ac:dyDescent="0.2">
      <c r="D39" t="s">
        <v>118</v>
      </c>
      <c r="E39">
        <v>3</v>
      </c>
      <c r="F39">
        <v>4</v>
      </c>
      <c r="G39">
        <v>3</v>
      </c>
      <c r="H39">
        <v>5</v>
      </c>
      <c r="I39">
        <f t="shared" si="0"/>
        <v>3.75</v>
      </c>
      <c r="J39" t="str">
        <v>44-AYN05.docx</v>
      </c>
      <c r="K39">
        <f t="shared" si="1"/>
        <v>3.8333333333333335</v>
      </c>
    </row>
    <row r="40" spans="4:11" x14ac:dyDescent="0.2">
      <c r="D40" t="s">
        <v>119</v>
      </c>
      <c r="E40">
        <v>5</v>
      </c>
      <c r="F40">
        <v>5</v>
      </c>
      <c r="G40">
        <v>5</v>
      </c>
      <c r="H40">
        <v>6</v>
      </c>
      <c r="I40">
        <f t="shared" si="0"/>
        <v>5.25</v>
      </c>
      <c r="J40" t="str">
        <v>45-TUL05.docx</v>
      </c>
      <c r="K40">
        <f t="shared" si="1"/>
        <v>5.125</v>
      </c>
    </row>
    <row r="41" spans="4:11" x14ac:dyDescent="0.2">
      <c r="D41" t="s">
        <v>120</v>
      </c>
      <c r="E41">
        <v>6</v>
      </c>
      <c r="F41">
        <v>5</v>
      </c>
      <c r="G41">
        <v>6</v>
      </c>
      <c r="H41">
        <v>6</v>
      </c>
      <c r="I41">
        <f t="shared" si="0"/>
        <v>5.75</v>
      </c>
      <c r="J41" t="str">
        <v>46-ziv03.docx</v>
      </c>
      <c r="K41">
        <f t="shared" si="1"/>
        <v>4.75</v>
      </c>
    </row>
    <row r="42" spans="4:11" x14ac:dyDescent="0.2">
      <c r="D42" t="s">
        <v>121</v>
      </c>
      <c r="E42">
        <v>5</v>
      </c>
      <c r="F42">
        <v>7</v>
      </c>
      <c r="G42">
        <v>5</v>
      </c>
      <c r="H42">
        <v>3</v>
      </c>
      <c r="I42">
        <f t="shared" si="0"/>
        <v>5</v>
      </c>
      <c r="J42" t="str">
        <v>47-rah07.docx</v>
      </c>
      <c r="K42">
        <f t="shared" si="1"/>
        <v>4.041666666666667</v>
      </c>
    </row>
    <row r="43" spans="4:11" x14ac:dyDescent="0.2">
      <c r="D43" t="s">
        <v>122</v>
      </c>
      <c r="E43">
        <v>5</v>
      </c>
      <c r="F43">
        <v>5</v>
      </c>
      <c r="G43">
        <v>6</v>
      </c>
      <c r="H43">
        <v>6</v>
      </c>
      <c r="I43">
        <f t="shared" si="0"/>
        <v>5.5</v>
      </c>
      <c r="J43" t="str">
        <v>48-kez01.docx</v>
      </c>
      <c r="K43">
        <f t="shared" si="1"/>
        <v>6.041666666666667</v>
      </c>
    </row>
    <row r="44" spans="4:11" x14ac:dyDescent="0.2">
      <c r="D44" t="s">
        <v>123</v>
      </c>
      <c r="E44">
        <v>5</v>
      </c>
      <c r="F44">
        <v>4</v>
      </c>
      <c r="G44">
        <v>6</v>
      </c>
      <c r="H44">
        <v>7</v>
      </c>
      <c r="I44">
        <f t="shared" si="0"/>
        <v>5.5</v>
      </c>
      <c r="J44" t="str">
        <v>49-MED06.docx</v>
      </c>
      <c r="K44">
        <f t="shared" si="1"/>
        <v>4.75</v>
      </c>
    </row>
    <row r="45" spans="4:11" x14ac:dyDescent="0.2">
      <c r="D45" t="s">
        <v>124</v>
      </c>
      <c r="E45">
        <v>1</v>
      </c>
      <c r="F45">
        <v>1</v>
      </c>
      <c r="G45">
        <v>1</v>
      </c>
      <c r="H45">
        <v>1</v>
      </c>
      <c r="I45">
        <f t="shared" si="0"/>
        <v>1</v>
      </c>
      <c r="J45" t="str">
        <v>50-Min08.docx</v>
      </c>
      <c r="K45">
        <f t="shared" si="1"/>
        <v>3.75</v>
      </c>
    </row>
    <row r="46" spans="4:11" x14ac:dyDescent="0.2">
      <c r="D46" t="s">
        <v>125</v>
      </c>
      <c r="E46">
        <v>7</v>
      </c>
      <c r="F46">
        <v>7</v>
      </c>
      <c r="G46">
        <v>7</v>
      </c>
      <c r="H46">
        <v>7</v>
      </c>
      <c r="I46">
        <f t="shared" si="0"/>
        <v>7</v>
      </c>
      <c r="J46" t="str">
        <v>51-GAM09.docx</v>
      </c>
      <c r="K46">
        <f t="shared" si="1"/>
        <v>7</v>
      </c>
    </row>
    <row r="47" spans="4:11" x14ac:dyDescent="0.2">
      <c r="D47" t="s">
        <v>126</v>
      </c>
      <c r="E47">
        <v>6</v>
      </c>
      <c r="F47">
        <v>6</v>
      </c>
      <c r="G47">
        <v>6</v>
      </c>
      <c r="H47">
        <v>6</v>
      </c>
      <c r="I47">
        <f t="shared" si="0"/>
        <v>6</v>
      </c>
      <c r="J47" t="str">
        <v>52-hel98.docx</v>
      </c>
      <c r="K47">
        <f t="shared" si="1"/>
        <v>6.25</v>
      </c>
    </row>
    <row r="48" spans="4:11" x14ac:dyDescent="0.2">
      <c r="D48" t="s">
        <v>127</v>
      </c>
      <c r="E48">
        <v>7</v>
      </c>
      <c r="F48">
        <v>6</v>
      </c>
      <c r="G48">
        <v>5</v>
      </c>
      <c r="H48">
        <v>5</v>
      </c>
      <c r="I48">
        <f t="shared" si="0"/>
        <v>5.75</v>
      </c>
      <c r="J48" t="str">
        <v>53-GÜL01.docx</v>
      </c>
      <c r="K48">
        <f t="shared" si="1"/>
        <v>5.166666666666667</v>
      </c>
    </row>
    <row r="49" spans="4:11" x14ac:dyDescent="0.2">
      <c r="D49" t="s">
        <v>128</v>
      </c>
      <c r="E49">
        <v>6</v>
      </c>
      <c r="F49">
        <v>6</v>
      </c>
      <c r="G49">
        <v>5</v>
      </c>
      <c r="H49">
        <v>6</v>
      </c>
      <c r="I49">
        <f t="shared" si="0"/>
        <v>5.75</v>
      </c>
      <c r="J49" t="str">
        <v>54-ÇİL09.docx</v>
      </c>
      <c r="K49">
        <f t="shared" si="1"/>
        <v>4.708333333333333</v>
      </c>
    </row>
    <row r="50" spans="4:11" x14ac:dyDescent="0.2">
      <c r="D50" t="s">
        <v>129</v>
      </c>
      <c r="E50">
        <v>7</v>
      </c>
      <c r="F50">
        <v>7</v>
      </c>
      <c r="G50">
        <v>7</v>
      </c>
      <c r="H50">
        <v>7</v>
      </c>
      <c r="I50">
        <f t="shared" si="0"/>
        <v>7</v>
      </c>
      <c r="J50" t="str">
        <v>55-NER01.docx</v>
      </c>
      <c r="K50">
        <f t="shared" si="1"/>
        <v>3.55</v>
      </c>
    </row>
    <row r="51" spans="4:11" x14ac:dyDescent="0.2">
      <c r="D51" t="s">
        <v>130</v>
      </c>
      <c r="E51">
        <v>5</v>
      </c>
      <c r="F51">
        <v>5</v>
      </c>
      <c r="G51">
        <v>5</v>
      </c>
      <c r="H51">
        <v>2</v>
      </c>
      <c r="I51">
        <f t="shared" si="0"/>
        <v>4.25</v>
      </c>
      <c r="J51" t="str">
        <v>56-SEK02.docx</v>
      </c>
      <c r="K51">
        <f t="shared" si="1"/>
        <v>4.3125</v>
      </c>
    </row>
    <row r="52" spans="4:11" x14ac:dyDescent="0.2">
      <c r="D52" t="s">
        <v>131</v>
      </c>
      <c r="E52">
        <v>7</v>
      </c>
      <c r="F52">
        <v>7</v>
      </c>
      <c r="G52">
        <v>7</v>
      </c>
      <c r="H52">
        <v>7</v>
      </c>
      <c r="I52">
        <f t="shared" si="0"/>
        <v>7</v>
      </c>
      <c r="J52" t="str">
        <v>57-AYL04.docx</v>
      </c>
      <c r="K52">
        <f t="shared" si="1"/>
        <v>6.541666666666667</v>
      </c>
    </row>
    <row r="53" spans="4:11" x14ac:dyDescent="0.2">
      <c r="D53" t="s">
        <v>132</v>
      </c>
      <c r="E53">
        <v>4</v>
      </c>
      <c r="F53">
        <v>6</v>
      </c>
      <c r="G53">
        <v>6</v>
      </c>
      <c r="H53">
        <v>6</v>
      </c>
      <c r="I53">
        <f t="shared" si="0"/>
        <v>5.5</v>
      </c>
      <c r="J53" t="str">
        <v>58-BEL07.docx</v>
      </c>
      <c r="K53">
        <f t="shared" si="1"/>
        <v>5.875</v>
      </c>
    </row>
    <row r="54" spans="4:11" x14ac:dyDescent="0.2">
      <c r="D54" t="s">
        <v>133</v>
      </c>
      <c r="E54">
        <v>5</v>
      </c>
      <c r="F54">
        <v>7</v>
      </c>
      <c r="G54">
        <v>7</v>
      </c>
      <c r="H54">
        <v>7</v>
      </c>
      <c r="I54">
        <f t="shared" si="0"/>
        <v>6.5</v>
      </c>
      <c r="J54" t="str">
        <v>59-GÜL11.docx</v>
      </c>
      <c r="K54">
        <f t="shared" si="1"/>
        <v>5.958333333333333</v>
      </c>
    </row>
    <row r="55" spans="4:11" x14ac:dyDescent="0.2">
      <c r="D55" t="s">
        <v>134</v>
      </c>
      <c r="E55">
        <v>3</v>
      </c>
      <c r="F55">
        <v>5</v>
      </c>
      <c r="G55">
        <v>6</v>
      </c>
      <c r="H55">
        <v>4</v>
      </c>
      <c r="I55">
        <f t="shared" si="0"/>
        <v>4.5</v>
      </c>
      <c r="J55" t="str">
        <v>60-gön2000.docx</v>
      </c>
      <c r="K55">
        <f t="shared" si="1"/>
        <v>3.875</v>
      </c>
    </row>
    <row r="56" spans="4:11" x14ac:dyDescent="0.2">
      <c r="D56" t="s">
        <v>135</v>
      </c>
      <c r="E56">
        <v>5</v>
      </c>
      <c r="F56">
        <v>6</v>
      </c>
      <c r="G56">
        <v>7</v>
      </c>
      <c r="H56">
        <v>6</v>
      </c>
      <c r="I56">
        <f t="shared" si="0"/>
        <v>6</v>
      </c>
      <c r="J56" t="str">
        <v>61-SEV02.docx</v>
      </c>
      <c r="K56">
        <f t="shared" si="1"/>
        <v>5.875</v>
      </c>
    </row>
    <row r="57" spans="4:11" x14ac:dyDescent="0.2">
      <c r="D57" t="s">
        <v>136</v>
      </c>
      <c r="E57">
        <v>5</v>
      </c>
      <c r="F57">
        <v>4</v>
      </c>
      <c r="G57">
        <v>4</v>
      </c>
      <c r="H57">
        <v>5</v>
      </c>
      <c r="I57">
        <f t="shared" si="0"/>
        <v>4.5</v>
      </c>
      <c r="J57" t="str">
        <v>62-NİH01.docx</v>
      </c>
      <c r="K57">
        <f t="shared" si="1"/>
        <v>4.583333333333333</v>
      </c>
    </row>
    <row r="58" spans="4:11" x14ac:dyDescent="0.2">
      <c r="D58" t="s">
        <v>137</v>
      </c>
      <c r="E58">
        <v>4</v>
      </c>
      <c r="F58">
        <v>6</v>
      </c>
      <c r="G58">
        <v>3</v>
      </c>
      <c r="H58">
        <v>5</v>
      </c>
      <c r="I58">
        <f t="shared" si="0"/>
        <v>4.5</v>
      </c>
      <c r="J58" t="str">
        <v>63-güz04.docx</v>
      </c>
      <c r="K58">
        <f t="shared" si="1"/>
        <v>4.45</v>
      </c>
    </row>
    <row r="59" spans="4:11" x14ac:dyDescent="0.2">
      <c r="D59" t="s">
        <v>138</v>
      </c>
      <c r="E59">
        <v>6</v>
      </c>
      <c r="F59">
        <v>7</v>
      </c>
      <c r="G59">
        <v>7</v>
      </c>
      <c r="H59">
        <v>5</v>
      </c>
      <c r="I59">
        <f t="shared" si="0"/>
        <v>6.25</v>
      </c>
      <c r="J59" t="str">
        <v>64-GÜL05.docx</v>
      </c>
      <c r="K59">
        <f t="shared" si="1"/>
        <v>5.375</v>
      </c>
    </row>
    <row r="60" spans="4:11" x14ac:dyDescent="0.2">
      <c r="D60" t="s">
        <v>139</v>
      </c>
      <c r="E60">
        <v>7</v>
      </c>
      <c r="F60">
        <v>4</v>
      </c>
      <c r="G60">
        <v>6</v>
      </c>
      <c r="H60">
        <v>6</v>
      </c>
      <c r="I60">
        <f t="shared" si="0"/>
        <v>5.75</v>
      </c>
      <c r="J60" t="str">
        <v>65-rah07.docx</v>
      </c>
      <c r="K60">
        <f t="shared" si="1"/>
        <v>5.083333333333333</v>
      </c>
    </row>
    <row r="61" spans="4:11" x14ac:dyDescent="0.2">
      <c r="D61" t="s">
        <v>140</v>
      </c>
      <c r="E61">
        <v>2</v>
      </c>
      <c r="F61">
        <v>5</v>
      </c>
      <c r="G61">
        <v>6</v>
      </c>
      <c r="H61">
        <v>2</v>
      </c>
      <c r="I61">
        <f t="shared" si="0"/>
        <v>3.75</v>
      </c>
      <c r="J61" t="str">
        <v>66-ÇİĞ02.docx</v>
      </c>
      <c r="K61">
        <f t="shared" si="1"/>
        <v>3.3333333333333335</v>
      </c>
    </row>
    <row r="62" spans="4:11" x14ac:dyDescent="0.2">
      <c r="D62" t="s">
        <v>141</v>
      </c>
      <c r="E62">
        <v>7</v>
      </c>
      <c r="F62">
        <v>6</v>
      </c>
      <c r="G62">
        <v>5</v>
      </c>
      <c r="H62">
        <v>7</v>
      </c>
      <c r="I62">
        <f t="shared" si="0"/>
        <v>6.25</v>
      </c>
      <c r="J62" t="str">
        <v>67-Gül12.docx</v>
      </c>
      <c r="K62">
        <f t="shared" si="1"/>
        <v>5.666666666666667</v>
      </c>
    </row>
    <row r="63" spans="4:11" x14ac:dyDescent="0.2">
      <c r="D63" t="s">
        <v>142</v>
      </c>
      <c r="E63">
        <v>7</v>
      </c>
      <c r="F63">
        <v>7</v>
      </c>
      <c r="G63">
        <v>7</v>
      </c>
      <c r="H63">
        <v>1</v>
      </c>
      <c r="I63">
        <f t="shared" si="0"/>
        <v>5.5</v>
      </c>
      <c r="J63" t="str">
        <v>68-zey04.docx</v>
      </c>
      <c r="K63">
        <f t="shared" si="1"/>
        <v>6</v>
      </c>
    </row>
    <row r="64" spans="4:11" x14ac:dyDescent="0.2">
      <c r="D64" t="s">
        <v>143</v>
      </c>
      <c r="E64">
        <v>4</v>
      </c>
      <c r="F64">
        <v>6</v>
      </c>
      <c r="G64">
        <v>5</v>
      </c>
      <c r="H64">
        <v>4</v>
      </c>
      <c r="I64">
        <f t="shared" si="0"/>
        <v>4.75</v>
      </c>
      <c r="J64" t="str">
        <v>69-Sel071.docx</v>
      </c>
      <c r="K64">
        <f t="shared" si="1"/>
        <v>4.5</v>
      </c>
    </row>
    <row r="65" spans="4:11" x14ac:dyDescent="0.2">
      <c r="D65" t="s">
        <v>144</v>
      </c>
      <c r="E65">
        <v>2</v>
      </c>
      <c r="F65">
        <v>3</v>
      </c>
      <c r="G65">
        <v>5</v>
      </c>
      <c r="H65">
        <v>6</v>
      </c>
      <c r="I65">
        <f t="shared" si="0"/>
        <v>4</v>
      </c>
      <c r="J65" t="str">
        <v>70-FÜS12.docx</v>
      </c>
      <c r="K65">
        <f t="shared" si="1"/>
        <v>4.375</v>
      </c>
    </row>
    <row r="66" spans="4:11" x14ac:dyDescent="0.2">
      <c r="D66" t="s">
        <v>145</v>
      </c>
      <c r="E66">
        <v>7</v>
      </c>
      <c r="F66">
        <v>7</v>
      </c>
      <c r="G66">
        <v>7</v>
      </c>
      <c r="H66">
        <v>7</v>
      </c>
      <c r="I66">
        <f t="shared" si="0"/>
        <v>7</v>
      </c>
      <c r="J66" t="str">
        <v>71-BER061.docx</v>
      </c>
      <c r="K66">
        <f t="shared" si="1"/>
        <v>6.416666666666667</v>
      </c>
    </row>
    <row r="67" spans="4:11" x14ac:dyDescent="0.2">
      <c r="D67" t="s">
        <v>146</v>
      </c>
      <c r="E67">
        <v>5</v>
      </c>
      <c r="F67">
        <v>2</v>
      </c>
      <c r="G67">
        <v>6</v>
      </c>
      <c r="H67">
        <v>6</v>
      </c>
      <c r="I67">
        <f t="shared" ref="I67:I130" si="2">AVERAGE(E67:H67)</f>
        <v>4.75</v>
      </c>
      <c r="J67" t="str">
        <v>72-MEL02.docx</v>
      </c>
      <c r="K67">
        <f t="shared" ref="K67:K116" si="3">AVERAGEIF($D67:$D745,J67,I67:I745)</f>
        <v>5</v>
      </c>
    </row>
    <row r="68" spans="4:11" x14ac:dyDescent="0.2">
      <c r="D68" t="s">
        <v>147</v>
      </c>
      <c r="E68">
        <v>4</v>
      </c>
      <c r="F68">
        <v>5</v>
      </c>
      <c r="G68">
        <v>5</v>
      </c>
      <c r="H68">
        <v>5</v>
      </c>
      <c r="I68">
        <f t="shared" si="2"/>
        <v>4.75</v>
      </c>
      <c r="J68" t="str">
        <v>73-DİL03.docx</v>
      </c>
      <c r="K68">
        <f t="shared" si="3"/>
        <v>5.583333333333333</v>
      </c>
    </row>
    <row r="69" spans="4:11" x14ac:dyDescent="0.2">
      <c r="D69" t="s">
        <v>148</v>
      </c>
      <c r="E69">
        <v>3</v>
      </c>
      <c r="F69">
        <v>5</v>
      </c>
      <c r="G69">
        <v>5</v>
      </c>
      <c r="H69">
        <v>5</v>
      </c>
      <c r="I69">
        <f t="shared" si="2"/>
        <v>4.5</v>
      </c>
      <c r="J69" t="str">
        <v>74-GÜL03.docx</v>
      </c>
      <c r="K69">
        <f t="shared" si="3"/>
        <v>4.708333333333333</v>
      </c>
    </row>
    <row r="70" spans="4:11" x14ac:dyDescent="0.2">
      <c r="D70" t="s">
        <v>149</v>
      </c>
      <c r="E70">
        <v>2</v>
      </c>
      <c r="F70">
        <v>2</v>
      </c>
      <c r="G70">
        <v>5</v>
      </c>
      <c r="H70">
        <v>5</v>
      </c>
      <c r="I70">
        <f t="shared" si="2"/>
        <v>3.5</v>
      </c>
      <c r="J70" t="str">
        <v>75-zin11.docx</v>
      </c>
      <c r="K70">
        <f t="shared" si="3"/>
        <v>4.791666666666667</v>
      </c>
    </row>
    <row r="71" spans="4:11" x14ac:dyDescent="0.2">
      <c r="D71" t="s">
        <v>150</v>
      </c>
      <c r="E71">
        <v>7</v>
      </c>
      <c r="F71">
        <v>7</v>
      </c>
      <c r="G71">
        <v>7</v>
      </c>
      <c r="H71">
        <v>7</v>
      </c>
      <c r="I71">
        <f t="shared" si="2"/>
        <v>7</v>
      </c>
      <c r="J71" t="str">
        <v>77-DUR11.docx</v>
      </c>
      <c r="K71">
        <f t="shared" si="3"/>
        <v>5.791666666666667</v>
      </c>
    </row>
    <row r="72" spans="4:11" x14ac:dyDescent="0.2">
      <c r="D72" t="s">
        <v>151</v>
      </c>
      <c r="E72">
        <v>6</v>
      </c>
      <c r="F72">
        <v>7</v>
      </c>
      <c r="G72">
        <v>5</v>
      </c>
      <c r="H72">
        <v>7</v>
      </c>
      <c r="I72">
        <f t="shared" si="2"/>
        <v>6.25</v>
      </c>
      <c r="J72" t="str">
        <v>78-GÜL08.docx</v>
      </c>
      <c r="K72">
        <f t="shared" si="3"/>
        <v>5.458333333333333</v>
      </c>
    </row>
    <row r="73" spans="4:11" x14ac:dyDescent="0.2">
      <c r="D73" t="s">
        <v>152</v>
      </c>
      <c r="E73">
        <v>1</v>
      </c>
      <c r="F73">
        <v>1</v>
      </c>
      <c r="G73">
        <v>3</v>
      </c>
      <c r="H73">
        <v>2</v>
      </c>
      <c r="I73">
        <f t="shared" si="2"/>
        <v>1.75</v>
      </c>
      <c r="J73" t="str">
        <v>79-yas05.docx</v>
      </c>
      <c r="K73">
        <f t="shared" si="3"/>
        <v>3.2916666666666665</v>
      </c>
    </row>
    <row r="74" spans="4:11" x14ac:dyDescent="0.2">
      <c r="D74" t="s">
        <v>153</v>
      </c>
      <c r="E74">
        <v>3</v>
      </c>
      <c r="F74">
        <v>5</v>
      </c>
      <c r="G74">
        <v>5</v>
      </c>
      <c r="H74">
        <v>6</v>
      </c>
      <c r="I74">
        <f t="shared" si="2"/>
        <v>4.75</v>
      </c>
      <c r="J74" t="str">
        <v>80-nur12.docx</v>
      </c>
      <c r="K74">
        <f t="shared" si="3"/>
        <v>5.208333333333333</v>
      </c>
    </row>
    <row r="75" spans="4:11" x14ac:dyDescent="0.2">
      <c r="D75" t="s">
        <v>154</v>
      </c>
      <c r="E75">
        <v>4</v>
      </c>
      <c r="F75">
        <v>6</v>
      </c>
      <c r="G75">
        <v>6</v>
      </c>
      <c r="H75">
        <v>6</v>
      </c>
      <c r="I75">
        <f t="shared" si="2"/>
        <v>5.5</v>
      </c>
      <c r="J75" t="str">
        <v>81-ÖZL08.docx</v>
      </c>
      <c r="K75">
        <f t="shared" si="3"/>
        <v>4.833333333333333</v>
      </c>
    </row>
    <row r="76" spans="4:11" x14ac:dyDescent="0.2">
      <c r="D76" t="s">
        <v>155</v>
      </c>
      <c r="E76">
        <v>4</v>
      </c>
      <c r="F76">
        <v>4</v>
      </c>
      <c r="G76">
        <v>6</v>
      </c>
      <c r="H76">
        <v>7</v>
      </c>
      <c r="I76">
        <f t="shared" si="2"/>
        <v>5.25</v>
      </c>
      <c r="J76" t="str">
        <v>82-ŞEN04.docx</v>
      </c>
      <c r="K76">
        <f t="shared" si="3"/>
        <v>5.25</v>
      </c>
    </row>
    <row r="77" spans="4:11" x14ac:dyDescent="0.2">
      <c r="D77" t="s">
        <v>156</v>
      </c>
      <c r="E77">
        <v>3</v>
      </c>
      <c r="F77">
        <v>6</v>
      </c>
      <c r="G77">
        <v>5</v>
      </c>
      <c r="H77">
        <v>7</v>
      </c>
      <c r="I77">
        <f t="shared" si="2"/>
        <v>5.25</v>
      </c>
      <c r="J77" t="str">
        <v>83-Dil04.docx</v>
      </c>
      <c r="K77">
        <f t="shared" si="3"/>
        <v>4.416666666666667</v>
      </c>
    </row>
    <row r="78" spans="4:11" x14ac:dyDescent="0.2">
      <c r="D78" t="s">
        <v>157</v>
      </c>
      <c r="E78">
        <v>5</v>
      </c>
      <c r="F78">
        <v>5</v>
      </c>
      <c r="G78">
        <v>5</v>
      </c>
      <c r="H78">
        <v>5</v>
      </c>
      <c r="I78">
        <f t="shared" si="2"/>
        <v>5</v>
      </c>
      <c r="J78" t="str">
        <v>84-BET08.docx</v>
      </c>
      <c r="K78">
        <f t="shared" si="3"/>
        <v>5.875</v>
      </c>
    </row>
    <row r="79" spans="4:11" x14ac:dyDescent="0.2">
      <c r="D79" t="s">
        <v>158</v>
      </c>
      <c r="E79">
        <v>3</v>
      </c>
      <c r="F79">
        <v>7</v>
      </c>
      <c r="G79">
        <v>7</v>
      </c>
      <c r="H79">
        <v>7</v>
      </c>
      <c r="I79">
        <f t="shared" si="2"/>
        <v>6</v>
      </c>
      <c r="J79" t="str">
        <v>85-AZİ02.docx</v>
      </c>
      <c r="K79">
        <f t="shared" si="3"/>
        <v>5.541666666666667</v>
      </c>
    </row>
    <row r="80" spans="4:11" x14ac:dyDescent="0.2">
      <c r="D80" t="s">
        <v>159</v>
      </c>
      <c r="E80">
        <v>5</v>
      </c>
      <c r="F80">
        <v>5</v>
      </c>
      <c r="G80">
        <v>5</v>
      </c>
      <c r="H80">
        <v>3</v>
      </c>
      <c r="I80">
        <f t="shared" si="2"/>
        <v>4.5</v>
      </c>
      <c r="J80" t="str">
        <v>86-SEM101.docx</v>
      </c>
      <c r="K80">
        <f t="shared" si="3"/>
        <v>3.5833333333333335</v>
      </c>
    </row>
    <row r="81" spans="4:11" x14ac:dyDescent="0.2">
      <c r="D81" t="s">
        <v>160</v>
      </c>
      <c r="E81">
        <v>2</v>
      </c>
      <c r="F81">
        <v>2</v>
      </c>
      <c r="G81">
        <v>3</v>
      </c>
      <c r="H81">
        <v>2</v>
      </c>
      <c r="I81">
        <f t="shared" si="2"/>
        <v>2.25</v>
      </c>
      <c r="J81" t="str">
        <v>87-hül06.docx</v>
      </c>
      <c r="K81">
        <f t="shared" si="3"/>
        <v>4.791666666666667</v>
      </c>
    </row>
    <row r="82" spans="4:11" x14ac:dyDescent="0.2">
      <c r="D82" t="s">
        <v>161</v>
      </c>
      <c r="E82">
        <v>3</v>
      </c>
      <c r="F82">
        <v>4</v>
      </c>
      <c r="G82">
        <v>3</v>
      </c>
      <c r="H82">
        <v>7</v>
      </c>
      <c r="I82">
        <f t="shared" si="2"/>
        <v>4.25</v>
      </c>
      <c r="J82" t="str">
        <v>88-NUR11.docx</v>
      </c>
      <c r="K82">
        <f t="shared" si="3"/>
        <v>4.25</v>
      </c>
    </row>
    <row r="83" spans="4:11" x14ac:dyDescent="0.2">
      <c r="D83" t="s">
        <v>162</v>
      </c>
      <c r="E83">
        <v>3</v>
      </c>
      <c r="F83">
        <v>6</v>
      </c>
      <c r="G83">
        <v>2</v>
      </c>
      <c r="H83">
        <v>6</v>
      </c>
      <c r="I83">
        <f t="shared" si="2"/>
        <v>4.25</v>
      </c>
      <c r="J83" t="str">
        <v>89-nih02.docx</v>
      </c>
      <c r="K83">
        <f t="shared" si="3"/>
        <v>5.666666666666667</v>
      </c>
    </row>
    <row r="84" spans="4:11" x14ac:dyDescent="0.2">
      <c r="D84" t="s">
        <v>163</v>
      </c>
      <c r="E84">
        <v>7</v>
      </c>
      <c r="F84">
        <v>7</v>
      </c>
      <c r="G84">
        <v>7</v>
      </c>
      <c r="H84">
        <v>7</v>
      </c>
      <c r="I84">
        <f t="shared" si="2"/>
        <v>7</v>
      </c>
      <c r="J84" t="str">
        <v>90-ZEY11.docx</v>
      </c>
      <c r="K84">
        <f t="shared" si="3"/>
        <v>6.25</v>
      </c>
    </row>
    <row r="85" spans="4:11" x14ac:dyDescent="0.2">
      <c r="D85" t="s">
        <v>165</v>
      </c>
      <c r="E85">
        <v>7</v>
      </c>
      <c r="F85">
        <v>7</v>
      </c>
      <c r="G85">
        <v>7</v>
      </c>
      <c r="H85">
        <v>7</v>
      </c>
      <c r="I85">
        <f t="shared" si="2"/>
        <v>7</v>
      </c>
      <c r="J85" t="str">
        <v>91-FUN06.docx</v>
      </c>
      <c r="K85">
        <f t="shared" si="3"/>
        <v>7</v>
      </c>
    </row>
    <row r="86" spans="4:11" x14ac:dyDescent="0.2">
      <c r="D86" t="s">
        <v>166</v>
      </c>
      <c r="E86">
        <v>7</v>
      </c>
      <c r="F86">
        <v>7</v>
      </c>
      <c r="G86">
        <v>7</v>
      </c>
      <c r="H86">
        <v>7</v>
      </c>
      <c r="I86">
        <f t="shared" si="2"/>
        <v>7</v>
      </c>
      <c r="J86" t="str">
        <v>92-GON12.docx</v>
      </c>
      <c r="K86">
        <f t="shared" si="3"/>
        <v>4.166666666666667</v>
      </c>
    </row>
    <row r="87" spans="4:11" x14ac:dyDescent="0.2">
      <c r="D87" t="s">
        <v>167</v>
      </c>
      <c r="E87">
        <v>3</v>
      </c>
      <c r="F87">
        <v>2</v>
      </c>
      <c r="G87">
        <v>4</v>
      </c>
      <c r="H87">
        <v>7</v>
      </c>
      <c r="I87">
        <f t="shared" si="2"/>
        <v>4</v>
      </c>
      <c r="J87" t="str">
        <v>93-Pao05.docx</v>
      </c>
      <c r="K87">
        <f t="shared" si="3"/>
        <v>5.333333333333333</v>
      </c>
    </row>
    <row r="88" spans="4:11" x14ac:dyDescent="0.2">
      <c r="D88" t="s">
        <v>168</v>
      </c>
      <c r="E88">
        <v>2</v>
      </c>
      <c r="F88">
        <v>5</v>
      </c>
      <c r="G88">
        <v>4</v>
      </c>
      <c r="H88">
        <v>4</v>
      </c>
      <c r="I88">
        <f t="shared" si="2"/>
        <v>3.75</v>
      </c>
      <c r="J88" t="str">
        <v>94-Dem05.docx</v>
      </c>
      <c r="K88">
        <f t="shared" si="3"/>
        <v>3.625</v>
      </c>
    </row>
    <row r="89" spans="4:11" x14ac:dyDescent="0.2">
      <c r="D89" t="s">
        <v>169</v>
      </c>
      <c r="E89">
        <v>1</v>
      </c>
      <c r="F89">
        <v>5</v>
      </c>
      <c r="G89">
        <v>5</v>
      </c>
      <c r="H89">
        <v>5</v>
      </c>
      <c r="I89">
        <f t="shared" si="2"/>
        <v>4</v>
      </c>
      <c r="J89" t="str">
        <v>95-NUR05.docx</v>
      </c>
      <c r="K89">
        <f t="shared" si="3"/>
        <v>3.8125</v>
      </c>
    </row>
    <row r="90" spans="4:11" x14ac:dyDescent="0.2">
      <c r="D90" t="s">
        <v>170</v>
      </c>
      <c r="E90">
        <v>1</v>
      </c>
      <c r="F90">
        <v>4</v>
      </c>
      <c r="G90">
        <v>7</v>
      </c>
      <c r="H90">
        <v>6</v>
      </c>
      <c r="I90">
        <f t="shared" si="2"/>
        <v>4.5</v>
      </c>
      <c r="J90" t="str">
        <v>96-EMİ06.docx</v>
      </c>
      <c r="K90">
        <f t="shared" si="3"/>
        <v>5.375</v>
      </c>
    </row>
    <row r="91" spans="4:11" x14ac:dyDescent="0.2">
      <c r="D91" t="s">
        <v>172</v>
      </c>
      <c r="E91">
        <v>5</v>
      </c>
      <c r="F91">
        <v>5</v>
      </c>
      <c r="G91">
        <v>5</v>
      </c>
      <c r="H91">
        <v>7</v>
      </c>
      <c r="I91">
        <f t="shared" si="2"/>
        <v>5.5</v>
      </c>
      <c r="J91" t="str">
        <v>98-BAH07.docx</v>
      </c>
      <c r="K91">
        <f t="shared" si="3"/>
        <v>6.166666666666667</v>
      </c>
    </row>
    <row r="92" spans="4:11" x14ac:dyDescent="0.2">
      <c r="D92" t="s">
        <v>173</v>
      </c>
      <c r="E92">
        <v>4</v>
      </c>
      <c r="F92">
        <v>4</v>
      </c>
      <c r="G92">
        <v>5</v>
      </c>
      <c r="H92">
        <v>5</v>
      </c>
      <c r="I92">
        <f t="shared" si="2"/>
        <v>4.5</v>
      </c>
      <c r="J92" t="str">
        <v>99-HAT11.docx</v>
      </c>
      <c r="K92">
        <f t="shared" si="3"/>
        <v>5.125</v>
      </c>
    </row>
    <row r="93" spans="4:11" x14ac:dyDescent="0.2">
      <c r="D93" t="s">
        <v>174</v>
      </c>
      <c r="E93">
        <v>2</v>
      </c>
      <c r="F93">
        <v>3</v>
      </c>
      <c r="G93">
        <v>3</v>
      </c>
      <c r="H93">
        <v>4</v>
      </c>
      <c r="I93">
        <f t="shared" si="2"/>
        <v>3</v>
      </c>
      <c r="J93" t="str">
        <v>100-han11.docx</v>
      </c>
      <c r="K93">
        <f t="shared" si="3"/>
        <v>3.45</v>
      </c>
    </row>
    <row r="94" spans="4:11" x14ac:dyDescent="0.2">
      <c r="D94" t="s">
        <v>175</v>
      </c>
      <c r="E94">
        <v>7</v>
      </c>
      <c r="F94">
        <v>7</v>
      </c>
      <c r="G94">
        <v>7</v>
      </c>
      <c r="H94">
        <v>7</v>
      </c>
      <c r="I94">
        <f t="shared" si="2"/>
        <v>7</v>
      </c>
      <c r="J94" t="str">
        <v>101-NES04.docx</v>
      </c>
      <c r="K94">
        <f t="shared" si="3"/>
        <v>7</v>
      </c>
    </row>
    <row r="95" spans="4:11" x14ac:dyDescent="0.2">
      <c r="D95" t="s">
        <v>176</v>
      </c>
      <c r="E95">
        <v>4</v>
      </c>
      <c r="F95">
        <v>7</v>
      </c>
      <c r="G95">
        <v>7</v>
      </c>
      <c r="H95">
        <v>7</v>
      </c>
      <c r="I95">
        <f t="shared" si="2"/>
        <v>6.25</v>
      </c>
      <c r="J95" t="str">
        <v>102-RAH01.docx</v>
      </c>
      <c r="K95">
        <f t="shared" si="3"/>
        <v>4.6500000000000004</v>
      </c>
    </row>
    <row r="96" spans="4:11" x14ac:dyDescent="0.2">
      <c r="D96" t="s">
        <v>177</v>
      </c>
      <c r="E96">
        <v>2</v>
      </c>
      <c r="F96">
        <v>4</v>
      </c>
      <c r="G96">
        <v>6</v>
      </c>
      <c r="H96">
        <v>3</v>
      </c>
      <c r="I96">
        <f t="shared" si="2"/>
        <v>3.75</v>
      </c>
      <c r="J96" t="str">
        <v>103-SEL02.docx</v>
      </c>
      <c r="K96">
        <f t="shared" si="3"/>
        <v>4.625</v>
      </c>
    </row>
    <row r="97" spans="4:11" x14ac:dyDescent="0.2">
      <c r="D97" t="s">
        <v>178</v>
      </c>
      <c r="E97">
        <v>1</v>
      </c>
      <c r="F97">
        <v>4</v>
      </c>
      <c r="G97">
        <v>6</v>
      </c>
      <c r="H97">
        <v>4</v>
      </c>
      <c r="I97">
        <f t="shared" si="2"/>
        <v>3.75</v>
      </c>
      <c r="J97" t="str">
        <v>104-var05.docx</v>
      </c>
      <c r="K97">
        <f t="shared" si="3"/>
        <v>4.916666666666667</v>
      </c>
    </row>
    <row r="98" spans="4:11" x14ac:dyDescent="0.2">
      <c r="D98" t="s">
        <v>179</v>
      </c>
      <c r="E98">
        <v>7</v>
      </c>
      <c r="F98">
        <v>7</v>
      </c>
      <c r="G98">
        <v>7</v>
      </c>
      <c r="H98">
        <v>7</v>
      </c>
      <c r="I98">
        <f t="shared" si="2"/>
        <v>7</v>
      </c>
      <c r="J98" t="str">
        <v>105-Tub11.docx</v>
      </c>
      <c r="K98">
        <f t="shared" si="3"/>
        <v>5</v>
      </c>
    </row>
    <row r="99" spans="4:11" x14ac:dyDescent="0.2">
      <c r="D99" t="s">
        <v>180</v>
      </c>
      <c r="E99">
        <v>3</v>
      </c>
      <c r="F99">
        <v>3</v>
      </c>
      <c r="G99">
        <v>5</v>
      </c>
      <c r="H99">
        <v>6</v>
      </c>
      <c r="I99">
        <f t="shared" si="2"/>
        <v>4.25</v>
      </c>
      <c r="J99" t="str">
        <v>106-YES11.docx</v>
      </c>
      <c r="K99">
        <f t="shared" si="3"/>
        <v>5.166666666666667</v>
      </c>
    </row>
    <row r="100" spans="4:11" x14ac:dyDescent="0.2">
      <c r="D100" t="s">
        <v>181</v>
      </c>
      <c r="E100">
        <v>7</v>
      </c>
      <c r="F100">
        <v>5</v>
      </c>
      <c r="G100">
        <v>7</v>
      </c>
      <c r="H100">
        <v>3</v>
      </c>
      <c r="I100">
        <f t="shared" si="2"/>
        <v>5.5</v>
      </c>
      <c r="J100" t="str">
        <v>107-YES08.docx</v>
      </c>
      <c r="K100">
        <f t="shared" si="3"/>
        <v>5.25</v>
      </c>
    </row>
    <row r="101" spans="4:11" x14ac:dyDescent="0.2">
      <c r="D101" t="s">
        <v>182</v>
      </c>
      <c r="E101">
        <v>2</v>
      </c>
      <c r="F101">
        <v>5</v>
      </c>
      <c r="G101">
        <v>6</v>
      </c>
      <c r="H101">
        <v>2</v>
      </c>
      <c r="I101">
        <f t="shared" si="2"/>
        <v>3.75</v>
      </c>
      <c r="J101" t="str">
        <v>108-EDA11.docx</v>
      </c>
      <c r="K101">
        <f t="shared" si="3"/>
        <v>5.458333333333333</v>
      </c>
    </row>
    <row r="102" spans="4:11" x14ac:dyDescent="0.2">
      <c r="D102" t="s">
        <v>183</v>
      </c>
      <c r="E102">
        <v>6</v>
      </c>
      <c r="F102">
        <v>7</v>
      </c>
      <c r="G102">
        <v>7</v>
      </c>
      <c r="H102">
        <v>7</v>
      </c>
      <c r="I102">
        <f t="shared" si="2"/>
        <v>6.75</v>
      </c>
      <c r="J102" t="str">
        <v>109-KOÇ07.docx</v>
      </c>
      <c r="K102">
        <f t="shared" si="3"/>
        <v>5.791666666666667</v>
      </c>
    </row>
    <row r="103" spans="4:11" x14ac:dyDescent="0.2">
      <c r="D103" t="s">
        <v>184</v>
      </c>
      <c r="E103">
        <v>5</v>
      </c>
      <c r="F103">
        <v>2</v>
      </c>
      <c r="G103">
        <v>5</v>
      </c>
      <c r="H103">
        <v>5</v>
      </c>
      <c r="I103">
        <f t="shared" si="2"/>
        <v>4.25</v>
      </c>
      <c r="J103" t="str">
        <v>110-ZEY07.docx</v>
      </c>
      <c r="K103">
        <f t="shared" si="3"/>
        <v>3.3333333333333335</v>
      </c>
    </row>
    <row r="104" spans="4:11" x14ac:dyDescent="0.2">
      <c r="D104" t="s">
        <v>185</v>
      </c>
      <c r="E104">
        <v>3</v>
      </c>
      <c r="F104">
        <v>5</v>
      </c>
      <c r="G104">
        <v>5</v>
      </c>
      <c r="H104">
        <v>6</v>
      </c>
      <c r="I104">
        <f t="shared" si="2"/>
        <v>4.75</v>
      </c>
      <c r="J104" t="str">
        <v>111-Ber02.docx</v>
      </c>
      <c r="K104">
        <f t="shared" si="3"/>
        <v>5.541666666666667</v>
      </c>
    </row>
    <row r="105" spans="4:11" x14ac:dyDescent="0.2">
      <c r="D105" t="s">
        <v>186</v>
      </c>
      <c r="E105">
        <v>7</v>
      </c>
      <c r="F105">
        <v>7</v>
      </c>
      <c r="G105">
        <v>7</v>
      </c>
      <c r="H105">
        <v>7</v>
      </c>
      <c r="I105">
        <f t="shared" si="2"/>
        <v>7</v>
      </c>
      <c r="J105" t="str">
        <v>112-nil11.docx</v>
      </c>
      <c r="K105">
        <f t="shared" si="3"/>
        <v>6.666666666666667</v>
      </c>
    </row>
    <row r="106" spans="4:11" x14ac:dyDescent="0.2">
      <c r="D106" t="s">
        <v>187</v>
      </c>
      <c r="E106">
        <v>2</v>
      </c>
      <c r="F106">
        <v>2</v>
      </c>
      <c r="G106">
        <v>2</v>
      </c>
      <c r="H106">
        <v>5</v>
      </c>
      <c r="I106">
        <f t="shared" si="2"/>
        <v>2.75</v>
      </c>
      <c r="J106" t="str">
        <v>113-GÜL09.docx</v>
      </c>
      <c r="K106">
        <f t="shared" si="3"/>
        <v>4.416666666666667</v>
      </c>
    </row>
    <row r="107" spans="4:11" x14ac:dyDescent="0.2">
      <c r="D107" t="s">
        <v>188</v>
      </c>
      <c r="E107">
        <v>3</v>
      </c>
      <c r="F107">
        <v>3</v>
      </c>
      <c r="G107">
        <v>6</v>
      </c>
      <c r="H107">
        <v>7</v>
      </c>
      <c r="I107">
        <f t="shared" si="2"/>
        <v>4.75</v>
      </c>
      <c r="J107" t="str">
        <v>114-MEV06.docx</v>
      </c>
      <c r="K107">
        <f t="shared" si="3"/>
        <v>5.833333333333333</v>
      </c>
    </row>
    <row r="108" spans="4:11" x14ac:dyDescent="0.2">
      <c r="D108" t="s">
        <v>189</v>
      </c>
      <c r="E108">
        <v>3</v>
      </c>
      <c r="F108">
        <v>5</v>
      </c>
      <c r="G108">
        <v>5</v>
      </c>
      <c r="H108">
        <v>2</v>
      </c>
      <c r="I108">
        <f t="shared" si="2"/>
        <v>3.75</v>
      </c>
      <c r="J108" t="str">
        <v>115-İlh06.docx</v>
      </c>
      <c r="K108">
        <f t="shared" si="3"/>
        <v>3.9166666666666665</v>
      </c>
    </row>
    <row r="109" spans="4:11" x14ac:dyDescent="0.2">
      <c r="D109" t="s">
        <v>190</v>
      </c>
      <c r="E109">
        <v>4</v>
      </c>
      <c r="F109">
        <v>7</v>
      </c>
      <c r="G109">
        <v>7</v>
      </c>
      <c r="H109">
        <v>6</v>
      </c>
      <c r="I109">
        <f t="shared" si="2"/>
        <v>6</v>
      </c>
      <c r="J109" t="str">
        <v>116-AYŞ.docx</v>
      </c>
      <c r="K109">
        <f t="shared" si="3"/>
        <v>5.5</v>
      </c>
    </row>
    <row r="110" spans="4:11" x14ac:dyDescent="0.2">
      <c r="D110" t="s">
        <v>192</v>
      </c>
      <c r="E110">
        <v>1</v>
      </c>
      <c r="F110">
        <v>5</v>
      </c>
      <c r="G110">
        <v>7</v>
      </c>
      <c r="H110">
        <v>7</v>
      </c>
      <c r="I110">
        <f t="shared" si="2"/>
        <v>5</v>
      </c>
      <c r="J110" t="str">
        <v>118-AYŞ07.docx</v>
      </c>
      <c r="K110">
        <f t="shared" si="3"/>
        <v>3.0833333333333335</v>
      </c>
    </row>
    <row r="111" spans="4:11" x14ac:dyDescent="0.2">
      <c r="D111" t="s">
        <v>193</v>
      </c>
      <c r="E111">
        <v>2</v>
      </c>
      <c r="F111">
        <v>2</v>
      </c>
      <c r="G111">
        <v>6</v>
      </c>
      <c r="H111">
        <v>7</v>
      </c>
      <c r="I111">
        <f t="shared" si="2"/>
        <v>4.25</v>
      </c>
      <c r="J111" t="str">
        <v>119-NUR04.docx</v>
      </c>
      <c r="K111">
        <f t="shared" si="3"/>
        <v>4.416666666666667</v>
      </c>
    </row>
    <row r="112" spans="4:11" x14ac:dyDescent="0.2">
      <c r="D112" t="s">
        <v>62</v>
      </c>
      <c r="E112">
        <v>4</v>
      </c>
      <c r="F112">
        <v>5</v>
      </c>
      <c r="G112">
        <v>5</v>
      </c>
      <c r="H112">
        <v>4</v>
      </c>
      <c r="I112">
        <f t="shared" si="2"/>
        <v>4.5</v>
      </c>
      <c r="J112" t="str">
        <v>1-FEH09.docx</v>
      </c>
      <c r="K112">
        <f t="shared" si="3"/>
        <v>4.25</v>
      </c>
    </row>
    <row r="113" spans="4:11" x14ac:dyDescent="0.2">
      <c r="D113" t="s">
        <v>70</v>
      </c>
      <c r="E113">
        <v>5</v>
      </c>
      <c r="F113">
        <v>3</v>
      </c>
      <c r="G113">
        <v>6</v>
      </c>
      <c r="H113">
        <v>7</v>
      </c>
      <c r="I113">
        <f t="shared" si="2"/>
        <v>5.25</v>
      </c>
      <c r="J113" t="str">
        <v>15-nur12.docx</v>
      </c>
      <c r="K113">
        <f t="shared" si="3"/>
        <v>4.3499999999999996</v>
      </c>
    </row>
    <row r="114" spans="4:11" x14ac:dyDescent="0.2">
      <c r="D114" t="s">
        <v>72</v>
      </c>
      <c r="E114">
        <v>6</v>
      </c>
      <c r="F114">
        <v>2</v>
      </c>
      <c r="G114">
        <v>7</v>
      </c>
      <c r="H114">
        <v>7</v>
      </c>
      <c r="I114">
        <f t="shared" si="2"/>
        <v>5.5</v>
      </c>
      <c r="J114" t="str">
        <v>97-ner12.docx</v>
      </c>
      <c r="K114">
        <f t="shared" si="3"/>
        <v>4.75</v>
      </c>
    </row>
    <row r="115" spans="4:11" x14ac:dyDescent="0.2">
      <c r="D115" t="s">
        <v>74</v>
      </c>
      <c r="E115">
        <v>2</v>
      </c>
      <c r="F115">
        <v>1</v>
      </c>
      <c r="G115">
        <v>1</v>
      </c>
      <c r="H115">
        <v>3</v>
      </c>
      <c r="I115">
        <f t="shared" si="2"/>
        <v>1.75</v>
      </c>
      <c r="J115" t="str">
        <v>117-ayl06.docx</v>
      </c>
      <c r="K115">
        <f t="shared" si="3"/>
        <v>5.3</v>
      </c>
    </row>
    <row r="116" spans="4:11" x14ac:dyDescent="0.2">
      <c r="D116" t="s">
        <v>75</v>
      </c>
      <c r="E116">
        <v>5</v>
      </c>
      <c r="F116">
        <v>6</v>
      </c>
      <c r="G116">
        <v>6</v>
      </c>
      <c r="H116">
        <v>5</v>
      </c>
      <c r="I116">
        <f t="shared" si="2"/>
        <v>5.5</v>
      </c>
      <c r="J116" t="str">
        <v>2-NES06.docx</v>
      </c>
      <c r="K116">
        <f t="shared" si="3"/>
        <v>4.875</v>
      </c>
    </row>
    <row r="117" spans="4:11" x14ac:dyDescent="0.2">
      <c r="D117" t="s">
        <v>77</v>
      </c>
      <c r="E117">
        <v>5</v>
      </c>
      <c r="F117">
        <v>5</v>
      </c>
      <c r="G117">
        <v>3</v>
      </c>
      <c r="H117">
        <v>5</v>
      </c>
      <c r="I117">
        <f t="shared" si="2"/>
        <v>4.5</v>
      </c>
      <c r="J117">
        <v>0</v>
      </c>
    </row>
    <row r="118" spans="4:11" x14ac:dyDescent="0.2">
      <c r="D118" t="s">
        <v>79</v>
      </c>
      <c r="E118">
        <v>5</v>
      </c>
      <c r="F118">
        <v>5</v>
      </c>
      <c r="G118">
        <v>6</v>
      </c>
      <c r="H118">
        <v>6</v>
      </c>
      <c r="I118">
        <f t="shared" si="2"/>
        <v>5.5</v>
      </c>
    </row>
    <row r="119" spans="4:11" x14ac:dyDescent="0.2">
      <c r="D119" t="s">
        <v>81</v>
      </c>
      <c r="E119">
        <v>1</v>
      </c>
      <c r="F119">
        <v>3</v>
      </c>
      <c r="G119">
        <v>7</v>
      </c>
      <c r="H119">
        <v>7</v>
      </c>
      <c r="I119">
        <f t="shared" si="2"/>
        <v>4.5</v>
      </c>
    </row>
    <row r="120" spans="4:11" x14ac:dyDescent="0.2">
      <c r="D120" t="s">
        <v>83</v>
      </c>
      <c r="E120">
        <v>4</v>
      </c>
      <c r="F120">
        <v>2</v>
      </c>
      <c r="G120">
        <v>4</v>
      </c>
      <c r="H120">
        <v>5</v>
      </c>
      <c r="I120">
        <f t="shared" si="2"/>
        <v>3.75</v>
      </c>
    </row>
    <row r="121" spans="4:11" x14ac:dyDescent="0.2">
      <c r="D121" t="s">
        <v>84</v>
      </c>
      <c r="E121">
        <v>6</v>
      </c>
      <c r="F121">
        <v>6</v>
      </c>
      <c r="G121">
        <v>6</v>
      </c>
      <c r="H121">
        <v>6</v>
      </c>
      <c r="I121">
        <f t="shared" si="2"/>
        <v>6</v>
      </c>
    </row>
    <row r="122" spans="4:11" x14ac:dyDescent="0.2">
      <c r="D122" t="s">
        <v>86</v>
      </c>
      <c r="E122">
        <v>5</v>
      </c>
      <c r="F122">
        <v>4</v>
      </c>
      <c r="G122">
        <v>6</v>
      </c>
      <c r="H122">
        <v>7</v>
      </c>
      <c r="I122">
        <f t="shared" si="2"/>
        <v>5.5</v>
      </c>
    </row>
    <row r="123" spans="4:11" x14ac:dyDescent="0.2">
      <c r="D123" t="s">
        <v>87</v>
      </c>
      <c r="E123">
        <v>6</v>
      </c>
      <c r="F123">
        <v>6</v>
      </c>
      <c r="G123">
        <v>6</v>
      </c>
      <c r="H123">
        <v>6</v>
      </c>
      <c r="I123">
        <f t="shared" si="2"/>
        <v>6</v>
      </c>
    </row>
    <row r="124" spans="4:11" x14ac:dyDescent="0.2">
      <c r="D124" t="s">
        <v>89</v>
      </c>
      <c r="E124">
        <v>1</v>
      </c>
      <c r="F124">
        <v>3</v>
      </c>
      <c r="G124">
        <v>5</v>
      </c>
      <c r="H124">
        <v>6</v>
      </c>
      <c r="I124">
        <f t="shared" si="2"/>
        <v>3.75</v>
      </c>
    </row>
    <row r="125" spans="4:11" x14ac:dyDescent="0.2">
      <c r="D125" t="s">
        <v>90</v>
      </c>
      <c r="E125">
        <v>4</v>
      </c>
      <c r="F125">
        <v>4</v>
      </c>
      <c r="G125">
        <v>6</v>
      </c>
      <c r="H125">
        <v>5</v>
      </c>
      <c r="I125">
        <f t="shared" si="2"/>
        <v>4.75</v>
      </c>
    </row>
    <row r="126" spans="4:11" x14ac:dyDescent="0.2">
      <c r="D126" t="s">
        <v>91</v>
      </c>
      <c r="E126">
        <v>7</v>
      </c>
      <c r="F126">
        <v>7</v>
      </c>
      <c r="G126">
        <v>7</v>
      </c>
      <c r="H126">
        <v>7</v>
      </c>
      <c r="I126">
        <f t="shared" si="2"/>
        <v>7</v>
      </c>
    </row>
    <row r="127" spans="4:11" x14ac:dyDescent="0.2">
      <c r="D127" t="s">
        <v>92</v>
      </c>
      <c r="E127">
        <v>7</v>
      </c>
      <c r="F127">
        <v>7</v>
      </c>
      <c r="G127">
        <v>7</v>
      </c>
      <c r="H127">
        <v>7</v>
      </c>
      <c r="I127">
        <f t="shared" si="2"/>
        <v>7</v>
      </c>
    </row>
    <row r="128" spans="4:11" x14ac:dyDescent="0.2">
      <c r="D128" t="s">
        <v>94</v>
      </c>
      <c r="E128">
        <v>5</v>
      </c>
      <c r="F128">
        <v>5</v>
      </c>
      <c r="G128">
        <v>5</v>
      </c>
      <c r="H128">
        <v>5</v>
      </c>
      <c r="I128">
        <f t="shared" si="2"/>
        <v>5</v>
      </c>
    </row>
    <row r="129" spans="4:9" x14ac:dyDescent="0.2">
      <c r="D129" t="s">
        <v>95</v>
      </c>
      <c r="E129">
        <v>4</v>
      </c>
      <c r="F129">
        <v>5</v>
      </c>
      <c r="G129">
        <v>4</v>
      </c>
      <c r="H129">
        <v>6</v>
      </c>
      <c r="I129">
        <f t="shared" si="2"/>
        <v>4.75</v>
      </c>
    </row>
    <row r="130" spans="4:9" x14ac:dyDescent="0.2">
      <c r="D130" t="s">
        <v>96</v>
      </c>
      <c r="E130">
        <v>5</v>
      </c>
      <c r="F130">
        <v>4</v>
      </c>
      <c r="G130">
        <v>6</v>
      </c>
      <c r="H130">
        <v>4</v>
      </c>
      <c r="I130">
        <f t="shared" si="2"/>
        <v>4.75</v>
      </c>
    </row>
    <row r="131" spans="4:9" x14ac:dyDescent="0.2">
      <c r="D131" t="s">
        <v>98</v>
      </c>
      <c r="E131">
        <v>6</v>
      </c>
      <c r="F131">
        <v>5</v>
      </c>
      <c r="G131">
        <v>6</v>
      </c>
      <c r="H131">
        <v>6</v>
      </c>
      <c r="I131">
        <f t="shared" ref="I131:I194" si="4">AVERAGE(E131:H131)</f>
        <v>5.75</v>
      </c>
    </row>
    <row r="132" spans="4:9" x14ac:dyDescent="0.2">
      <c r="D132" t="s">
        <v>99</v>
      </c>
      <c r="E132">
        <v>5</v>
      </c>
      <c r="F132">
        <v>5</v>
      </c>
      <c r="G132">
        <v>5</v>
      </c>
      <c r="H132">
        <v>5</v>
      </c>
      <c r="I132">
        <f t="shared" si="4"/>
        <v>5</v>
      </c>
    </row>
    <row r="133" spans="4:9" x14ac:dyDescent="0.2">
      <c r="D133" t="s">
        <v>100</v>
      </c>
      <c r="E133">
        <v>6</v>
      </c>
      <c r="F133">
        <v>7</v>
      </c>
      <c r="G133">
        <v>6</v>
      </c>
      <c r="H133">
        <v>6</v>
      </c>
      <c r="I133">
        <f t="shared" si="4"/>
        <v>6.25</v>
      </c>
    </row>
    <row r="134" spans="4:9" x14ac:dyDescent="0.2">
      <c r="D134" t="s">
        <v>101</v>
      </c>
      <c r="E134">
        <v>3</v>
      </c>
      <c r="F134">
        <v>5</v>
      </c>
      <c r="G134">
        <v>5</v>
      </c>
      <c r="H134">
        <v>6</v>
      </c>
      <c r="I134">
        <f t="shared" si="4"/>
        <v>4.75</v>
      </c>
    </row>
    <row r="135" spans="4:9" x14ac:dyDescent="0.2">
      <c r="D135" t="s">
        <v>102</v>
      </c>
      <c r="E135">
        <v>4</v>
      </c>
      <c r="F135">
        <v>5</v>
      </c>
      <c r="G135">
        <v>6</v>
      </c>
      <c r="H135">
        <v>6</v>
      </c>
      <c r="I135">
        <f t="shared" si="4"/>
        <v>5.25</v>
      </c>
    </row>
    <row r="136" spans="4:9" x14ac:dyDescent="0.2">
      <c r="D136" t="s">
        <v>103</v>
      </c>
      <c r="E136">
        <v>1</v>
      </c>
      <c r="F136">
        <v>3</v>
      </c>
      <c r="G136">
        <v>3</v>
      </c>
      <c r="H136">
        <v>5</v>
      </c>
      <c r="I136">
        <f t="shared" si="4"/>
        <v>3</v>
      </c>
    </row>
    <row r="137" spans="4:9" x14ac:dyDescent="0.2">
      <c r="D137" t="s">
        <v>104</v>
      </c>
      <c r="E137">
        <v>6</v>
      </c>
      <c r="F137">
        <v>6</v>
      </c>
      <c r="G137">
        <v>6</v>
      </c>
      <c r="H137">
        <v>6</v>
      </c>
      <c r="I137">
        <f t="shared" si="4"/>
        <v>6</v>
      </c>
    </row>
    <row r="138" spans="4:9" x14ac:dyDescent="0.2">
      <c r="D138" t="s">
        <v>105</v>
      </c>
      <c r="E138">
        <v>4</v>
      </c>
      <c r="F138">
        <v>6</v>
      </c>
      <c r="G138">
        <v>6</v>
      </c>
      <c r="H138">
        <v>5</v>
      </c>
      <c r="I138">
        <f t="shared" si="4"/>
        <v>5.25</v>
      </c>
    </row>
    <row r="139" spans="4:9" x14ac:dyDescent="0.2">
      <c r="D139" t="s">
        <v>106</v>
      </c>
      <c r="E139">
        <v>5</v>
      </c>
      <c r="F139">
        <v>5</v>
      </c>
      <c r="G139">
        <v>7</v>
      </c>
      <c r="H139">
        <v>7</v>
      </c>
      <c r="I139">
        <f t="shared" si="4"/>
        <v>6</v>
      </c>
    </row>
    <row r="140" spans="4:9" x14ac:dyDescent="0.2">
      <c r="D140" t="s">
        <v>107</v>
      </c>
      <c r="E140">
        <v>6</v>
      </c>
      <c r="F140">
        <v>6</v>
      </c>
      <c r="G140">
        <v>6</v>
      </c>
      <c r="H140">
        <v>7</v>
      </c>
      <c r="I140">
        <f t="shared" si="4"/>
        <v>6.25</v>
      </c>
    </row>
    <row r="141" spans="4:9" x14ac:dyDescent="0.2">
      <c r="D141" t="s">
        <v>108</v>
      </c>
      <c r="E141">
        <v>6</v>
      </c>
      <c r="F141">
        <v>6</v>
      </c>
      <c r="G141">
        <v>6</v>
      </c>
      <c r="H141">
        <v>6</v>
      </c>
      <c r="I141">
        <f t="shared" si="4"/>
        <v>6</v>
      </c>
    </row>
    <row r="142" spans="4:9" x14ac:dyDescent="0.2">
      <c r="D142" t="s">
        <v>109</v>
      </c>
      <c r="E142">
        <v>6</v>
      </c>
      <c r="F142">
        <v>6</v>
      </c>
      <c r="G142">
        <v>5</v>
      </c>
      <c r="H142">
        <v>3</v>
      </c>
      <c r="I142">
        <f t="shared" si="4"/>
        <v>5</v>
      </c>
    </row>
    <row r="143" spans="4:9" x14ac:dyDescent="0.2">
      <c r="D143" t="s">
        <v>110</v>
      </c>
      <c r="E143">
        <v>2</v>
      </c>
      <c r="F143">
        <v>4</v>
      </c>
      <c r="G143">
        <v>3</v>
      </c>
      <c r="H143">
        <v>5</v>
      </c>
      <c r="I143">
        <f t="shared" si="4"/>
        <v>3.5</v>
      </c>
    </row>
    <row r="144" spans="4:9" x14ac:dyDescent="0.2">
      <c r="D144" t="s">
        <v>111</v>
      </c>
      <c r="E144">
        <v>4</v>
      </c>
      <c r="F144">
        <v>6</v>
      </c>
      <c r="G144">
        <v>6</v>
      </c>
      <c r="H144">
        <v>6</v>
      </c>
      <c r="I144">
        <f t="shared" si="4"/>
        <v>5.5</v>
      </c>
    </row>
    <row r="145" spans="4:9" x14ac:dyDescent="0.2">
      <c r="D145" t="s">
        <v>112</v>
      </c>
      <c r="E145">
        <v>3</v>
      </c>
      <c r="F145">
        <v>3</v>
      </c>
      <c r="G145">
        <v>3</v>
      </c>
      <c r="H145">
        <v>3</v>
      </c>
      <c r="I145">
        <f t="shared" si="4"/>
        <v>3</v>
      </c>
    </row>
    <row r="146" spans="4:9" x14ac:dyDescent="0.2">
      <c r="D146" t="s">
        <v>113</v>
      </c>
      <c r="E146">
        <v>1</v>
      </c>
      <c r="F146">
        <v>2</v>
      </c>
      <c r="G146">
        <v>6</v>
      </c>
      <c r="H146">
        <v>6</v>
      </c>
      <c r="I146">
        <f t="shared" si="4"/>
        <v>3.75</v>
      </c>
    </row>
    <row r="147" spans="4:9" x14ac:dyDescent="0.2">
      <c r="D147" t="s">
        <v>114</v>
      </c>
      <c r="E147">
        <v>7</v>
      </c>
      <c r="F147">
        <v>7</v>
      </c>
      <c r="G147">
        <v>7</v>
      </c>
      <c r="H147">
        <v>3</v>
      </c>
      <c r="I147">
        <f t="shared" si="4"/>
        <v>6</v>
      </c>
    </row>
    <row r="148" spans="4:9" x14ac:dyDescent="0.2">
      <c r="D148" t="s">
        <v>115</v>
      </c>
      <c r="E148">
        <v>2</v>
      </c>
      <c r="F148">
        <v>4</v>
      </c>
      <c r="G148">
        <v>6</v>
      </c>
      <c r="H148">
        <v>7</v>
      </c>
      <c r="I148">
        <f t="shared" si="4"/>
        <v>4.75</v>
      </c>
    </row>
    <row r="149" spans="4:9" x14ac:dyDescent="0.2">
      <c r="D149" t="s">
        <v>116</v>
      </c>
      <c r="E149">
        <v>5</v>
      </c>
      <c r="F149">
        <v>5</v>
      </c>
      <c r="G149">
        <v>5</v>
      </c>
      <c r="H149">
        <v>5</v>
      </c>
      <c r="I149">
        <f t="shared" si="4"/>
        <v>5</v>
      </c>
    </row>
    <row r="150" spans="4:9" x14ac:dyDescent="0.2">
      <c r="D150" t="s">
        <v>117</v>
      </c>
      <c r="E150">
        <v>2</v>
      </c>
      <c r="F150">
        <v>1</v>
      </c>
      <c r="G150">
        <v>5</v>
      </c>
      <c r="H150">
        <v>3</v>
      </c>
      <c r="I150">
        <f t="shared" si="4"/>
        <v>2.75</v>
      </c>
    </row>
    <row r="151" spans="4:9" x14ac:dyDescent="0.2">
      <c r="D151" t="s">
        <v>118</v>
      </c>
      <c r="E151">
        <v>2</v>
      </c>
      <c r="F151">
        <v>2</v>
      </c>
      <c r="G151">
        <v>3</v>
      </c>
      <c r="H151">
        <v>3</v>
      </c>
      <c r="I151">
        <f t="shared" si="4"/>
        <v>2.5</v>
      </c>
    </row>
    <row r="152" spans="4:9" x14ac:dyDescent="0.2">
      <c r="D152" t="s">
        <v>119</v>
      </c>
      <c r="E152">
        <v>4</v>
      </c>
      <c r="F152">
        <v>6</v>
      </c>
      <c r="G152">
        <v>6</v>
      </c>
      <c r="H152">
        <v>6</v>
      </c>
      <c r="I152">
        <f t="shared" si="4"/>
        <v>5.5</v>
      </c>
    </row>
    <row r="153" spans="4:9" x14ac:dyDescent="0.2">
      <c r="D153" t="s">
        <v>120</v>
      </c>
      <c r="E153">
        <v>4</v>
      </c>
      <c r="F153">
        <v>4</v>
      </c>
      <c r="G153">
        <v>4</v>
      </c>
      <c r="H153">
        <v>4</v>
      </c>
      <c r="I153">
        <f t="shared" si="4"/>
        <v>4</v>
      </c>
    </row>
    <row r="154" spans="4:9" x14ac:dyDescent="0.2">
      <c r="D154" t="s">
        <v>121</v>
      </c>
      <c r="E154">
        <v>1</v>
      </c>
      <c r="F154">
        <v>3</v>
      </c>
      <c r="G154">
        <v>2</v>
      </c>
      <c r="H154">
        <v>5</v>
      </c>
      <c r="I154">
        <f t="shared" si="4"/>
        <v>2.75</v>
      </c>
    </row>
    <row r="155" spans="4:9" x14ac:dyDescent="0.2">
      <c r="D155" t="s">
        <v>122</v>
      </c>
      <c r="E155">
        <v>6</v>
      </c>
      <c r="F155">
        <v>7</v>
      </c>
      <c r="G155">
        <v>7</v>
      </c>
      <c r="H155">
        <v>7</v>
      </c>
      <c r="I155">
        <f t="shared" si="4"/>
        <v>6.75</v>
      </c>
    </row>
    <row r="156" spans="4:9" x14ac:dyDescent="0.2">
      <c r="D156" t="s">
        <v>123</v>
      </c>
      <c r="E156">
        <v>4</v>
      </c>
      <c r="F156">
        <v>4</v>
      </c>
      <c r="G156">
        <v>4</v>
      </c>
      <c r="H156">
        <v>4</v>
      </c>
      <c r="I156">
        <f t="shared" si="4"/>
        <v>4</v>
      </c>
    </row>
    <row r="157" spans="4:9" x14ac:dyDescent="0.2">
      <c r="D157" t="s">
        <v>124</v>
      </c>
      <c r="E157">
        <v>5</v>
      </c>
      <c r="F157">
        <v>5</v>
      </c>
      <c r="G157">
        <v>5</v>
      </c>
      <c r="H157">
        <v>5</v>
      </c>
      <c r="I157">
        <f t="shared" si="4"/>
        <v>5</v>
      </c>
    </row>
    <row r="158" spans="4:9" x14ac:dyDescent="0.2">
      <c r="D158" t="s">
        <v>125</v>
      </c>
      <c r="E158">
        <v>7</v>
      </c>
      <c r="F158">
        <v>7</v>
      </c>
      <c r="G158">
        <v>7</v>
      </c>
      <c r="H158">
        <v>7</v>
      </c>
      <c r="I158">
        <f t="shared" si="4"/>
        <v>7</v>
      </c>
    </row>
    <row r="159" spans="4:9" x14ac:dyDescent="0.2">
      <c r="D159" t="s">
        <v>126</v>
      </c>
      <c r="E159">
        <v>5</v>
      </c>
      <c r="F159">
        <v>6</v>
      </c>
      <c r="G159">
        <v>6</v>
      </c>
      <c r="H159">
        <v>5</v>
      </c>
      <c r="I159">
        <f t="shared" si="4"/>
        <v>5.5</v>
      </c>
    </row>
    <row r="160" spans="4:9" x14ac:dyDescent="0.2">
      <c r="D160" t="s">
        <v>127</v>
      </c>
      <c r="E160">
        <v>4</v>
      </c>
      <c r="F160">
        <v>3</v>
      </c>
      <c r="G160">
        <v>5</v>
      </c>
      <c r="H160">
        <v>6</v>
      </c>
      <c r="I160">
        <f t="shared" si="4"/>
        <v>4.5</v>
      </c>
    </row>
    <row r="161" spans="4:9" x14ac:dyDescent="0.2">
      <c r="D161" t="s">
        <v>128</v>
      </c>
      <c r="E161">
        <v>5</v>
      </c>
      <c r="F161">
        <v>6</v>
      </c>
      <c r="G161">
        <v>5</v>
      </c>
      <c r="H161">
        <v>5</v>
      </c>
      <c r="I161">
        <f t="shared" si="4"/>
        <v>5.25</v>
      </c>
    </row>
    <row r="162" spans="4:9" x14ac:dyDescent="0.2">
      <c r="D162" t="s">
        <v>129</v>
      </c>
      <c r="E162">
        <v>2</v>
      </c>
      <c r="F162">
        <v>4</v>
      </c>
      <c r="G162">
        <v>4</v>
      </c>
      <c r="H162">
        <v>3</v>
      </c>
      <c r="I162">
        <f t="shared" si="4"/>
        <v>3.25</v>
      </c>
    </row>
    <row r="163" spans="4:9" x14ac:dyDescent="0.2">
      <c r="D163" t="s">
        <v>131</v>
      </c>
      <c r="E163">
        <v>7</v>
      </c>
      <c r="F163">
        <v>5</v>
      </c>
      <c r="G163">
        <v>5</v>
      </c>
      <c r="H163">
        <v>5</v>
      </c>
      <c r="I163">
        <f t="shared" si="4"/>
        <v>5.5</v>
      </c>
    </row>
    <row r="164" spans="4:9" x14ac:dyDescent="0.2">
      <c r="D164" t="s">
        <v>132</v>
      </c>
      <c r="E164">
        <v>6</v>
      </c>
      <c r="F164">
        <v>7</v>
      </c>
      <c r="G164">
        <v>6</v>
      </c>
      <c r="H164">
        <v>7</v>
      </c>
      <c r="I164">
        <f t="shared" si="4"/>
        <v>6.5</v>
      </c>
    </row>
    <row r="165" spans="4:9" x14ac:dyDescent="0.2">
      <c r="D165" t="s">
        <v>133</v>
      </c>
      <c r="E165">
        <v>4</v>
      </c>
      <c r="F165">
        <v>7</v>
      </c>
      <c r="G165">
        <v>6</v>
      </c>
      <c r="H165">
        <v>7</v>
      </c>
      <c r="I165">
        <f t="shared" si="4"/>
        <v>6</v>
      </c>
    </row>
    <row r="166" spans="4:9" x14ac:dyDescent="0.2">
      <c r="D166" t="s">
        <v>134</v>
      </c>
      <c r="E166">
        <v>1</v>
      </c>
      <c r="F166">
        <v>1</v>
      </c>
      <c r="G166">
        <v>5</v>
      </c>
      <c r="H166">
        <v>2</v>
      </c>
      <c r="I166">
        <f t="shared" si="4"/>
        <v>2.25</v>
      </c>
    </row>
    <row r="167" spans="4:9" x14ac:dyDescent="0.2">
      <c r="D167" t="s">
        <v>135</v>
      </c>
      <c r="E167">
        <v>5</v>
      </c>
      <c r="F167">
        <v>6</v>
      </c>
      <c r="G167">
        <v>7</v>
      </c>
      <c r="H167">
        <v>7</v>
      </c>
      <c r="I167">
        <f t="shared" si="4"/>
        <v>6.25</v>
      </c>
    </row>
    <row r="168" spans="4:9" x14ac:dyDescent="0.2">
      <c r="D168" t="s">
        <v>136</v>
      </c>
      <c r="E168">
        <v>5</v>
      </c>
      <c r="F168">
        <v>5</v>
      </c>
      <c r="G168">
        <v>4</v>
      </c>
      <c r="H168">
        <v>5</v>
      </c>
      <c r="I168">
        <f t="shared" si="4"/>
        <v>4.75</v>
      </c>
    </row>
    <row r="169" spans="4:9" x14ac:dyDescent="0.2">
      <c r="D169" t="s">
        <v>137</v>
      </c>
      <c r="E169">
        <v>5</v>
      </c>
      <c r="F169">
        <v>6</v>
      </c>
      <c r="G169">
        <v>5</v>
      </c>
      <c r="H169">
        <v>7</v>
      </c>
      <c r="I169">
        <f t="shared" si="4"/>
        <v>5.75</v>
      </c>
    </row>
    <row r="170" spans="4:9" x14ac:dyDescent="0.2">
      <c r="D170" t="s">
        <v>138</v>
      </c>
      <c r="E170">
        <v>3</v>
      </c>
      <c r="F170">
        <v>2</v>
      </c>
      <c r="G170">
        <v>5</v>
      </c>
      <c r="H170">
        <v>3</v>
      </c>
      <c r="I170">
        <f t="shared" si="4"/>
        <v>3.25</v>
      </c>
    </row>
    <row r="171" spans="4:9" x14ac:dyDescent="0.2">
      <c r="D171" t="s">
        <v>139</v>
      </c>
      <c r="E171">
        <v>7</v>
      </c>
      <c r="F171">
        <v>7</v>
      </c>
      <c r="G171">
        <v>7</v>
      </c>
      <c r="H171">
        <v>7</v>
      </c>
      <c r="I171">
        <f t="shared" si="4"/>
        <v>7</v>
      </c>
    </row>
    <row r="172" spans="4:9" x14ac:dyDescent="0.2">
      <c r="D172" t="s">
        <v>140</v>
      </c>
      <c r="E172">
        <v>3</v>
      </c>
      <c r="F172">
        <v>5</v>
      </c>
      <c r="G172">
        <v>3</v>
      </c>
      <c r="H172">
        <v>4</v>
      </c>
      <c r="I172">
        <f t="shared" si="4"/>
        <v>3.75</v>
      </c>
    </row>
    <row r="173" spans="4:9" x14ac:dyDescent="0.2">
      <c r="D173" t="s">
        <v>141</v>
      </c>
      <c r="E173">
        <v>5</v>
      </c>
      <c r="F173">
        <v>5</v>
      </c>
      <c r="G173">
        <v>6</v>
      </c>
      <c r="H173">
        <v>4</v>
      </c>
      <c r="I173">
        <f t="shared" si="4"/>
        <v>5</v>
      </c>
    </row>
    <row r="174" spans="4:9" x14ac:dyDescent="0.2">
      <c r="D174" t="s">
        <v>142</v>
      </c>
      <c r="E174">
        <v>1</v>
      </c>
      <c r="F174">
        <v>1</v>
      </c>
      <c r="G174">
        <v>7</v>
      </c>
      <c r="H174">
        <v>7</v>
      </c>
      <c r="I174">
        <f t="shared" si="4"/>
        <v>4</v>
      </c>
    </row>
    <row r="175" spans="4:9" x14ac:dyDescent="0.2">
      <c r="D175" t="s">
        <v>143</v>
      </c>
      <c r="E175">
        <v>4</v>
      </c>
      <c r="F175">
        <v>7</v>
      </c>
      <c r="G175">
        <v>5</v>
      </c>
      <c r="H175">
        <v>4</v>
      </c>
      <c r="I175">
        <f t="shared" si="4"/>
        <v>5</v>
      </c>
    </row>
    <row r="176" spans="4:9" x14ac:dyDescent="0.2">
      <c r="D176" t="s">
        <v>144</v>
      </c>
      <c r="E176">
        <v>1</v>
      </c>
      <c r="F176">
        <v>1</v>
      </c>
      <c r="G176">
        <v>3</v>
      </c>
      <c r="H176">
        <v>4</v>
      </c>
      <c r="I176">
        <f t="shared" si="4"/>
        <v>2.25</v>
      </c>
    </row>
    <row r="177" spans="4:9" x14ac:dyDescent="0.2">
      <c r="D177" t="s">
        <v>145</v>
      </c>
      <c r="E177">
        <v>6</v>
      </c>
      <c r="F177">
        <v>7</v>
      </c>
      <c r="G177">
        <v>7</v>
      </c>
      <c r="H177">
        <v>7</v>
      </c>
      <c r="I177">
        <f t="shared" si="4"/>
        <v>6.75</v>
      </c>
    </row>
    <row r="178" spans="4:9" x14ac:dyDescent="0.2">
      <c r="D178" t="s">
        <v>146</v>
      </c>
      <c r="E178">
        <v>3</v>
      </c>
      <c r="F178">
        <v>5</v>
      </c>
      <c r="G178">
        <v>6</v>
      </c>
      <c r="H178">
        <v>7</v>
      </c>
      <c r="I178">
        <f t="shared" si="4"/>
        <v>5.25</v>
      </c>
    </row>
    <row r="179" spans="4:9" x14ac:dyDescent="0.2">
      <c r="D179" t="s">
        <v>147</v>
      </c>
      <c r="E179">
        <v>3</v>
      </c>
      <c r="F179">
        <v>3</v>
      </c>
      <c r="G179">
        <v>5</v>
      </c>
      <c r="H179">
        <v>4</v>
      </c>
      <c r="I179">
        <f t="shared" si="4"/>
        <v>3.75</v>
      </c>
    </row>
    <row r="180" spans="4:9" x14ac:dyDescent="0.2">
      <c r="D180" t="s">
        <v>148</v>
      </c>
      <c r="E180">
        <v>7</v>
      </c>
      <c r="F180">
        <v>7</v>
      </c>
      <c r="G180">
        <v>7</v>
      </c>
      <c r="H180">
        <v>7</v>
      </c>
      <c r="I180">
        <f t="shared" si="4"/>
        <v>7</v>
      </c>
    </row>
    <row r="181" spans="4:9" x14ac:dyDescent="0.2">
      <c r="D181" t="s">
        <v>149</v>
      </c>
      <c r="E181">
        <v>3</v>
      </c>
      <c r="F181">
        <v>3</v>
      </c>
      <c r="G181">
        <v>6</v>
      </c>
      <c r="H181">
        <v>6</v>
      </c>
      <c r="I181">
        <f t="shared" si="4"/>
        <v>4.5</v>
      </c>
    </row>
    <row r="182" spans="4:9" x14ac:dyDescent="0.2">
      <c r="D182" t="s">
        <v>150</v>
      </c>
      <c r="E182">
        <v>4</v>
      </c>
      <c r="F182">
        <v>4</v>
      </c>
      <c r="G182">
        <v>4</v>
      </c>
      <c r="H182">
        <v>5</v>
      </c>
      <c r="I182">
        <f t="shared" si="4"/>
        <v>4.25</v>
      </c>
    </row>
    <row r="183" spans="4:9" x14ac:dyDescent="0.2">
      <c r="D183" t="s">
        <v>151</v>
      </c>
      <c r="E183">
        <v>3</v>
      </c>
      <c r="F183">
        <v>7</v>
      </c>
      <c r="G183">
        <v>5</v>
      </c>
      <c r="H183">
        <v>7</v>
      </c>
      <c r="I183">
        <f t="shared" si="4"/>
        <v>5.5</v>
      </c>
    </row>
    <row r="184" spans="4:9" x14ac:dyDescent="0.2">
      <c r="D184" t="s">
        <v>152</v>
      </c>
      <c r="E184">
        <v>7</v>
      </c>
      <c r="F184">
        <v>7</v>
      </c>
      <c r="G184">
        <v>7</v>
      </c>
      <c r="H184">
        <v>7</v>
      </c>
      <c r="I184">
        <f t="shared" si="4"/>
        <v>7</v>
      </c>
    </row>
    <row r="185" spans="4:9" x14ac:dyDescent="0.2">
      <c r="D185" t="s">
        <v>153</v>
      </c>
      <c r="E185">
        <v>5</v>
      </c>
      <c r="F185">
        <v>6</v>
      </c>
      <c r="G185">
        <v>5</v>
      </c>
      <c r="H185">
        <v>6</v>
      </c>
      <c r="I185">
        <f t="shared" si="4"/>
        <v>5.5</v>
      </c>
    </row>
    <row r="186" spans="4:9" x14ac:dyDescent="0.2">
      <c r="D186" t="s">
        <v>154</v>
      </c>
      <c r="E186">
        <v>2</v>
      </c>
      <c r="F186">
        <v>3</v>
      </c>
      <c r="G186">
        <v>4</v>
      </c>
      <c r="H186">
        <v>5</v>
      </c>
      <c r="I186">
        <f t="shared" si="4"/>
        <v>3.5</v>
      </c>
    </row>
    <row r="187" spans="4:9" x14ac:dyDescent="0.2">
      <c r="D187" t="s">
        <v>155</v>
      </c>
      <c r="E187">
        <v>5</v>
      </c>
      <c r="F187">
        <v>5</v>
      </c>
      <c r="G187">
        <v>6</v>
      </c>
      <c r="H187">
        <v>6</v>
      </c>
      <c r="I187">
        <f t="shared" si="4"/>
        <v>5.5</v>
      </c>
    </row>
    <row r="188" spans="4:9" x14ac:dyDescent="0.2">
      <c r="D188" t="s">
        <v>156</v>
      </c>
      <c r="E188">
        <v>2</v>
      </c>
      <c r="F188">
        <v>4</v>
      </c>
      <c r="G188">
        <v>5</v>
      </c>
      <c r="H188">
        <v>4</v>
      </c>
      <c r="I188">
        <f t="shared" si="4"/>
        <v>3.75</v>
      </c>
    </row>
    <row r="189" spans="4:9" x14ac:dyDescent="0.2">
      <c r="D189" t="s">
        <v>157</v>
      </c>
      <c r="E189">
        <v>6</v>
      </c>
      <c r="F189">
        <v>6</v>
      </c>
      <c r="G189">
        <v>7</v>
      </c>
      <c r="H189">
        <v>7</v>
      </c>
      <c r="I189">
        <f t="shared" si="4"/>
        <v>6.5</v>
      </c>
    </row>
    <row r="190" spans="4:9" x14ac:dyDescent="0.2">
      <c r="D190" t="s">
        <v>158</v>
      </c>
      <c r="E190">
        <v>7</v>
      </c>
      <c r="F190">
        <v>4</v>
      </c>
      <c r="G190">
        <v>3</v>
      </c>
      <c r="H190">
        <v>5</v>
      </c>
      <c r="I190">
        <f t="shared" si="4"/>
        <v>4.75</v>
      </c>
    </row>
    <row r="191" spans="4:9" x14ac:dyDescent="0.2">
      <c r="D191" t="s">
        <v>159</v>
      </c>
      <c r="E191">
        <v>3</v>
      </c>
      <c r="F191">
        <v>2</v>
      </c>
      <c r="G191">
        <v>3</v>
      </c>
      <c r="H191">
        <v>2</v>
      </c>
      <c r="I191">
        <f t="shared" si="4"/>
        <v>2.5</v>
      </c>
    </row>
    <row r="192" spans="4:9" x14ac:dyDescent="0.2">
      <c r="D192" t="s">
        <v>160</v>
      </c>
      <c r="E192">
        <v>2</v>
      </c>
      <c r="F192">
        <v>2</v>
      </c>
      <c r="G192">
        <v>6</v>
      </c>
      <c r="H192">
        <v>4</v>
      </c>
      <c r="I192">
        <f t="shared" si="4"/>
        <v>3.5</v>
      </c>
    </row>
    <row r="193" spans="4:9" x14ac:dyDescent="0.2">
      <c r="D193" t="s">
        <v>161</v>
      </c>
      <c r="E193">
        <v>3</v>
      </c>
      <c r="F193">
        <v>3</v>
      </c>
      <c r="G193">
        <v>7</v>
      </c>
      <c r="H193">
        <v>6</v>
      </c>
      <c r="I193">
        <f t="shared" si="4"/>
        <v>4.75</v>
      </c>
    </row>
    <row r="194" spans="4:9" x14ac:dyDescent="0.2">
      <c r="D194" t="s">
        <v>162</v>
      </c>
      <c r="E194">
        <v>6</v>
      </c>
      <c r="F194">
        <v>6</v>
      </c>
      <c r="G194">
        <v>4</v>
      </c>
      <c r="H194">
        <v>7</v>
      </c>
      <c r="I194">
        <f t="shared" si="4"/>
        <v>5.75</v>
      </c>
    </row>
    <row r="195" spans="4:9" x14ac:dyDescent="0.2">
      <c r="D195" t="s">
        <v>163</v>
      </c>
      <c r="E195">
        <v>5</v>
      </c>
      <c r="F195">
        <v>4</v>
      </c>
      <c r="G195">
        <v>6</v>
      </c>
      <c r="H195">
        <v>6</v>
      </c>
      <c r="I195">
        <f t="shared" ref="I195:I258" si="5">AVERAGE(E195:H195)</f>
        <v>5.25</v>
      </c>
    </row>
    <row r="196" spans="4:9" x14ac:dyDescent="0.2">
      <c r="D196" t="s">
        <v>165</v>
      </c>
      <c r="E196">
        <v>7</v>
      </c>
      <c r="F196">
        <v>7</v>
      </c>
      <c r="G196">
        <v>7</v>
      </c>
      <c r="H196">
        <v>7</v>
      </c>
      <c r="I196">
        <f t="shared" si="5"/>
        <v>7</v>
      </c>
    </row>
    <row r="197" spans="4:9" x14ac:dyDescent="0.2">
      <c r="D197" t="s">
        <v>166</v>
      </c>
      <c r="E197">
        <v>1</v>
      </c>
      <c r="F197">
        <v>2</v>
      </c>
      <c r="G197">
        <v>2</v>
      </c>
      <c r="H197">
        <v>2</v>
      </c>
      <c r="I197">
        <f t="shared" si="5"/>
        <v>1.75</v>
      </c>
    </row>
    <row r="198" spans="4:9" x14ac:dyDescent="0.2">
      <c r="D198" t="s">
        <v>167</v>
      </c>
      <c r="E198">
        <v>4</v>
      </c>
      <c r="F198">
        <v>5</v>
      </c>
      <c r="G198">
        <v>5</v>
      </c>
      <c r="H198">
        <v>7</v>
      </c>
      <c r="I198">
        <f t="shared" si="5"/>
        <v>5.25</v>
      </c>
    </row>
    <row r="199" spans="4:9" x14ac:dyDescent="0.2">
      <c r="D199" t="s">
        <v>168</v>
      </c>
      <c r="E199">
        <v>3</v>
      </c>
      <c r="F199">
        <v>5</v>
      </c>
      <c r="G199">
        <v>6</v>
      </c>
      <c r="H199">
        <v>6</v>
      </c>
      <c r="I199">
        <f t="shared" si="5"/>
        <v>5</v>
      </c>
    </row>
    <row r="200" spans="4:9" x14ac:dyDescent="0.2">
      <c r="D200" t="s">
        <v>170</v>
      </c>
      <c r="E200">
        <v>7</v>
      </c>
      <c r="F200">
        <v>7</v>
      </c>
      <c r="G200">
        <v>7</v>
      </c>
      <c r="H200">
        <v>7</v>
      </c>
      <c r="I200">
        <f t="shared" si="5"/>
        <v>7</v>
      </c>
    </row>
    <row r="201" spans="4:9" x14ac:dyDescent="0.2">
      <c r="D201" t="s">
        <v>171</v>
      </c>
      <c r="E201">
        <v>2</v>
      </c>
      <c r="F201">
        <v>2</v>
      </c>
      <c r="G201">
        <v>5</v>
      </c>
      <c r="H201">
        <v>5</v>
      </c>
      <c r="I201">
        <f t="shared" si="5"/>
        <v>3.5</v>
      </c>
    </row>
    <row r="202" spans="4:9" x14ac:dyDescent="0.2">
      <c r="D202" t="s">
        <v>172</v>
      </c>
      <c r="E202">
        <v>5</v>
      </c>
      <c r="F202">
        <v>5</v>
      </c>
      <c r="G202">
        <v>5</v>
      </c>
      <c r="H202">
        <v>5</v>
      </c>
      <c r="I202">
        <f t="shared" si="5"/>
        <v>5</v>
      </c>
    </row>
    <row r="203" spans="4:9" x14ac:dyDescent="0.2">
      <c r="D203" t="s">
        <v>173</v>
      </c>
      <c r="E203">
        <v>5</v>
      </c>
      <c r="F203">
        <v>6</v>
      </c>
      <c r="G203">
        <v>5</v>
      </c>
      <c r="H203">
        <v>6</v>
      </c>
      <c r="I203">
        <f t="shared" si="5"/>
        <v>5.5</v>
      </c>
    </row>
    <row r="204" spans="4:9" x14ac:dyDescent="0.2">
      <c r="D204" t="s">
        <v>174</v>
      </c>
      <c r="E204">
        <v>5</v>
      </c>
      <c r="F204">
        <v>3</v>
      </c>
      <c r="G204">
        <v>5</v>
      </c>
      <c r="H204">
        <v>5</v>
      </c>
      <c r="I204">
        <f t="shared" si="5"/>
        <v>4.5</v>
      </c>
    </row>
    <row r="205" spans="4:9" x14ac:dyDescent="0.2">
      <c r="D205" t="s">
        <v>177</v>
      </c>
      <c r="E205">
        <v>3</v>
      </c>
      <c r="F205">
        <v>4</v>
      </c>
      <c r="G205">
        <v>7</v>
      </c>
      <c r="H205">
        <v>2</v>
      </c>
      <c r="I205">
        <f t="shared" si="5"/>
        <v>4</v>
      </c>
    </row>
    <row r="206" spans="4:9" x14ac:dyDescent="0.2">
      <c r="D206" t="s">
        <v>178</v>
      </c>
      <c r="E206">
        <v>2</v>
      </c>
      <c r="F206">
        <v>3</v>
      </c>
      <c r="G206">
        <v>6</v>
      </c>
      <c r="H206">
        <v>5</v>
      </c>
      <c r="I206">
        <f t="shared" si="5"/>
        <v>4</v>
      </c>
    </row>
    <row r="207" spans="4:9" x14ac:dyDescent="0.2">
      <c r="D207" t="s">
        <v>179</v>
      </c>
      <c r="E207">
        <v>4</v>
      </c>
      <c r="F207">
        <v>4</v>
      </c>
      <c r="G207">
        <v>3</v>
      </c>
      <c r="H207">
        <v>3</v>
      </c>
      <c r="I207">
        <f t="shared" si="5"/>
        <v>3.5</v>
      </c>
    </row>
    <row r="208" spans="4:9" x14ac:dyDescent="0.2">
      <c r="D208" t="s">
        <v>180</v>
      </c>
      <c r="E208">
        <v>5</v>
      </c>
      <c r="F208">
        <v>5</v>
      </c>
      <c r="G208">
        <v>6</v>
      </c>
      <c r="H208">
        <v>6</v>
      </c>
      <c r="I208">
        <f t="shared" si="5"/>
        <v>5.5</v>
      </c>
    </row>
    <row r="209" spans="4:9" x14ac:dyDescent="0.2">
      <c r="D209" t="s">
        <v>181</v>
      </c>
      <c r="E209">
        <v>3</v>
      </c>
      <c r="F209">
        <v>4</v>
      </c>
      <c r="G209">
        <v>6</v>
      </c>
      <c r="H209">
        <v>7</v>
      </c>
      <c r="I209">
        <f t="shared" si="5"/>
        <v>5</v>
      </c>
    </row>
    <row r="210" spans="4:9" x14ac:dyDescent="0.2">
      <c r="D210" t="s">
        <v>182</v>
      </c>
      <c r="E210">
        <v>5</v>
      </c>
      <c r="F210">
        <v>6</v>
      </c>
      <c r="G210">
        <v>6</v>
      </c>
      <c r="H210">
        <v>7</v>
      </c>
      <c r="I210">
        <f t="shared" si="5"/>
        <v>6</v>
      </c>
    </row>
    <row r="211" spans="4:9" x14ac:dyDescent="0.2">
      <c r="D211" t="s">
        <v>183</v>
      </c>
      <c r="E211">
        <v>7</v>
      </c>
      <c r="F211">
        <v>7</v>
      </c>
      <c r="G211">
        <v>7</v>
      </c>
      <c r="H211">
        <v>4</v>
      </c>
      <c r="I211">
        <f t="shared" si="5"/>
        <v>6.25</v>
      </c>
    </row>
    <row r="212" spans="4:9" x14ac:dyDescent="0.2">
      <c r="D212" t="s">
        <v>184</v>
      </c>
      <c r="E212">
        <v>4</v>
      </c>
      <c r="F212">
        <v>5</v>
      </c>
      <c r="G212">
        <v>6</v>
      </c>
      <c r="H212">
        <v>6</v>
      </c>
      <c r="I212">
        <f t="shared" si="5"/>
        <v>5.25</v>
      </c>
    </row>
    <row r="213" spans="4:9" x14ac:dyDescent="0.2">
      <c r="D213" t="s">
        <v>185</v>
      </c>
      <c r="E213">
        <v>6</v>
      </c>
      <c r="F213">
        <v>7</v>
      </c>
      <c r="G213">
        <v>7</v>
      </c>
      <c r="H213">
        <v>7</v>
      </c>
      <c r="I213">
        <f t="shared" si="5"/>
        <v>6.75</v>
      </c>
    </row>
    <row r="214" spans="4:9" x14ac:dyDescent="0.2">
      <c r="D214" t="s">
        <v>186</v>
      </c>
      <c r="E214">
        <v>6</v>
      </c>
      <c r="F214">
        <v>7</v>
      </c>
      <c r="G214">
        <v>6</v>
      </c>
      <c r="H214">
        <v>7</v>
      </c>
      <c r="I214">
        <f t="shared" si="5"/>
        <v>6.5</v>
      </c>
    </row>
    <row r="215" spans="4:9" x14ac:dyDescent="0.2">
      <c r="D215" t="s">
        <v>187</v>
      </c>
      <c r="E215">
        <v>6</v>
      </c>
      <c r="F215">
        <v>5</v>
      </c>
      <c r="G215">
        <v>4</v>
      </c>
      <c r="H215">
        <v>6</v>
      </c>
      <c r="I215">
        <f t="shared" si="5"/>
        <v>5.25</v>
      </c>
    </row>
    <row r="216" spans="4:9" x14ac:dyDescent="0.2">
      <c r="D216" t="s">
        <v>188</v>
      </c>
      <c r="E216">
        <v>3</v>
      </c>
      <c r="F216">
        <v>4</v>
      </c>
      <c r="G216">
        <v>6</v>
      </c>
      <c r="H216">
        <v>7</v>
      </c>
      <c r="I216">
        <f t="shared" si="5"/>
        <v>5</v>
      </c>
    </row>
    <row r="217" spans="4:9" x14ac:dyDescent="0.2">
      <c r="D217" t="s">
        <v>189</v>
      </c>
      <c r="E217">
        <v>5</v>
      </c>
      <c r="F217">
        <v>5</v>
      </c>
      <c r="G217">
        <v>5</v>
      </c>
      <c r="H217">
        <v>2</v>
      </c>
      <c r="I217">
        <f t="shared" si="5"/>
        <v>4.25</v>
      </c>
    </row>
    <row r="218" spans="4:9" x14ac:dyDescent="0.2">
      <c r="D218" t="s">
        <v>190</v>
      </c>
      <c r="E218">
        <v>2</v>
      </c>
      <c r="F218">
        <v>2</v>
      </c>
      <c r="G218">
        <v>2</v>
      </c>
      <c r="H218">
        <v>3</v>
      </c>
      <c r="I218">
        <f t="shared" si="5"/>
        <v>2.25</v>
      </c>
    </row>
    <row r="219" spans="4:9" x14ac:dyDescent="0.2">
      <c r="D219" t="s">
        <v>191</v>
      </c>
      <c r="E219">
        <v>5</v>
      </c>
      <c r="F219">
        <v>5</v>
      </c>
      <c r="G219">
        <v>6</v>
      </c>
      <c r="H219">
        <v>6</v>
      </c>
      <c r="I219">
        <f t="shared" si="5"/>
        <v>5.5</v>
      </c>
    </row>
    <row r="220" spans="4:9" x14ac:dyDescent="0.2">
      <c r="D220" t="s">
        <v>192</v>
      </c>
      <c r="E220">
        <v>1</v>
      </c>
      <c r="F220">
        <v>1</v>
      </c>
      <c r="G220">
        <v>1</v>
      </c>
      <c r="H220">
        <v>3</v>
      </c>
      <c r="I220">
        <f t="shared" si="5"/>
        <v>1.5</v>
      </c>
    </row>
    <row r="221" spans="4:9" x14ac:dyDescent="0.2">
      <c r="D221" t="s">
        <v>193</v>
      </c>
      <c r="E221">
        <v>3</v>
      </c>
      <c r="F221">
        <v>3</v>
      </c>
      <c r="G221">
        <v>5</v>
      </c>
      <c r="H221">
        <v>4</v>
      </c>
      <c r="I221">
        <f t="shared" si="5"/>
        <v>3.75</v>
      </c>
    </row>
    <row r="222" spans="4:9" x14ac:dyDescent="0.2">
      <c r="D222" t="s">
        <v>62</v>
      </c>
      <c r="E222">
        <v>6</v>
      </c>
      <c r="F222">
        <v>5</v>
      </c>
      <c r="G222">
        <v>3</v>
      </c>
      <c r="H222">
        <v>5</v>
      </c>
      <c r="I222">
        <f t="shared" si="5"/>
        <v>4.75</v>
      </c>
    </row>
    <row r="223" spans="4:9" x14ac:dyDescent="0.2">
      <c r="D223" t="s">
        <v>67</v>
      </c>
      <c r="E223">
        <v>5</v>
      </c>
      <c r="F223">
        <v>5</v>
      </c>
      <c r="G223">
        <v>4</v>
      </c>
      <c r="H223">
        <v>5</v>
      </c>
      <c r="I223">
        <f t="shared" si="5"/>
        <v>4.75</v>
      </c>
    </row>
    <row r="224" spans="4:9" x14ac:dyDescent="0.2">
      <c r="D224" t="s">
        <v>70</v>
      </c>
      <c r="E224">
        <v>6</v>
      </c>
      <c r="F224">
        <v>6</v>
      </c>
      <c r="G224">
        <v>6</v>
      </c>
      <c r="H224">
        <v>7</v>
      </c>
      <c r="I224">
        <f t="shared" si="5"/>
        <v>6.25</v>
      </c>
    </row>
    <row r="225" spans="4:9" x14ac:dyDescent="0.2">
      <c r="D225" t="s">
        <v>72</v>
      </c>
      <c r="E225">
        <v>1</v>
      </c>
      <c r="F225">
        <v>1</v>
      </c>
      <c r="G225">
        <v>6</v>
      </c>
      <c r="H225">
        <v>6</v>
      </c>
      <c r="I225">
        <f t="shared" si="5"/>
        <v>3.5</v>
      </c>
    </row>
    <row r="226" spans="4:9" x14ac:dyDescent="0.2">
      <c r="D226" t="s">
        <v>74</v>
      </c>
      <c r="E226">
        <v>2</v>
      </c>
      <c r="F226">
        <v>4</v>
      </c>
      <c r="G226">
        <v>5</v>
      </c>
      <c r="H226">
        <v>5</v>
      </c>
      <c r="I226">
        <f t="shared" si="5"/>
        <v>4</v>
      </c>
    </row>
    <row r="227" spans="4:9" x14ac:dyDescent="0.2">
      <c r="D227" t="s">
        <v>75</v>
      </c>
      <c r="E227">
        <v>7</v>
      </c>
      <c r="F227">
        <v>7</v>
      </c>
      <c r="G227">
        <v>7</v>
      </c>
      <c r="H227">
        <v>6</v>
      </c>
      <c r="I227">
        <f t="shared" si="5"/>
        <v>6.75</v>
      </c>
    </row>
    <row r="228" spans="4:9" x14ac:dyDescent="0.2">
      <c r="D228" t="s">
        <v>77</v>
      </c>
      <c r="E228">
        <v>6</v>
      </c>
      <c r="F228">
        <v>5</v>
      </c>
      <c r="G228">
        <v>7</v>
      </c>
      <c r="H228">
        <v>7</v>
      </c>
      <c r="I228">
        <f t="shared" si="5"/>
        <v>6.25</v>
      </c>
    </row>
    <row r="229" spans="4:9" x14ac:dyDescent="0.2">
      <c r="D229" t="s">
        <v>79</v>
      </c>
      <c r="E229">
        <v>6</v>
      </c>
      <c r="F229">
        <v>6</v>
      </c>
      <c r="G229">
        <v>6</v>
      </c>
      <c r="H229">
        <v>6</v>
      </c>
      <c r="I229">
        <f t="shared" si="5"/>
        <v>6</v>
      </c>
    </row>
    <row r="230" spans="4:9" x14ac:dyDescent="0.2">
      <c r="D230" t="s">
        <v>81</v>
      </c>
      <c r="E230">
        <v>3</v>
      </c>
      <c r="F230">
        <v>3</v>
      </c>
      <c r="G230">
        <v>5</v>
      </c>
      <c r="H230">
        <v>5</v>
      </c>
      <c r="I230">
        <f t="shared" si="5"/>
        <v>4</v>
      </c>
    </row>
    <row r="231" spans="4:9" x14ac:dyDescent="0.2">
      <c r="D231" t="s">
        <v>83</v>
      </c>
      <c r="E231">
        <v>3</v>
      </c>
      <c r="F231">
        <v>4</v>
      </c>
      <c r="G231">
        <v>6</v>
      </c>
      <c r="H231">
        <v>6</v>
      </c>
      <c r="I231">
        <f t="shared" si="5"/>
        <v>4.75</v>
      </c>
    </row>
    <row r="232" spans="4:9" x14ac:dyDescent="0.2">
      <c r="D232" t="s">
        <v>84</v>
      </c>
      <c r="E232">
        <v>6</v>
      </c>
      <c r="F232">
        <v>6</v>
      </c>
      <c r="G232">
        <v>6</v>
      </c>
      <c r="H232">
        <v>6</v>
      </c>
      <c r="I232">
        <f t="shared" si="5"/>
        <v>6</v>
      </c>
    </row>
    <row r="233" spans="4:9" x14ac:dyDescent="0.2">
      <c r="D233" t="s">
        <v>86</v>
      </c>
      <c r="E233">
        <v>5</v>
      </c>
      <c r="F233">
        <v>4</v>
      </c>
      <c r="G233">
        <v>5</v>
      </c>
      <c r="H233">
        <v>6</v>
      </c>
      <c r="I233">
        <f t="shared" si="5"/>
        <v>5</v>
      </c>
    </row>
    <row r="234" spans="4:9" x14ac:dyDescent="0.2">
      <c r="D234" t="s">
        <v>87</v>
      </c>
      <c r="E234">
        <v>7</v>
      </c>
      <c r="F234">
        <v>6</v>
      </c>
      <c r="G234">
        <v>6</v>
      </c>
      <c r="H234">
        <v>6</v>
      </c>
      <c r="I234">
        <f t="shared" si="5"/>
        <v>6.25</v>
      </c>
    </row>
    <row r="235" spans="4:9" x14ac:dyDescent="0.2">
      <c r="D235" t="s">
        <v>89</v>
      </c>
      <c r="E235">
        <v>1</v>
      </c>
      <c r="F235">
        <v>5</v>
      </c>
      <c r="G235">
        <v>5</v>
      </c>
      <c r="H235">
        <v>5</v>
      </c>
      <c r="I235">
        <f t="shared" si="5"/>
        <v>4</v>
      </c>
    </row>
    <row r="236" spans="4:9" x14ac:dyDescent="0.2">
      <c r="D236" t="s">
        <v>90</v>
      </c>
      <c r="E236">
        <v>5</v>
      </c>
      <c r="F236">
        <v>4</v>
      </c>
      <c r="G236">
        <v>5</v>
      </c>
      <c r="H236">
        <v>6</v>
      </c>
      <c r="I236">
        <f t="shared" si="5"/>
        <v>5</v>
      </c>
    </row>
    <row r="237" spans="4:9" x14ac:dyDescent="0.2">
      <c r="D237" t="s">
        <v>91</v>
      </c>
      <c r="E237">
        <v>1</v>
      </c>
      <c r="F237">
        <v>4</v>
      </c>
      <c r="G237">
        <v>7</v>
      </c>
      <c r="H237">
        <v>5</v>
      </c>
      <c r="I237">
        <f t="shared" si="5"/>
        <v>4.25</v>
      </c>
    </row>
    <row r="238" spans="4:9" x14ac:dyDescent="0.2">
      <c r="D238" t="s">
        <v>92</v>
      </c>
      <c r="E238">
        <v>7</v>
      </c>
      <c r="F238">
        <v>7</v>
      </c>
      <c r="G238">
        <v>7</v>
      </c>
      <c r="H238">
        <v>7</v>
      </c>
      <c r="I238">
        <f t="shared" si="5"/>
        <v>7</v>
      </c>
    </row>
    <row r="239" spans="4:9" x14ac:dyDescent="0.2">
      <c r="D239" t="s">
        <v>94</v>
      </c>
      <c r="E239">
        <v>4</v>
      </c>
      <c r="F239">
        <v>3</v>
      </c>
      <c r="G239">
        <v>4</v>
      </c>
      <c r="H239">
        <v>3</v>
      </c>
      <c r="I239">
        <f t="shared" si="5"/>
        <v>3.5</v>
      </c>
    </row>
    <row r="240" spans="4:9" x14ac:dyDescent="0.2">
      <c r="D240" t="s">
        <v>95</v>
      </c>
      <c r="E240">
        <v>4</v>
      </c>
      <c r="F240">
        <v>4</v>
      </c>
      <c r="G240">
        <v>4</v>
      </c>
      <c r="H240">
        <v>4</v>
      </c>
      <c r="I240">
        <f t="shared" si="5"/>
        <v>4</v>
      </c>
    </row>
    <row r="241" spans="4:9" x14ac:dyDescent="0.2">
      <c r="D241" t="s">
        <v>98</v>
      </c>
      <c r="E241">
        <v>6</v>
      </c>
      <c r="F241">
        <v>5</v>
      </c>
      <c r="G241">
        <v>6</v>
      </c>
      <c r="H241">
        <v>4</v>
      </c>
      <c r="I241">
        <f t="shared" si="5"/>
        <v>5.25</v>
      </c>
    </row>
    <row r="242" spans="4:9" x14ac:dyDescent="0.2">
      <c r="D242" t="s">
        <v>99</v>
      </c>
      <c r="E242">
        <v>5</v>
      </c>
      <c r="F242">
        <v>7</v>
      </c>
      <c r="G242">
        <v>7</v>
      </c>
      <c r="H242">
        <v>7</v>
      </c>
      <c r="I242">
        <f t="shared" si="5"/>
        <v>6.5</v>
      </c>
    </row>
    <row r="243" spans="4:9" x14ac:dyDescent="0.2">
      <c r="D243" t="s">
        <v>100</v>
      </c>
      <c r="E243">
        <v>1</v>
      </c>
      <c r="F243">
        <v>5</v>
      </c>
      <c r="G243">
        <v>6</v>
      </c>
      <c r="H243">
        <v>6</v>
      </c>
      <c r="I243">
        <f t="shared" si="5"/>
        <v>4.5</v>
      </c>
    </row>
    <row r="244" spans="4:9" x14ac:dyDescent="0.2">
      <c r="D244" t="s">
        <v>101</v>
      </c>
      <c r="E244">
        <v>2</v>
      </c>
      <c r="F244">
        <v>2</v>
      </c>
      <c r="G244">
        <v>2</v>
      </c>
      <c r="H244">
        <v>4</v>
      </c>
      <c r="I244">
        <f t="shared" si="5"/>
        <v>2.5</v>
      </c>
    </row>
    <row r="245" spans="4:9" x14ac:dyDescent="0.2">
      <c r="D245" t="s">
        <v>102</v>
      </c>
      <c r="E245">
        <v>6</v>
      </c>
      <c r="F245">
        <v>5</v>
      </c>
      <c r="G245">
        <v>6</v>
      </c>
      <c r="H245">
        <v>7</v>
      </c>
      <c r="I245">
        <f t="shared" si="5"/>
        <v>6</v>
      </c>
    </row>
    <row r="246" spans="4:9" x14ac:dyDescent="0.2">
      <c r="D246" t="s">
        <v>103</v>
      </c>
      <c r="E246">
        <v>7</v>
      </c>
      <c r="F246">
        <v>5</v>
      </c>
      <c r="G246">
        <v>6</v>
      </c>
      <c r="H246">
        <v>7</v>
      </c>
      <c r="I246">
        <f t="shared" si="5"/>
        <v>6.25</v>
      </c>
    </row>
    <row r="247" spans="4:9" x14ac:dyDescent="0.2">
      <c r="D247" t="s">
        <v>104</v>
      </c>
      <c r="E247">
        <v>7</v>
      </c>
      <c r="F247">
        <v>7</v>
      </c>
      <c r="G247">
        <v>7</v>
      </c>
      <c r="H247">
        <v>7</v>
      </c>
      <c r="I247">
        <f t="shared" si="5"/>
        <v>7</v>
      </c>
    </row>
    <row r="248" spans="4:9" x14ac:dyDescent="0.2">
      <c r="D248" t="s">
        <v>105</v>
      </c>
      <c r="E248">
        <v>7</v>
      </c>
      <c r="F248">
        <v>5</v>
      </c>
      <c r="G248">
        <v>6</v>
      </c>
      <c r="H248">
        <v>6</v>
      </c>
      <c r="I248">
        <f t="shared" si="5"/>
        <v>6</v>
      </c>
    </row>
    <row r="249" spans="4:9" x14ac:dyDescent="0.2">
      <c r="D249" t="s">
        <v>106</v>
      </c>
      <c r="E249">
        <v>4</v>
      </c>
      <c r="F249">
        <v>7</v>
      </c>
      <c r="G249">
        <v>7</v>
      </c>
      <c r="H249">
        <v>7</v>
      </c>
      <c r="I249">
        <f t="shared" si="5"/>
        <v>6.25</v>
      </c>
    </row>
    <row r="250" spans="4:9" x14ac:dyDescent="0.2">
      <c r="D250" t="s">
        <v>107</v>
      </c>
      <c r="E250">
        <v>6</v>
      </c>
      <c r="F250">
        <v>6</v>
      </c>
      <c r="G250">
        <v>6</v>
      </c>
      <c r="H250">
        <v>7</v>
      </c>
      <c r="I250">
        <f t="shared" si="5"/>
        <v>6.25</v>
      </c>
    </row>
    <row r="251" spans="4:9" x14ac:dyDescent="0.2">
      <c r="D251" t="s">
        <v>108</v>
      </c>
      <c r="E251">
        <v>3</v>
      </c>
      <c r="F251">
        <v>3</v>
      </c>
      <c r="G251">
        <v>3</v>
      </c>
      <c r="H251">
        <v>3</v>
      </c>
      <c r="I251">
        <f t="shared" si="5"/>
        <v>3</v>
      </c>
    </row>
    <row r="252" spans="4:9" x14ac:dyDescent="0.2">
      <c r="D252" t="s">
        <v>109</v>
      </c>
      <c r="E252">
        <v>2</v>
      </c>
      <c r="F252">
        <v>5</v>
      </c>
      <c r="G252">
        <v>2</v>
      </c>
      <c r="H252">
        <v>5</v>
      </c>
      <c r="I252">
        <f t="shared" si="5"/>
        <v>3.5</v>
      </c>
    </row>
    <row r="253" spans="4:9" x14ac:dyDescent="0.2">
      <c r="D253" t="s">
        <v>110</v>
      </c>
      <c r="E253">
        <v>6</v>
      </c>
      <c r="F253">
        <v>6</v>
      </c>
      <c r="G253">
        <v>6</v>
      </c>
      <c r="H253">
        <v>7</v>
      </c>
      <c r="I253">
        <f t="shared" si="5"/>
        <v>6.25</v>
      </c>
    </row>
    <row r="254" spans="4:9" x14ac:dyDescent="0.2">
      <c r="D254" t="s">
        <v>111</v>
      </c>
      <c r="E254">
        <v>3</v>
      </c>
      <c r="F254">
        <v>3</v>
      </c>
      <c r="G254">
        <v>5</v>
      </c>
      <c r="H254">
        <v>5</v>
      </c>
      <c r="I254">
        <f t="shared" si="5"/>
        <v>4</v>
      </c>
    </row>
    <row r="255" spans="4:9" x14ac:dyDescent="0.2">
      <c r="D255" t="s">
        <v>112</v>
      </c>
      <c r="E255">
        <v>7</v>
      </c>
      <c r="F255">
        <v>7</v>
      </c>
      <c r="G255">
        <v>7</v>
      </c>
      <c r="H255">
        <v>7</v>
      </c>
      <c r="I255">
        <f t="shared" si="5"/>
        <v>7</v>
      </c>
    </row>
    <row r="256" spans="4:9" x14ac:dyDescent="0.2">
      <c r="D256" t="s">
        <v>113</v>
      </c>
      <c r="E256">
        <v>6</v>
      </c>
      <c r="F256">
        <v>6</v>
      </c>
      <c r="G256">
        <v>6</v>
      </c>
      <c r="H256">
        <v>4</v>
      </c>
      <c r="I256">
        <f t="shared" si="5"/>
        <v>5.5</v>
      </c>
    </row>
    <row r="257" spans="4:9" x14ac:dyDescent="0.2">
      <c r="D257" t="s">
        <v>114</v>
      </c>
      <c r="E257">
        <v>6</v>
      </c>
      <c r="F257">
        <v>6</v>
      </c>
      <c r="G257">
        <v>7</v>
      </c>
      <c r="H257">
        <v>6</v>
      </c>
      <c r="I257">
        <f t="shared" si="5"/>
        <v>6.25</v>
      </c>
    </row>
    <row r="258" spans="4:9" x14ac:dyDescent="0.2">
      <c r="D258" t="s">
        <v>115</v>
      </c>
      <c r="E258">
        <v>4</v>
      </c>
      <c r="F258">
        <v>4</v>
      </c>
      <c r="G258">
        <v>5</v>
      </c>
      <c r="H258">
        <v>4</v>
      </c>
      <c r="I258">
        <f t="shared" si="5"/>
        <v>4.25</v>
      </c>
    </row>
    <row r="259" spans="4:9" x14ac:dyDescent="0.2">
      <c r="D259" t="s">
        <v>116</v>
      </c>
      <c r="E259">
        <v>6</v>
      </c>
      <c r="F259">
        <v>5</v>
      </c>
      <c r="G259">
        <v>6</v>
      </c>
      <c r="H259">
        <v>6</v>
      </c>
      <c r="I259">
        <f t="shared" ref="I259:I322" si="6">AVERAGE(E259:H259)</f>
        <v>5.75</v>
      </c>
    </row>
    <row r="260" spans="4:9" x14ac:dyDescent="0.2">
      <c r="D260" t="s">
        <v>117</v>
      </c>
      <c r="E260">
        <v>2</v>
      </c>
      <c r="F260">
        <v>2</v>
      </c>
      <c r="G260">
        <v>6</v>
      </c>
      <c r="H260">
        <v>5</v>
      </c>
      <c r="I260">
        <f t="shared" si="6"/>
        <v>3.75</v>
      </c>
    </row>
    <row r="261" spans="4:9" x14ac:dyDescent="0.2">
      <c r="D261" t="s">
        <v>118</v>
      </c>
      <c r="E261">
        <v>3</v>
      </c>
      <c r="F261">
        <v>3</v>
      </c>
      <c r="G261">
        <v>4</v>
      </c>
      <c r="H261">
        <v>4</v>
      </c>
      <c r="I261">
        <f t="shared" si="6"/>
        <v>3.5</v>
      </c>
    </row>
    <row r="262" spans="4:9" x14ac:dyDescent="0.2">
      <c r="D262" t="s">
        <v>119</v>
      </c>
      <c r="E262">
        <v>3</v>
      </c>
      <c r="F262">
        <v>3</v>
      </c>
      <c r="G262">
        <v>4</v>
      </c>
      <c r="H262">
        <v>6</v>
      </c>
      <c r="I262">
        <f t="shared" si="6"/>
        <v>4</v>
      </c>
    </row>
    <row r="263" spans="4:9" x14ac:dyDescent="0.2">
      <c r="D263" t="s">
        <v>120</v>
      </c>
      <c r="E263">
        <v>6</v>
      </c>
      <c r="F263">
        <v>5</v>
      </c>
      <c r="G263">
        <v>6</v>
      </c>
      <c r="H263">
        <v>7</v>
      </c>
      <c r="I263">
        <f t="shared" si="6"/>
        <v>6</v>
      </c>
    </row>
    <row r="264" spans="4:9" x14ac:dyDescent="0.2">
      <c r="D264" t="s">
        <v>121</v>
      </c>
      <c r="E264">
        <v>5</v>
      </c>
      <c r="F264">
        <v>5</v>
      </c>
      <c r="G264">
        <v>5</v>
      </c>
      <c r="H264">
        <v>4</v>
      </c>
      <c r="I264">
        <f t="shared" si="6"/>
        <v>4.75</v>
      </c>
    </row>
    <row r="265" spans="4:9" x14ac:dyDescent="0.2">
      <c r="D265" t="s">
        <v>122</v>
      </c>
      <c r="E265">
        <v>7</v>
      </c>
      <c r="F265">
        <v>7</v>
      </c>
      <c r="G265">
        <v>7</v>
      </c>
      <c r="H265">
        <v>7</v>
      </c>
      <c r="I265">
        <f t="shared" si="6"/>
        <v>7</v>
      </c>
    </row>
    <row r="266" spans="4:9" x14ac:dyDescent="0.2">
      <c r="D266" t="s">
        <v>123</v>
      </c>
      <c r="E266">
        <v>4</v>
      </c>
      <c r="F266">
        <v>5</v>
      </c>
      <c r="G266">
        <v>5</v>
      </c>
      <c r="H266">
        <v>5</v>
      </c>
      <c r="I266">
        <f t="shared" si="6"/>
        <v>4.75</v>
      </c>
    </row>
    <row r="267" spans="4:9" x14ac:dyDescent="0.2">
      <c r="D267" t="s">
        <v>124</v>
      </c>
      <c r="E267">
        <v>5</v>
      </c>
      <c r="F267">
        <v>5</v>
      </c>
      <c r="G267">
        <v>5</v>
      </c>
      <c r="H267">
        <v>4</v>
      </c>
      <c r="I267">
        <f t="shared" si="6"/>
        <v>4.75</v>
      </c>
    </row>
    <row r="268" spans="4:9" x14ac:dyDescent="0.2">
      <c r="D268" t="s">
        <v>125</v>
      </c>
      <c r="E268">
        <v>7</v>
      </c>
      <c r="F268">
        <v>7</v>
      </c>
      <c r="G268">
        <v>7</v>
      </c>
      <c r="H268">
        <v>7</v>
      </c>
      <c r="I268">
        <f t="shared" si="6"/>
        <v>7</v>
      </c>
    </row>
    <row r="269" spans="4:9" x14ac:dyDescent="0.2">
      <c r="D269" t="s">
        <v>126</v>
      </c>
      <c r="E269">
        <v>6</v>
      </c>
      <c r="F269">
        <v>6</v>
      </c>
      <c r="G269">
        <v>6</v>
      </c>
      <c r="H269">
        <v>7</v>
      </c>
      <c r="I269">
        <f t="shared" si="6"/>
        <v>6.25</v>
      </c>
    </row>
    <row r="270" spans="4:9" x14ac:dyDescent="0.2">
      <c r="D270" t="s">
        <v>127</v>
      </c>
      <c r="E270">
        <v>6</v>
      </c>
      <c r="F270">
        <v>6</v>
      </c>
      <c r="G270">
        <v>5</v>
      </c>
      <c r="H270">
        <v>5</v>
      </c>
      <c r="I270">
        <f t="shared" si="6"/>
        <v>5.5</v>
      </c>
    </row>
    <row r="271" spans="4:9" x14ac:dyDescent="0.2">
      <c r="D271" t="s">
        <v>128</v>
      </c>
      <c r="E271">
        <v>2</v>
      </c>
      <c r="F271">
        <v>3</v>
      </c>
      <c r="G271">
        <v>4</v>
      </c>
      <c r="H271">
        <v>3</v>
      </c>
      <c r="I271">
        <f t="shared" si="6"/>
        <v>3</v>
      </c>
    </row>
    <row r="272" spans="4:9" x14ac:dyDescent="0.2">
      <c r="D272" t="s">
        <v>129</v>
      </c>
      <c r="E272">
        <v>2</v>
      </c>
      <c r="F272">
        <v>1</v>
      </c>
      <c r="G272">
        <v>2</v>
      </c>
      <c r="H272">
        <v>2</v>
      </c>
      <c r="I272">
        <f t="shared" si="6"/>
        <v>1.75</v>
      </c>
    </row>
    <row r="273" spans="4:9" x14ac:dyDescent="0.2">
      <c r="D273" t="s">
        <v>130</v>
      </c>
      <c r="E273">
        <v>4</v>
      </c>
      <c r="F273">
        <v>4</v>
      </c>
      <c r="G273">
        <v>4</v>
      </c>
      <c r="H273">
        <v>4</v>
      </c>
      <c r="I273">
        <f t="shared" si="6"/>
        <v>4</v>
      </c>
    </row>
    <row r="274" spans="4:9" x14ac:dyDescent="0.2">
      <c r="D274" t="s">
        <v>131</v>
      </c>
      <c r="E274">
        <v>7</v>
      </c>
      <c r="F274">
        <v>7</v>
      </c>
      <c r="G274">
        <v>7</v>
      </c>
      <c r="H274">
        <v>7</v>
      </c>
      <c r="I274">
        <f t="shared" si="6"/>
        <v>7</v>
      </c>
    </row>
    <row r="275" spans="4:9" x14ac:dyDescent="0.2">
      <c r="D275" t="s">
        <v>132</v>
      </c>
      <c r="E275">
        <v>6</v>
      </c>
      <c r="F275">
        <v>7</v>
      </c>
      <c r="G275">
        <v>5</v>
      </c>
      <c r="H275">
        <v>7</v>
      </c>
      <c r="I275">
        <f t="shared" si="6"/>
        <v>6.25</v>
      </c>
    </row>
    <row r="276" spans="4:9" x14ac:dyDescent="0.2">
      <c r="D276" t="s">
        <v>133</v>
      </c>
      <c r="E276">
        <v>4</v>
      </c>
      <c r="F276">
        <v>3</v>
      </c>
      <c r="G276">
        <v>6</v>
      </c>
      <c r="H276">
        <v>7</v>
      </c>
      <c r="I276">
        <f t="shared" si="6"/>
        <v>5</v>
      </c>
    </row>
    <row r="277" spans="4:9" x14ac:dyDescent="0.2">
      <c r="D277" t="s">
        <v>134</v>
      </c>
      <c r="E277">
        <v>1</v>
      </c>
      <c r="F277">
        <v>1</v>
      </c>
      <c r="G277">
        <v>7</v>
      </c>
      <c r="H277">
        <v>2</v>
      </c>
      <c r="I277">
        <f t="shared" si="6"/>
        <v>2.75</v>
      </c>
    </row>
    <row r="278" spans="4:9" x14ac:dyDescent="0.2">
      <c r="D278" t="s">
        <v>135</v>
      </c>
      <c r="E278">
        <v>7</v>
      </c>
      <c r="F278">
        <v>6</v>
      </c>
      <c r="G278">
        <v>7</v>
      </c>
      <c r="H278">
        <v>7</v>
      </c>
      <c r="I278">
        <f t="shared" si="6"/>
        <v>6.75</v>
      </c>
    </row>
    <row r="279" spans="4:9" x14ac:dyDescent="0.2">
      <c r="D279" t="s">
        <v>136</v>
      </c>
      <c r="E279">
        <v>4</v>
      </c>
      <c r="F279">
        <v>4</v>
      </c>
      <c r="G279">
        <v>4</v>
      </c>
      <c r="H279">
        <v>4</v>
      </c>
      <c r="I279">
        <f t="shared" si="6"/>
        <v>4</v>
      </c>
    </row>
    <row r="280" spans="4:9" x14ac:dyDescent="0.2">
      <c r="D280" t="s">
        <v>137</v>
      </c>
      <c r="E280">
        <v>4</v>
      </c>
      <c r="F280">
        <v>6</v>
      </c>
      <c r="G280">
        <v>4</v>
      </c>
      <c r="H280">
        <v>3</v>
      </c>
      <c r="I280">
        <f t="shared" si="6"/>
        <v>4.25</v>
      </c>
    </row>
    <row r="281" spans="4:9" x14ac:dyDescent="0.2">
      <c r="D281" t="s">
        <v>138</v>
      </c>
      <c r="E281">
        <v>2</v>
      </c>
      <c r="F281">
        <v>5</v>
      </c>
      <c r="G281">
        <v>6</v>
      </c>
      <c r="H281">
        <v>7</v>
      </c>
      <c r="I281">
        <f t="shared" si="6"/>
        <v>5</v>
      </c>
    </row>
    <row r="282" spans="4:9" x14ac:dyDescent="0.2">
      <c r="D282" t="s">
        <v>139</v>
      </c>
      <c r="E282">
        <v>7</v>
      </c>
      <c r="F282">
        <v>7</v>
      </c>
      <c r="G282">
        <v>7</v>
      </c>
      <c r="H282">
        <v>6</v>
      </c>
      <c r="I282">
        <f t="shared" si="6"/>
        <v>6.75</v>
      </c>
    </row>
    <row r="283" spans="4:9" x14ac:dyDescent="0.2">
      <c r="D283" t="s">
        <v>140</v>
      </c>
      <c r="E283">
        <v>3</v>
      </c>
      <c r="F283">
        <v>4</v>
      </c>
      <c r="G283">
        <v>4</v>
      </c>
      <c r="H283">
        <v>2</v>
      </c>
      <c r="I283">
        <f t="shared" si="6"/>
        <v>3.25</v>
      </c>
    </row>
    <row r="284" spans="4:9" x14ac:dyDescent="0.2">
      <c r="D284" t="s">
        <v>141</v>
      </c>
      <c r="E284">
        <v>5</v>
      </c>
      <c r="F284">
        <v>5</v>
      </c>
      <c r="G284">
        <v>4</v>
      </c>
      <c r="H284">
        <v>5</v>
      </c>
      <c r="I284">
        <f t="shared" si="6"/>
        <v>4.75</v>
      </c>
    </row>
    <row r="285" spans="4:9" x14ac:dyDescent="0.2">
      <c r="D285" t="s">
        <v>142</v>
      </c>
      <c r="E285">
        <v>7</v>
      </c>
      <c r="F285">
        <v>7</v>
      </c>
      <c r="G285">
        <v>7</v>
      </c>
      <c r="H285">
        <v>1</v>
      </c>
      <c r="I285">
        <f t="shared" si="6"/>
        <v>5.5</v>
      </c>
    </row>
    <row r="286" spans="4:9" x14ac:dyDescent="0.2">
      <c r="D286" t="s">
        <v>143</v>
      </c>
      <c r="E286">
        <v>5</v>
      </c>
      <c r="F286">
        <v>3</v>
      </c>
      <c r="G286">
        <v>2</v>
      </c>
      <c r="H286">
        <v>5</v>
      </c>
      <c r="I286">
        <f t="shared" si="6"/>
        <v>3.75</v>
      </c>
    </row>
    <row r="287" spans="4:9" x14ac:dyDescent="0.2">
      <c r="D287" t="s">
        <v>144</v>
      </c>
      <c r="E287">
        <v>4</v>
      </c>
      <c r="F287">
        <v>5</v>
      </c>
      <c r="G287">
        <v>5</v>
      </c>
      <c r="H287">
        <v>6</v>
      </c>
      <c r="I287">
        <f t="shared" si="6"/>
        <v>5</v>
      </c>
    </row>
    <row r="288" spans="4:9" x14ac:dyDescent="0.2">
      <c r="D288" t="s">
        <v>145</v>
      </c>
      <c r="E288">
        <v>7</v>
      </c>
      <c r="F288">
        <v>7</v>
      </c>
      <c r="G288">
        <v>7</v>
      </c>
      <c r="H288">
        <v>7</v>
      </c>
      <c r="I288">
        <f t="shared" si="6"/>
        <v>7</v>
      </c>
    </row>
    <row r="289" spans="4:9" x14ac:dyDescent="0.2">
      <c r="D289" t="s">
        <v>146</v>
      </c>
      <c r="E289">
        <v>7</v>
      </c>
      <c r="F289">
        <v>7</v>
      </c>
      <c r="G289">
        <v>7</v>
      </c>
      <c r="H289">
        <v>7</v>
      </c>
      <c r="I289">
        <f t="shared" si="6"/>
        <v>7</v>
      </c>
    </row>
    <row r="290" spans="4:9" x14ac:dyDescent="0.2">
      <c r="D290" t="s">
        <v>147</v>
      </c>
      <c r="E290">
        <v>7</v>
      </c>
      <c r="F290">
        <v>7</v>
      </c>
      <c r="G290">
        <v>7</v>
      </c>
      <c r="H290">
        <v>7</v>
      </c>
      <c r="I290">
        <f t="shared" si="6"/>
        <v>7</v>
      </c>
    </row>
    <row r="291" spans="4:9" x14ac:dyDescent="0.2">
      <c r="D291" t="s">
        <v>148</v>
      </c>
      <c r="E291">
        <v>5</v>
      </c>
      <c r="F291">
        <v>5</v>
      </c>
      <c r="G291">
        <v>5</v>
      </c>
      <c r="H291">
        <v>6</v>
      </c>
      <c r="I291">
        <f t="shared" si="6"/>
        <v>5.25</v>
      </c>
    </row>
    <row r="292" spans="4:9" x14ac:dyDescent="0.2">
      <c r="D292" t="s">
        <v>149</v>
      </c>
      <c r="E292">
        <v>4</v>
      </c>
      <c r="F292">
        <v>4</v>
      </c>
      <c r="G292">
        <v>6</v>
      </c>
      <c r="H292">
        <v>6</v>
      </c>
      <c r="I292">
        <f t="shared" si="6"/>
        <v>5</v>
      </c>
    </row>
    <row r="293" spans="4:9" x14ac:dyDescent="0.2">
      <c r="D293" t="s">
        <v>150</v>
      </c>
      <c r="E293">
        <v>7</v>
      </c>
      <c r="F293">
        <v>7</v>
      </c>
      <c r="G293">
        <v>7</v>
      </c>
      <c r="H293">
        <v>7</v>
      </c>
      <c r="I293">
        <f t="shared" si="6"/>
        <v>7</v>
      </c>
    </row>
    <row r="294" spans="4:9" x14ac:dyDescent="0.2">
      <c r="D294" t="s">
        <v>151</v>
      </c>
      <c r="E294">
        <v>3</v>
      </c>
      <c r="F294">
        <v>7</v>
      </c>
      <c r="G294">
        <v>2</v>
      </c>
      <c r="H294">
        <v>7</v>
      </c>
      <c r="I294">
        <f t="shared" si="6"/>
        <v>4.75</v>
      </c>
    </row>
    <row r="295" spans="4:9" x14ac:dyDescent="0.2">
      <c r="D295" t="s">
        <v>152</v>
      </c>
      <c r="E295">
        <v>5</v>
      </c>
      <c r="F295">
        <v>4</v>
      </c>
      <c r="G295">
        <v>7</v>
      </c>
      <c r="H295">
        <v>7</v>
      </c>
      <c r="I295">
        <f t="shared" si="6"/>
        <v>5.75</v>
      </c>
    </row>
    <row r="296" spans="4:9" x14ac:dyDescent="0.2">
      <c r="D296" t="s">
        <v>153</v>
      </c>
      <c r="E296">
        <v>4</v>
      </c>
      <c r="F296">
        <v>4</v>
      </c>
      <c r="G296">
        <v>6</v>
      </c>
      <c r="H296">
        <v>6</v>
      </c>
      <c r="I296">
        <f t="shared" si="6"/>
        <v>5</v>
      </c>
    </row>
    <row r="297" spans="4:9" x14ac:dyDescent="0.2">
      <c r="D297" t="s">
        <v>154</v>
      </c>
      <c r="E297">
        <v>6</v>
      </c>
      <c r="F297">
        <v>6</v>
      </c>
      <c r="G297">
        <v>6</v>
      </c>
      <c r="H297">
        <v>6</v>
      </c>
      <c r="I297">
        <f t="shared" si="6"/>
        <v>6</v>
      </c>
    </row>
    <row r="298" spans="4:9" x14ac:dyDescent="0.2">
      <c r="D298" t="s">
        <v>155</v>
      </c>
      <c r="E298">
        <v>4</v>
      </c>
      <c r="F298">
        <v>5</v>
      </c>
      <c r="G298">
        <v>7</v>
      </c>
      <c r="H298">
        <v>7</v>
      </c>
      <c r="I298">
        <f t="shared" si="6"/>
        <v>5.75</v>
      </c>
    </row>
    <row r="299" spans="4:9" x14ac:dyDescent="0.2">
      <c r="D299" t="s">
        <v>156</v>
      </c>
      <c r="E299">
        <v>2</v>
      </c>
      <c r="F299">
        <v>5</v>
      </c>
      <c r="G299">
        <v>4</v>
      </c>
      <c r="H299">
        <v>6</v>
      </c>
      <c r="I299">
        <f t="shared" si="6"/>
        <v>4.25</v>
      </c>
    </row>
    <row r="300" spans="4:9" x14ac:dyDescent="0.2">
      <c r="D300" t="s">
        <v>157</v>
      </c>
      <c r="E300">
        <v>7</v>
      </c>
      <c r="F300">
        <v>7</v>
      </c>
      <c r="G300">
        <v>7</v>
      </c>
      <c r="H300">
        <v>7</v>
      </c>
      <c r="I300">
        <f t="shared" si="6"/>
        <v>7</v>
      </c>
    </row>
    <row r="301" spans="4:9" x14ac:dyDescent="0.2">
      <c r="D301" t="s">
        <v>158</v>
      </c>
      <c r="E301">
        <v>6</v>
      </c>
      <c r="F301">
        <v>5</v>
      </c>
      <c r="G301">
        <v>7</v>
      </c>
      <c r="H301">
        <v>5</v>
      </c>
      <c r="I301">
        <f t="shared" si="6"/>
        <v>5.75</v>
      </c>
    </row>
    <row r="302" spans="4:9" x14ac:dyDescent="0.2">
      <c r="D302" t="s">
        <v>159</v>
      </c>
      <c r="E302">
        <v>2</v>
      </c>
      <c r="F302">
        <v>4</v>
      </c>
      <c r="G302">
        <v>5</v>
      </c>
      <c r="H302">
        <v>3</v>
      </c>
      <c r="I302">
        <f t="shared" si="6"/>
        <v>3.5</v>
      </c>
    </row>
    <row r="303" spans="4:9" x14ac:dyDescent="0.2">
      <c r="D303" t="s">
        <v>160</v>
      </c>
      <c r="E303">
        <v>2</v>
      </c>
      <c r="F303">
        <v>5</v>
      </c>
      <c r="G303">
        <v>4</v>
      </c>
      <c r="H303">
        <v>5</v>
      </c>
      <c r="I303">
        <f t="shared" si="6"/>
        <v>4</v>
      </c>
    </row>
    <row r="304" spans="4:9" x14ac:dyDescent="0.2">
      <c r="D304" t="s">
        <v>161</v>
      </c>
      <c r="E304">
        <v>3</v>
      </c>
      <c r="F304">
        <v>4</v>
      </c>
      <c r="G304">
        <v>6</v>
      </c>
      <c r="H304">
        <v>4</v>
      </c>
      <c r="I304">
        <f t="shared" si="6"/>
        <v>4.25</v>
      </c>
    </row>
    <row r="305" spans="4:9" x14ac:dyDescent="0.2">
      <c r="D305" t="s">
        <v>162</v>
      </c>
      <c r="E305">
        <v>6</v>
      </c>
      <c r="F305">
        <v>6</v>
      </c>
      <c r="G305">
        <v>7</v>
      </c>
      <c r="H305">
        <v>7</v>
      </c>
      <c r="I305">
        <f t="shared" si="6"/>
        <v>6.5</v>
      </c>
    </row>
    <row r="306" spans="4:9" x14ac:dyDescent="0.2">
      <c r="D306" t="s">
        <v>163</v>
      </c>
      <c r="E306">
        <v>4</v>
      </c>
      <c r="F306">
        <v>6</v>
      </c>
      <c r="G306">
        <v>6</v>
      </c>
      <c r="H306">
        <v>6</v>
      </c>
      <c r="I306">
        <f t="shared" si="6"/>
        <v>5.5</v>
      </c>
    </row>
    <row r="307" spans="4:9" x14ac:dyDescent="0.2">
      <c r="D307" t="s">
        <v>165</v>
      </c>
      <c r="E307">
        <v>7</v>
      </c>
      <c r="F307">
        <v>7</v>
      </c>
      <c r="G307">
        <v>7</v>
      </c>
      <c r="H307">
        <v>7</v>
      </c>
      <c r="I307">
        <f t="shared" si="6"/>
        <v>7</v>
      </c>
    </row>
    <row r="308" spans="4:9" x14ac:dyDescent="0.2">
      <c r="D308" t="s">
        <v>166</v>
      </c>
      <c r="E308">
        <v>2</v>
      </c>
      <c r="F308">
        <v>3</v>
      </c>
      <c r="G308">
        <v>5</v>
      </c>
      <c r="H308">
        <v>4</v>
      </c>
      <c r="I308">
        <f t="shared" si="6"/>
        <v>3.5</v>
      </c>
    </row>
    <row r="309" spans="4:9" x14ac:dyDescent="0.2">
      <c r="D309" t="s">
        <v>167</v>
      </c>
      <c r="E309">
        <v>6</v>
      </c>
      <c r="F309">
        <v>5</v>
      </c>
      <c r="G309">
        <v>7</v>
      </c>
      <c r="H309">
        <v>6</v>
      </c>
      <c r="I309">
        <f t="shared" si="6"/>
        <v>6</v>
      </c>
    </row>
    <row r="310" spans="4:9" x14ac:dyDescent="0.2">
      <c r="D310" t="s">
        <v>168</v>
      </c>
      <c r="E310">
        <v>3</v>
      </c>
      <c r="F310">
        <v>1</v>
      </c>
      <c r="G310">
        <v>3</v>
      </c>
      <c r="H310">
        <v>3</v>
      </c>
      <c r="I310">
        <f t="shared" si="6"/>
        <v>2.5</v>
      </c>
    </row>
    <row r="311" spans="4:9" x14ac:dyDescent="0.2">
      <c r="D311" t="s">
        <v>169</v>
      </c>
      <c r="E311">
        <v>4</v>
      </c>
      <c r="F311">
        <v>4</v>
      </c>
      <c r="G311">
        <v>5</v>
      </c>
      <c r="H311">
        <v>5</v>
      </c>
      <c r="I311">
        <f t="shared" si="6"/>
        <v>4.5</v>
      </c>
    </row>
    <row r="312" spans="4:9" x14ac:dyDescent="0.2">
      <c r="D312" t="s">
        <v>170</v>
      </c>
      <c r="E312">
        <v>5</v>
      </c>
      <c r="F312">
        <v>7</v>
      </c>
      <c r="G312">
        <v>7</v>
      </c>
      <c r="H312">
        <v>7</v>
      </c>
      <c r="I312">
        <f t="shared" si="6"/>
        <v>6.5</v>
      </c>
    </row>
    <row r="313" spans="4:9" x14ac:dyDescent="0.2">
      <c r="D313" t="s">
        <v>171</v>
      </c>
      <c r="E313">
        <v>3</v>
      </c>
      <c r="F313">
        <v>5</v>
      </c>
      <c r="G313">
        <v>7</v>
      </c>
      <c r="H313">
        <v>7</v>
      </c>
      <c r="I313">
        <f t="shared" si="6"/>
        <v>5.5</v>
      </c>
    </row>
    <row r="314" spans="4:9" x14ac:dyDescent="0.2">
      <c r="D314" t="s">
        <v>172</v>
      </c>
      <c r="E314">
        <v>7</v>
      </c>
      <c r="F314">
        <v>7</v>
      </c>
      <c r="G314">
        <v>7</v>
      </c>
      <c r="H314">
        <v>7</v>
      </c>
      <c r="I314">
        <f t="shared" si="6"/>
        <v>7</v>
      </c>
    </row>
    <row r="315" spans="4:9" x14ac:dyDescent="0.2">
      <c r="D315" t="s">
        <v>173</v>
      </c>
      <c r="E315">
        <v>5</v>
      </c>
      <c r="F315">
        <v>5</v>
      </c>
      <c r="G315">
        <v>5</v>
      </c>
      <c r="H315">
        <v>6</v>
      </c>
      <c r="I315">
        <f t="shared" si="6"/>
        <v>5.25</v>
      </c>
    </row>
    <row r="316" spans="4:9" x14ac:dyDescent="0.2">
      <c r="D316" t="s">
        <v>174</v>
      </c>
      <c r="E316">
        <v>1</v>
      </c>
      <c r="F316">
        <v>2</v>
      </c>
      <c r="G316">
        <v>4</v>
      </c>
      <c r="H316">
        <v>5</v>
      </c>
      <c r="I316">
        <f t="shared" si="6"/>
        <v>3</v>
      </c>
    </row>
    <row r="317" spans="4:9" x14ac:dyDescent="0.2">
      <c r="D317" t="s">
        <v>176</v>
      </c>
      <c r="E317">
        <v>1</v>
      </c>
      <c r="F317">
        <v>5</v>
      </c>
      <c r="G317">
        <v>7</v>
      </c>
      <c r="H317">
        <v>7</v>
      </c>
      <c r="I317">
        <f t="shared" si="6"/>
        <v>5</v>
      </c>
    </row>
    <row r="318" spans="4:9" x14ac:dyDescent="0.2">
      <c r="D318" t="s">
        <v>177</v>
      </c>
      <c r="E318">
        <v>4</v>
      </c>
      <c r="F318">
        <v>4</v>
      </c>
      <c r="G318">
        <v>7</v>
      </c>
      <c r="H318">
        <v>5</v>
      </c>
      <c r="I318">
        <f t="shared" si="6"/>
        <v>5</v>
      </c>
    </row>
    <row r="319" spans="4:9" x14ac:dyDescent="0.2">
      <c r="D319" t="s">
        <v>178</v>
      </c>
      <c r="E319">
        <v>6</v>
      </c>
      <c r="F319">
        <v>6</v>
      </c>
      <c r="G319">
        <v>7</v>
      </c>
      <c r="H319">
        <v>6</v>
      </c>
      <c r="I319">
        <f t="shared" si="6"/>
        <v>6.25</v>
      </c>
    </row>
    <row r="320" spans="4:9" x14ac:dyDescent="0.2">
      <c r="D320" t="s">
        <v>179</v>
      </c>
      <c r="E320">
        <v>7</v>
      </c>
      <c r="F320">
        <v>1</v>
      </c>
      <c r="G320">
        <v>1</v>
      </c>
      <c r="H320">
        <v>1</v>
      </c>
      <c r="I320">
        <f t="shared" si="6"/>
        <v>2.5</v>
      </c>
    </row>
    <row r="321" spans="4:9" x14ac:dyDescent="0.2">
      <c r="D321" t="s">
        <v>180</v>
      </c>
      <c r="E321">
        <v>5</v>
      </c>
      <c r="F321">
        <v>6</v>
      </c>
      <c r="G321">
        <v>6</v>
      </c>
      <c r="H321">
        <v>6</v>
      </c>
      <c r="I321">
        <f t="shared" si="6"/>
        <v>5.75</v>
      </c>
    </row>
    <row r="322" spans="4:9" x14ac:dyDescent="0.2">
      <c r="D322" t="s">
        <v>181</v>
      </c>
      <c r="E322">
        <v>4</v>
      </c>
      <c r="F322">
        <v>6</v>
      </c>
      <c r="G322">
        <v>6</v>
      </c>
      <c r="H322">
        <v>7</v>
      </c>
      <c r="I322">
        <f t="shared" si="6"/>
        <v>5.75</v>
      </c>
    </row>
    <row r="323" spans="4:9" x14ac:dyDescent="0.2">
      <c r="D323" t="s">
        <v>182</v>
      </c>
      <c r="E323">
        <v>4</v>
      </c>
      <c r="F323">
        <v>6</v>
      </c>
      <c r="G323">
        <v>6</v>
      </c>
      <c r="H323">
        <v>5</v>
      </c>
      <c r="I323">
        <f t="shared" ref="I323:I386" si="7">AVERAGE(E323:H323)</f>
        <v>5.25</v>
      </c>
    </row>
    <row r="324" spans="4:9" x14ac:dyDescent="0.2">
      <c r="D324" t="s">
        <v>183</v>
      </c>
      <c r="E324">
        <v>3</v>
      </c>
      <c r="F324">
        <v>7</v>
      </c>
      <c r="G324">
        <v>7</v>
      </c>
      <c r="H324">
        <v>5</v>
      </c>
      <c r="I324">
        <f t="shared" si="7"/>
        <v>5.5</v>
      </c>
    </row>
    <row r="325" spans="4:9" x14ac:dyDescent="0.2">
      <c r="D325" t="s">
        <v>184</v>
      </c>
      <c r="E325">
        <v>1</v>
      </c>
      <c r="F325">
        <v>3</v>
      </c>
      <c r="G325">
        <v>4</v>
      </c>
      <c r="H325">
        <v>2</v>
      </c>
      <c r="I325">
        <f t="shared" si="7"/>
        <v>2.5</v>
      </c>
    </row>
    <row r="326" spans="4:9" x14ac:dyDescent="0.2">
      <c r="D326" t="s">
        <v>186</v>
      </c>
      <c r="E326">
        <v>7</v>
      </c>
      <c r="F326">
        <v>7</v>
      </c>
      <c r="G326">
        <v>7</v>
      </c>
      <c r="H326">
        <v>7</v>
      </c>
      <c r="I326">
        <f t="shared" si="7"/>
        <v>7</v>
      </c>
    </row>
    <row r="327" spans="4:9" x14ac:dyDescent="0.2">
      <c r="D327" t="s">
        <v>185</v>
      </c>
      <c r="E327">
        <v>6</v>
      </c>
      <c r="F327">
        <v>5</v>
      </c>
      <c r="G327">
        <v>6</v>
      </c>
      <c r="H327">
        <v>6</v>
      </c>
      <c r="I327">
        <f t="shared" si="7"/>
        <v>5.75</v>
      </c>
    </row>
    <row r="328" spans="4:9" x14ac:dyDescent="0.2">
      <c r="D328" t="s">
        <v>187</v>
      </c>
      <c r="E328">
        <v>6</v>
      </c>
      <c r="F328">
        <v>6</v>
      </c>
      <c r="G328">
        <v>6</v>
      </c>
      <c r="H328">
        <v>6</v>
      </c>
      <c r="I328">
        <f t="shared" si="7"/>
        <v>6</v>
      </c>
    </row>
    <row r="329" spans="4:9" x14ac:dyDescent="0.2">
      <c r="D329" t="s">
        <v>188</v>
      </c>
      <c r="E329">
        <v>7</v>
      </c>
      <c r="F329">
        <v>6</v>
      </c>
      <c r="G329">
        <v>7</v>
      </c>
      <c r="H329">
        <v>7</v>
      </c>
      <c r="I329">
        <f t="shared" si="7"/>
        <v>6.75</v>
      </c>
    </row>
    <row r="330" spans="4:9" x14ac:dyDescent="0.2">
      <c r="D330" t="s">
        <v>189</v>
      </c>
      <c r="E330">
        <v>3</v>
      </c>
      <c r="F330">
        <v>5</v>
      </c>
      <c r="G330">
        <v>5</v>
      </c>
      <c r="H330">
        <v>5</v>
      </c>
      <c r="I330">
        <f t="shared" si="7"/>
        <v>4.5</v>
      </c>
    </row>
    <row r="331" spans="4:9" x14ac:dyDescent="0.2">
      <c r="D331" t="s">
        <v>190</v>
      </c>
      <c r="E331">
        <v>7</v>
      </c>
      <c r="F331">
        <v>7</v>
      </c>
      <c r="G331">
        <v>7</v>
      </c>
      <c r="H331">
        <v>4</v>
      </c>
      <c r="I331">
        <f t="shared" si="7"/>
        <v>6.25</v>
      </c>
    </row>
    <row r="332" spans="4:9" x14ac:dyDescent="0.2">
      <c r="D332" t="s">
        <v>191</v>
      </c>
      <c r="E332">
        <v>5</v>
      </c>
      <c r="F332">
        <v>6</v>
      </c>
      <c r="G332">
        <v>6</v>
      </c>
      <c r="H332">
        <v>6</v>
      </c>
      <c r="I332">
        <f t="shared" si="7"/>
        <v>5.75</v>
      </c>
    </row>
    <row r="333" spans="4:9" x14ac:dyDescent="0.2">
      <c r="D333" t="s">
        <v>192</v>
      </c>
      <c r="E333">
        <v>1</v>
      </c>
      <c r="F333">
        <v>1</v>
      </c>
      <c r="G333">
        <v>3</v>
      </c>
      <c r="H333">
        <v>7</v>
      </c>
      <c r="I333">
        <f t="shared" si="7"/>
        <v>3</v>
      </c>
    </row>
    <row r="334" spans="4:9" x14ac:dyDescent="0.2">
      <c r="D334" t="s">
        <v>193</v>
      </c>
      <c r="E334">
        <v>4</v>
      </c>
      <c r="F334">
        <v>5</v>
      </c>
      <c r="G334">
        <v>6</v>
      </c>
      <c r="H334">
        <v>6</v>
      </c>
      <c r="I334">
        <f t="shared" si="7"/>
        <v>5.25</v>
      </c>
    </row>
    <row r="335" spans="4:9" x14ac:dyDescent="0.2">
      <c r="D335" t="s">
        <v>62</v>
      </c>
      <c r="E335">
        <v>4</v>
      </c>
      <c r="F335">
        <v>4</v>
      </c>
      <c r="G335">
        <v>4</v>
      </c>
      <c r="H335">
        <v>4</v>
      </c>
      <c r="I335">
        <f t="shared" si="7"/>
        <v>4</v>
      </c>
    </row>
    <row r="336" spans="4:9" x14ac:dyDescent="0.2">
      <c r="D336" t="s">
        <v>67</v>
      </c>
      <c r="E336">
        <v>5</v>
      </c>
      <c r="F336">
        <v>5</v>
      </c>
      <c r="G336">
        <v>6</v>
      </c>
      <c r="H336">
        <v>5</v>
      </c>
      <c r="I336">
        <f t="shared" si="7"/>
        <v>5.25</v>
      </c>
    </row>
    <row r="337" spans="4:9" x14ac:dyDescent="0.2">
      <c r="D337" t="s">
        <v>70</v>
      </c>
      <c r="E337">
        <v>4</v>
      </c>
      <c r="F337">
        <v>4</v>
      </c>
      <c r="G337">
        <v>6</v>
      </c>
      <c r="H337">
        <v>6</v>
      </c>
      <c r="I337">
        <f t="shared" si="7"/>
        <v>5</v>
      </c>
    </row>
    <row r="338" spans="4:9" x14ac:dyDescent="0.2">
      <c r="D338" t="s">
        <v>72</v>
      </c>
      <c r="E338">
        <v>2</v>
      </c>
      <c r="F338">
        <v>2</v>
      </c>
      <c r="G338">
        <v>6</v>
      </c>
      <c r="H338">
        <v>6</v>
      </c>
      <c r="I338">
        <f t="shared" si="7"/>
        <v>4</v>
      </c>
    </row>
    <row r="339" spans="4:9" x14ac:dyDescent="0.2">
      <c r="D339" t="s">
        <v>74</v>
      </c>
      <c r="E339">
        <v>1</v>
      </c>
      <c r="F339">
        <v>1</v>
      </c>
      <c r="G339">
        <v>2</v>
      </c>
      <c r="H339">
        <v>5</v>
      </c>
      <c r="I339">
        <f t="shared" si="7"/>
        <v>2.25</v>
      </c>
    </row>
    <row r="340" spans="4:9" x14ac:dyDescent="0.2">
      <c r="D340" t="s">
        <v>75</v>
      </c>
      <c r="E340">
        <v>7</v>
      </c>
      <c r="F340">
        <v>7</v>
      </c>
      <c r="G340">
        <v>7</v>
      </c>
      <c r="H340">
        <v>6</v>
      </c>
      <c r="I340">
        <f t="shared" si="7"/>
        <v>6.75</v>
      </c>
    </row>
    <row r="341" spans="4:9" x14ac:dyDescent="0.2">
      <c r="D341" t="s">
        <v>77</v>
      </c>
      <c r="E341">
        <v>5</v>
      </c>
      <c r="F341">
        <v>4</v>
      </c>
      <c r="G341">
        <v>5</v>
      </c>
      <c r="H341">
        <v>5</v>
      </c>
      <c r="I341">
        <f t="shared" si="7"/>
        <v>4.75</v>
      </c>
    </row>
    <row r="342" spans="4:9" x14ac:dyDescent="0.2">
      <c r="D342" t="s">
        <v>79</v>
      </c>
      <c r="E342">
        <v>6</v>
      </c>
      <c r="F342">
        <v>6</v>
      </c>
      <c r="G342">
        <v>6</v>
      </c>
      <c r="H342">
        <v>4</v>
      </c>
      <c r="I342">
        <f t="shared" si="7"/>
        <v>5.5</v>
      </c>
    </row>
    <row r="343" spans="4:9" x14ac:dyDescent="0.2">
      <c r="D343" t="s">
        <v>81</v>
      </c>
      <c r="E343">
        <v>4</v>
      </c>
      <c r="F343">
        <v>4</v>
      </c>
      <c r="G343">
        <v>6</v>
      </c>
      <c r="H343">
        <v>6</v>
      </c>
      <c r="I343">
        <f t="shared" si="7"/>
        <v>5</v>
      </c>
    </row>
    <row r="344" spans="4:9" x14ac:dyDescent="0.2">
      <c r="D344" t="s">
        <v>83</v>
      </c>
      <c r="E344">
        <v>3</v>
      </c>
      <c r="F344">
        <v>3</v>
      </c>
      <c r="G344">
        <v>4</v>
      </c>
      <c r="H344">
        <v>5</v>
      </c>
      <c r="I344">
        <f t="shared" si="7"/>
        <v>3.75</v>
      </c>
    </row>
    <row r="345" spans="4:9" x14ac:dyDescent="0.2">
      <c r="D345" t="s">
        <v>84</v>
      </c>
      <c r="E345">
        <v>4</v>
      </c>
      <c r="F345">
        <v>4</v>
      </c>
      <c r="G345">
        <v>4</v>
      </c>
      <c r="H345">
        <v>4</v>
      </c>
      <c r="I345">
        <f t="shared" si="7"/>
        <v>4</v>
      </c>
    </row>
    <row r="346" spans="4:9" x14ac:dyDescent="0.2">
      <c r="D346" t="s">
        <v>86</v>
      </c>
      <c r="E346">
        <v>7</v>
      </c>
      <c r="F346">
        <v>6</v>
      </c>
      <c r="G346">
        <v>7</v>
      </c>
      <c r="H346">
        <v>7</v>
      </c>
      <c r="I346">
        <f t="shared" si="7"/>
        <v>6.75</v>
      </c>
    </row>
    <row r="347" spans="4:9" x14ac:dyDescent="0.2">
      <c r="D347" t="s">
        <v>87</v>
      </c>
      <c r="E347">
        <v>2</v>
      </c>
      <c r="F347">
        <v>3</v>
      </c>
      <c r="G347">
        <v>2</v>
      </c>
      <c r="H347">
        <v>2</v>
      </c>
      <c r="I347">
        <f t="shared" si="7"/>
        <v>2.25</v>
      </c>
    </row>
    <row r="348" spans="4:9" x14ac:dyDescent="0.2">
      <c r="D348" t="s">
        <v>89</v>
      </c>
      <c r="E348">
        <v>2</v>
      </c>
      <c r="F348">
        <v>2</v>
      </c>
      <c r="G348">
        <v>4</v>
      </c>
      <c r="H348">
        <v>5</v>
      </c>
      <c r="I348">
        <f t="shared" si="7"/>
        <v>3.25</v>
      </c>
    </row>
    <row r="349" spans="4:9" x14ac:dyDescent="0.2">
      <c r="D349" t="s">
        <v>90</v>
      </c>
      <c r="E349">
        <v>4</v>
      </c>
      <c r="F349">
        <v>4</v>
      </c>
      <c r="G349">
        <v>4</v>
      </c>
      <c r="H349">
        <v>5</v>
      </c>
      <c r="I349">
        <f t="shared" si="7"/>
        <v>4.25</v>
      </c>
    </row>
    <row r="350" spans="4:9" x14ac:dyDescent="0.2">
      <c r="D350" t="s">
        <v>91</v>
      </c>
      <c r="E350">
        <v>3</v>
      </c>
      <c r="F350">
        <v>4</v>
      </c>
      <c r="G350">
        <v>5</v>
      </c>
      <c r="H350">
        <v>7</v>
      </c>
      <c r="I350">
        <f t="shared" si="7"/>
        <v>4.75</v>
      </c>
    </row>
    <row r="351" spans="4:9" x14ac:dyDescent="0.2">
      <c r="D351" t="s">
        <v>92</v>
      </c>
      <c r="E351">
        <v>2</v>
      </c>
      <c r="F351">
        <v>3</v>
      </c>
      <c r="G351">
        <v>4</v>
      </c>
      <c r="H351">
        <v>7</v>
      </c>
      <c r="I351">
        <f t="shared" si="7"/>
        <v>4</v>
      </c>
    </row>
    <row r="352" spans="4:9" x14ac:dyDescent="0.2">
      <c r="D352" t="s">
        <v>94</v>
      </c>
      <c r="E352">
        <v>4</v>
      </c>
      <c r="F352">
        <v>5</v>
      </c>
      <c r="G352">
        <v>3</v>
      </c>
      <c r="H352">
        <v>5</v>
      </c>
      <c r="I352">
        <f t="shared" si="7"/>
        <v>4.25</v>
      </c>
    </row>
    <row r="353" spans="4:9" x14ac:dyDescent="0.2">
      <c r="D353" t="s">
        <v>95</v>
      </c>
      <c r="E353">
        <v>4</v>
      </c>
      <c r="F353">
        <v>4</v>
      </c>
      <c r="G353">
        <v>4</v>
      </c>
      <c r="H353">
        <v>4</v>
      </c>
      <c r="I353">
        <f t="shared" si="7"/>
        <v>4</v>
      </c>
    </row>
    <row r="354" spans="4:9" x14ac:dyDescent="0.2">
      <c r="D354" t="s">
        <v>96</v>
      </c>
      <c r="E354">
        <v>4</v>
      </c>
      <c r="F354">
        <v>4</v>
      </c>
      <c r="G354">
        <v>3</v>
      </c>
      <c r="H354">
        <v>3</v>
      </c>
      <c r="I354">
        <f t="shared" si="7"/>
        <v>3.5</v>
      </c>
    </row>
    <row r="355" spans="4:9" x14ac:dyDescent="0.2">
      <c r="D355" t="s">
        <v>98</v>
      </c>
      <c r="E355">
        <v>4</v>
      </c>
      <c r="F355">
        <v>4</v>
      </c>
      <c r="G355">
        <v>5</v>
      </c>
      <c r="H355">
        <v>6</v>
      </c>
      <c r="I355">
        <f t="shared" si="7"/>
        <v>4.75</v>
      </c>
    </row>
    <row r="356" spans="4:9" x14ac:dyDescent="0.2">
      <c r="D356" t="s">
        <v>99</v>
      </c>
      <c r="E356">
        <v>1</v>
      </c>
      <c r="F356">
        <v>1</v>
      </c>
      <c r="G356">
        <v>1</v>
      </c>
      <c r="H356">
        <v>1</v>
      </c>
      <c r="I356">
        <f t="shared" si="7"/>
        <v>1</v>
      </c>
    </row>
    <row r="357" spans="4:9" x14ac:dyDescent="0.2">
      <c r="D357" t="s">
        <v>100</v>
      </c>
      <c r="E357">
        <v>3</v>
      </c>
      <c r="F357">
        <v>2</v>
      </c>
      <c r="G357">
        <v>7</v>
      </c>
      <c r="H357">
        <v>7</v>
      </c>
      <c r="I357">
        <f t="shared" si="7"/>
        <v>4.75</v>
      </c>
    </row>
    <row r="358" spans="4:9" x14ac:dyDescent="0.2">
      <c r="D358" t="s">
        <v>101</v>
      </c>
      <c r="E358">
        <v>1</v>
      </c>
      <c r="F358">
        <v>1</v>
      </c>
      <c r="G358">
        <v>1</v>
      </c>
      <c r="H358">
        <v>2</v>
      </c>
      <c r="I358">
        <f t="shared" si="7"/>
        <v>1.25</v>
      </c>
    </row>
    <row r="359" spans="4:9" x14ac:dyDescent="0.2">
      <c r="D359" t="s">
        <v>102</v>
      </c>
      <c r="E359">
        <v>3</v>
      </c>
      <c r="F359">
        <v>4</v>
      </c>
      <c r="G359">
        <v>6</v>
      </c>
      <c r="H359">
        <v>3</v>
      </c>
      <c r="I359">
        <f t="shared" si="7"/>
        <v>4</v>
      </c>
    </row>
    <row r="360" spans="4:9" x14ac:dyDescent="0.2">
      <c r="D360" t="s">
        <v>103</v>
      </c>
      <c r="E360">
        <v>6</v>
      </c>
      <c r="F360">
        <v>7</v>
      </c>
      <c r="G360">
        <v>7</v>
      </c>
      <c r="H360">
        <v>7</v>
      </c>
      <c r="I360">
        <f t="shared" si="7"/>
        <v>6.75</v>
      </c>
    </row>
    <row r="361" spans="4:9" x14ac:dyDescent="0.2">
      <c r="D361" t="s">
        <v>104</v>
      </c>
      <c r="E361">
        <v>3</v>
      </c>
      <c r="F361">
        <v>6</v>
      </c>
      <c r="G361">
        <v>5</v>
      </c>
      <c r="H361">
        <v>6</v>
      </c>
      <c r="I361">
        <f t="shared" si="7"/>
        <v>5</v>
      </c>
    </row>
    <row r="362" spans="4:9" x14ac:dyDescent="0.2">
      <c r="D362" t="s">
        <v>105</v>
      </c>
      <c r="E362">
        <v>5</v>
      </c>
      <c r="F362">
        <v>4</v>
      </c>
      <c r="G362">
        <v>6</v>
      </c>
      <c r="H362">
        <v>6</v>
      </c>
      <c r="I362">
        <f t="shared" si="7"/>
        <v>5.25</v>
      </c>
    </row>
    <row r="363" spans="4:9" x14ac:dyDescent="0.2">
      <c r="D363" t="s">
        <v>106</v>
      </c>
      <c r="E363">
        <v>2</v>
      </c>
      <c r="F363">
        <v>4</v>
      </c>
      <c r="G363">
        <v>7</v>
      </c>
      <c r="H363">
        <v>7</v>
      </c>
      <c r="I363">
        <f t="shared" si="7"/>
        <v>5</v>
      </c>
    </row>
    <row r="364" spans="4:9" x14ac:dyDescent="0.2">
      <c r="D364" t="s">
        <v>107</v>
      </c>
      <c r="E364">
        <v>5</v>
      </c>
      <c r="F364">
        <v>5</v>
      </c>
      <c r="G364">
        <v>4</v>
      </c>
      <c r="H364">
        <v>5</v>
      </c>
      <c r="I364">
        <f t="shared" si="7"/>
        <v>4.75</v>
      </c>
    </row>
    <row r="365" spans="4:9" x14ac:dyDescent="0.2">
      <c r="D365" t="s">
        <v>108</v>
      </c>
      <c r="E365">
        <v>2</v>
      </c>
      <c r="F365">
        <v>2</v>
      </c>
      <c r="G365">
        <v>2</v>
      </c>
      <c r="H365">
        <v>2</v>
      </c>
      <c r="I365">
        <f t="shared" si="7"/>
        <v>2</v>
      </c>
    </row>
    <row r="366" spans="4:9" x14ac:dyDescent="0.2">
      <c r="D366" t="s">
        <v>109</v>
      </c>
      <c r="E366">
        <v>3</v>
      </c>
      <c r="F366">
        <v>7</v>
      </c>
      <c r="G366">
        <v>2</v>
      </c>
      <c r="H366">
        <v>5</v>
      </c>
      <c r="I366">
        <f t="shared" si="7"/>
        <v>4.25</v>
      </c>
    </row>
    <row r="367" spans="4:9" x14ac:dyDescent="0.2">
      <c r="D367" t="s">
        <v>110</v>
      </c>
      <c r="E367">
        <v>1</v>
      </c>
      <c r="F367">
        <v>2</v>
      </c>
      <c r="G367">
        <v>3</v>
      </c>
      <c r="H367">
        <v>3</v>
      </c>
      <c r="I367">
        <f t="shared" si="7"/>
        <v>2.25</v>
      </c>
    </row>
    <row r="368" spans="4:9" x14ac:dyDescent="0.2">
      <c r="D368" t="s">
        <v>111</v>
      </c>
      <c r="E368">
        <v>3</v>
      </c>
      <c r="F368">
        <v>4</v>
      </c>
      <c r="G368">
        <v>3</v>
      </c>
      <c r="H368">
        <v>6</v>
      </c>
      <c r="I368">
        <f t="shared" si="7"/>
        <v>4</v>
      </c>
    </row>
    <row r="369" spans="4:9" x14ac:dyDescent="0.2">
      <c r="D369" t="s">
        <v>112</v>
      </c>
      <c r="E369">
        <v>3</v>
      </c>
      <c r="F369">
        <v>4</v>
      </c>
      <c r="G369">
        <v>5</v>
      </c>
      <c r="H369">
        <v>4</v>
      </c>
      <c r="I369">
        <f t="shared" si="7"/>
        <v>4</v>
      </c>
    </row>
    <row r="370" spans="4:9" x14ac:dyDescent="0.2">
      <c r="D370" t="s">
        <v>113</v>
      </c>
      <c r="E370">
        <v>6</v>
      </c>
      <c r="F370">
        <v>6</v>
      </c>
      <c r="G370">
        <v>6</v>
      </c>
      <c r="H370">
        <v>7</v>
      </c>
      <c r="I370">
        <f t="shared" si="7"/>
        <v>6.25</v>
      </c>
    </row>
    <row r="371" spans="4:9" x14ac:dyDescent="0.2">
      <c r="D371" t="s">
        <v>114</v>
      </c>
      <c r="E371">
        <v>1</v>
      </c>
      <c r="F371">
        <v>1</v>
      </c>
      <c r="G371">
        <v>3</v>
      </c>
      <c r="H371">
        <v>2</v>
      </c>
      <c r="I371">
        <f t="shared" si="7"/>
        <v>1.75</v>
      </c>
    </row>
    <row r="372" spans="4:9" x14ac:dyDescent="0.2">
      <c r="D372" t="s">
        <v>115</v>
      </c>
      <c r="E372">
        <v>1</v>
      </c>
      <c r="F372">
        <v>4</v>
      </c>
      <c r="G372">
        <v>5</v>
      </c>
      <c r="H372">
        <v>4</v>
      </c>
      <c r="I372">
        <f t="shared" si="7"/>
        <v>3.5</v>
      </c>
    </row>
    <row r="373" spans="4:9" x14ac:dyDescent="0.2">
      <c r="D373" t="s">
        <v>116</v>
      </c>
      <c r="E373">
        <v>1</v>
      </c>
      <c r="F373">
        <v>2</v>
      </c>
      <c r="G373">
        <v>5</v>
      </c>
      <c r="H373">
        <v>3</v>
      </c>
      <c r="I373">
        <f t="shared" si="7"/>
        <v>2.75</v>
      </c>
    </row>
    <row r="374" spans="4:9" x14ac:dyDescent="0.2">
      <c r="D374" t="s">
        <v>117</v>
      </c>
      <c r="E374">
        <v>1</v>
      </c>
      <c r="F374">
        <v>2</v>
      </c>
      <c r="G374">
        <v>4</v>
      </c>
      <c r="H374">
        <v>5</v>
      </c>
      <c r="I374">
        <f t="shared" si="7"/>
        <v>3</v>
      </c>
    </row>
    <row r="375" spans="4:9" x14ac:dyDescent="0.2">
      <c r="D375" t="s">
        <v>118</v>
      </c>
      <c r="E375">
        <v>4</v>
      </c>
      <c r="F375">
        <v>4</v>
      </c>
      <c r="G375">
        <v>6</v>
      </c>
      <c r="H375">
        <v>4</v>
      </c>
      <c r="I375">
        <f t="shared" si="7"/>
        <v>4.5</v>
      </c>
    </row>
    <row r="376" spans="4:9" x14ac:dyDescent="0.2">
      <c r="D376" t="s">
        <v>119</v>
      </c>
      <c r="E376">
        <v>5</v>
      </c>
      <c r="F376">
        <v>6</v>
      </c>
      <c r="G376">
        <v>6</v>
      </c>
      <c r="H376">
        <v>6</v>
      </c>
      <c r="I376">
        <f t="shared" si="7"/>
        <v>5.75</v>
      </c>
    </row>
    <row r="377" spans="4:9" x14ac:dyDescent="0.2">
      <c r="D377" t="s">
        <v>120</v>
      </c>
      <c r="E377">
        <v>4</v>
      </c>
      <c r="F377">
        <v>3</v>
      </c>
      <c r="G377">
        <v>6</v>
      </c>
      <c r="H377">
        <v>2</v>
      </c>
      <c r="I377">
        <f t="shared" si="7"/>
        <v>3.75</v>
      </c>
    </row>
    <row r="378" spans="4:9" x14ac:dyDescent="0.2">
      <c r="D378" t="s">
        <v>121</v>
      </c>
      <c r="E378">
        <v>5</v>
      </c>
      <c r="F378">
        <v>4</v>
      </c>
      <c r="G378">
        <v>4</v>
      </c>
      <c r="H378">
        <v>5</v>
      </c>
      <c r="I378">
        <f t="shared" si="7"/>
        <v>4.5</v>
      </c>
    </row>
    <row r="379" spans="4:9" x14ac:dyDescent="0.2">
      <c r="D379" t="s">
        <v>122</v>
      </c>
      <c r="E379">
        <v>3</v>
      </c>
      <c r="F379">
        <v>7</v>
      </c>
      <c r="G379">
        <v>7</v>
      </c>
      <c r="H379">
        <v>7</v>
      </c>
      <c r="I379">
        <f t="shared" si="7"/>
        <v>6</v>
      </c>
    </row>
    <row r="380" spans="4:9" x14ac:dyDescent="0.2">
      <c r="D380" t="s">
        <v>123</v>
      </c>
      <c r="E380">
        <v>3</v>
      </c>
      <c r="F380">
        <v>4</v>
      </c>
      <c r="G380">
        <v>4</v>
      </c>
      <c r="H380">
        <v>4</v>
      </c>
      <c r="I380">
        <f t="shared" si="7"/>
        <v>3.75</v>
      </c>
    </row>
    <row r="381" spans="4:9" x14ac:dyDescent="0.2">
      <c r="D381" t="s">
        <v>124</v>
      </c>
      <c r="E381">
        <v>1</v>
      </c>
      <c r="F381">
        <v>1</v>
      </c>
      <c r="G381">
        <v>1</v>
      </c>
      <c r="H381">
        <v>1</v>
      </c>
      <c r="I381">
        <f t="shared" si="7"/>
        <v>1</v>
      </c>
    </row>
    <row r="382" spans="4:9" x14ac:dyDescent="0.2">
      <c r="D382" t="s">
        <v>125</v>
      </c>
      <c r="E382">
        <v>7</v>
      </c>
      <c r="F382">
        <v>7</v>
      </c>
      <c r="G382">
        <v>7</v>
      </c>
      <c r="H382">
        <v>7</v>
      </c>
      <c r="I382">
        <f t="shared" si="7"/>
        <v>7</v>
      </c>
    </row>
    <row r="383" spans="4:9" x14ac:dyDescent="0.2">
      <c r="D383" t="s">
        <v>126</v>
      </c>
      <c r="E383">
        <v>6</v>
      </c>
      <c r="F383">
        <v>5</v>
      </c>
      <c r="G383">
        <v>6</v>
      </c>
      <c r="H383">
        <v>6</v>
      </c>
      <c r="I383">
        <f t="shared" si="7"/>
        <v>5.75</v>
      </c>
    </row>
    <row r="384" spans="4:9" x14ac:dyDescent="0.2">
      <c r="D384" t="s">
        <v>127</v>
      </c>
      <c r="E384">
        <v>5</v>
      </c>
      <c r="F384">
        <v>5</v>
      </c>
      <c r="G384">
        <v>5</v>
      </c>
      <c r="H384">
        <v>5</v>
      </c>
      <c r="I384">
        <f t="shared" si="7"/>
        <v>5</v>
      </c>
    </row>
    <row r="385" spans="4:9" x14ac:dyDescent="0.2">
      <c r="D385" t="s">
        <v>128</v>
      </c>
      <c r="E385">
        <v>5</v>
      </c>
      <c r="F385">
        <v>6</v>
      </c>
      <c r="G385">
        <v>6</v>
      </c>
      <c r="H385">
        <v>6</v>
      </c>
      <c r="I385">
        <f t="shared" si="7"/>
        <v>5.75</v>
      </c>
    </row>
    <row r="386" spans="4:9" x14ac:dyDescent="0.2">
      <c r="D386" t="s">
        <v>129</v>
      </c>
      <c r="E386">
        <v>1</v>
      </c>
      <c r="F386">
        <v>3</v>
      </c>
      <c r="G386">
        <v>2</v>
      </c>
      <c r="H386">
        <v>4</v>
      </c>
      <c r="I386">
        <f t="shared" si="7"/>
        <v>2.5</v>
      </c>
    </row>
    <row r="387" spans="4:9" x14ac:dyDescent="0.2">
      <c r="D387" t="s">
        <v>131</v>
      </c>
      <c r="E387">
        <v>7</v>
      </c>
      <c r="F387">
        <v>7</v>
      </c>
      <c r="G387">
        <v>7</v>
      </c>
      <c r="H387">
        <v>7</v>
      </c>
      <c r="I387">
        <f t="shared" ref="I387:I450" si="8">AVERAGE(E387:H387)</f>
        <v>7</v>
      </c>
    </row>
    <row r="388" spans="4:9" x14ac:dyDescent="0.2">
      <c r="D388" t="s">
        <v>132</v>
      </c>
      <c r="E388">
        <v>6</v>
      </c>
      <c r="F388">
        <v>6</v>
      </c>
      <c r="G388">
        <v>6</v>
      </c>
      <c r="H388">
        <v>4</v>
      </c>
      <c r="I388">
        <f t="shared" si="8"/>
        <v>5.5</v>
      </c>
    </row>
    <row r="389" spans="4:9" x14ac:dyDescent="0.2">
      <c r="D389" t="s">
        <v>133</v>
      </c>
      <c r="E389">
        <v>5</v>
      </c>
      <c r="F389">
        <v>6</v>
      </c>
      <c r="G389">
        <v>6</v>
      </c>
      <c r="H389">
        <v>6</v>
      </c>
      <c r="I389">
        <f t="shared" si="8"/>
        <v>5.75</v>
      </c>
    </row>
    <row r="390" spans="4:9" x14ac:dyDescent="0.2">
      <c r="D390" t="s">
        <v>134</v>
      </c>
      <c r="E390">
        <v>7</v>
      </c>
      <c r="F390">
        <v>7</v>
      </c>
      <c r="G390">
        <v>5</v>
      </c>
      <c r="H390">
        <v>7</v>
      </c>
      <c r="I390">
        <f t="shared" si="8"/>
        <v>6.5</v>
      </c>
    </row>
    <row r="391" spans="4:9" x14ac:dyDescent="0.2">
      <c r="D391" t="s">
        <v>135</v>
      </c>
      <c r="E391">
        <v>7</v>
      </c>
      <c r="F391">
        <v>5</v>
      </c>
      <c r="G391">
        <v>7</v>
      </c>
      <c r="H391">
        <v>6</v>
      </c>
      <c r="I391">
        <f t="shared" si="8"/>
        <v>6.25</v>
      </c>
    </row>
    <row r="392" spans="4:9" x14ac:dyDescent="0.2">
      <c r="D392" t="s">
        <v>136</v>
      </c>
      <c r="E392">
        <v>5</v>
      </c>
      <c r="F392">
        <v>7</v>
      </c>
      <c r="G392">
        <v>4</v>
      </c>
      <c r="H392">
        <v>5</v>
      </c>
      <c r="I392">
        <f t="shared" si="8"/>
        <v>5.25</v>
      </c>
    </row>
    <row r="393" spans="4:9" x14ac:dyDescent="0.2">
      <c r="D393" t="s">
        <v>137</v>
      </c>
      <c r="E393">
        <v>2</v>
      </c>
      <c r="F393">
        <v>3</v>
      </c>
      <c r="G393">
        <v>3</v>
      </c>
      <c r="H393">
        <v>2</v>
      </c>
      <c r="I393">
        <f t="shared" si="8"/>
        <v>2.5</v>
      </c>
    </row>
    <row r="394" spans="4:9" x14ac:dyDescent="0.2">
      <c r="D394" t="s">
        <v>138</v>
      </c>
      <c r="E394">
        <v>5</v>
      </c>
      <c r="F394">
        <v>5</v>
      </c>
      <c r="G394">
        <v>6</v>
      </c>
      <c r="H394">
        <v>5</v>
      </c>
      <c r="I394">
        <f t="shared" si="8"/>
        <v>5.25</v>
      </c>
    </row>
    <row r="395" spans="4:9" x14ac:dyDescent="0.2">
      <c r="D395" t="s">
        <v>139</v>
      </c>
      <c r="E395">
        <v>5</v>
      </c>
      <c r="F395">
        <v>4</v>
      </c>
      <c r="G395">
        <v>4</v>
      </c>
      <c r="H395">
        <v>5</v>
      </c>
      <c r="I395">
        <f t="shared" si="8"/>
        <v>4.5</v>
      </c>
    </row>
    <row r="396" spans="4:9" x14ac:dyDescent="0.2">
      <c r="D396" t="s">
        <v>140</v>
      </c>
      <c r="E396">
        <v>2</v>
      </c>
      <c r="F396">
        <v>4</v>
      </c>
      <c r="G396">
        <v>5</v>
      </c>
      <c r="H396">
        <v>2</v>
      </c>
      <c r="I396">
        <f t="shared" si="8"/>
        <v>3.25</v>
      </c>
    </row>
    <row r="397" spans="4:9" x14ac:dyDescent="0.2">
      <c r="D397" t="s">
        <v>141</v>
      </c>
      <c r="E397">
        <v>6</v>
      </c>
      <c r="F397">
        <v>7</v>
      </c>
      <c r="G397">
        <v>7</v>
      </c>
      <c r="H397">
        <v>7</v>
      </c>
      <c r="I397">
        <f t="shared" si="8"/>
        <v>6.75</v>
      </c>
    </row>
    <row r="398" spans="4:9" x14ac:dyDescent="0.2">
      <c r="D398" t="s">
        <v>142</v>
      </c>
      <c r="E398">
        <v>7</v>
      </c>
      <c r="F398">
        <v>7</v>
      </c>
      <c r="G398">
        <v>7</v>
      </c>
      <c r="H398">
        <v>7</v>
      </c>
      <c r="I398">
        <f t="shared" si="8"/>
        <v>7</v>
      </c>
    </row>
    <row r="399" spans="4:9" x14ac:dyDescent="0.2">
      <c r="D399" t="s">
        <v>143</v>
      </c>
      <c r="E399">
        <v>5</v>
      </c>
      <c r="F399">
        <v>5</v>
      </c>
      <c r="G399">
        <v>2</v>
      </c>
      <c r="H399">
        <v>3</v>
      </c>
      <c r="I399">
        <f t="shared" si="8"/>
        <v>3.75</v>
      </c>
    </row>
    <row r="400" spans="4:9" x14ac:dyDescent="0.2">
      <c r="D400" t="s">
        <v>144</v>
      </c>
      <c r="E400">
        <v>1</v>
      </c>
      <c r="F400">
        <v>2</v>
      </c>
      <c r="G400">
        <v>2</v>
      </c>
      <c r="H400">
        <v>4</v>
      </c>
      <c r="I400">
        <f t="shared" si="8"/>
        <v>2.25</v>
      </c>
    </row>
    <row r="401" spans="4:9" x14ac:dyDescent="0.2">
      <c r="D401" t="s">
        <v>145</v>
      </c>
      <c r="E401">
        <v>3</v>
      </c>
      <c r="F401">
        <v>5</v>
      </c>
      <c r="G401">
        <v>7</v>
      </c>
      <c r="H401">
        <v>7</v>
      </c>
      <c r="I401">
        <f t="shared" si="8"/>
        <v>5.5</v>
      </c>
    </row>
    <row r="402" spans="4:9" x14ac:dyDescent="0.2">
      <c r="D402" t="s">
        <v>146</v>
      </c>
      <c r="E402">
        <v>2</v>
      </c>
      <c r="F402">
        <v>3</v>
      </c>
      <c r="G402">
        <v>2</v>
      </c>
      <c r="H402">
        <v>4</v>
      </c>
      <c r="I402">
        <f t="shared" si="8"/>
        <v>2.75</v>
      </c>
    </row>
    <row r="403" spans="4:9" x14ac:dyDescent="0.2">
      <c r="D403" t="s">
        <v>147</v>
      </c>
      <c r="E403">
        <v>5</v>
      </c>
      <c r="F403">
        <v>5</v>
      </c>
      <c r="G403">
        <v>5</v>
      </c>
      <c r="H403">
        <v>5</v>
      </c>
      <c r="I403">
        <f t="shared" si="8"/>
        <v>5</v>
      </c>
    </row>
    <row r="404" spans="4:9" x14ac:dyDescent="0.2">
      <c r="D404" t="s">
        <v>148</v>
      </c>
      <c r="E404">
        <v>4</v>
      </c>
      <c r="F404">
        <v>5</v>
      </c>
      <c r="G404">
        <v>4</v>
      </c>
      <c r="H404">
        <v>4</v>
      </c>
      <c r="I404">
        <f t="shared" si="8"/>
        <v>4.25</v>
      </c>
    </row>
    <row r="405" spans="4:9" x14ac:dyDescent="0.2">
      <c r="D405" t="s">
        <v>149</v>
      </c>
      <c r="E405">
        <v>1</v>
      </c>
      <c r="F405">
        <v>3</v>
      </c>
      <c r="G405">
        <v>6</v>
      </c>
      <c r="H405">
        <v>6</v>
      </c>
      <c r="I405">
        <f t="shared" si="8"/>
        <v>4</v>
      </c>
    </row>
    <row r="406" spans="4:9" x14ac:dyDescent="0.2">
      <c r="D406" t="s">
        <v>150</v>
      </c>
      <c r="E406">
        <v>2</v>
      </c>
      <c r="F406">
        <v>1</v>
      </c>
      <c r="G406">
        <v>2</v>
      </c>
      <c r="H406">
        <v>5</v>
      </c>
      <c r="I406">
        <f t="shared" si="8"/>
        <v>2.5</v>
      </c>
    </row>
    <row r="407" spans="4:9" x14ac:dyDescent="0.2">
      <c r="D407" t="s">
        <v>151</v>
      </c>
      <c r="E407">
        <v>7</v>
      </c>
      <c r="F407">
        <v>6</v>
      </c>
      <c r="G407">
        <v>4</v>
      </c>
      <c r="H407">
        <v>7</v>
      </c>
      <c r="I407">
        <f t="shared" si="8"/>
        <v>6</v>
      </c>
    </row>
    <row r="408" spans="4:9" x14ac:dyDescent="0.2">
      <c r="D408" t="s">
        <v>152</v>
      </c>
      <c r="E408">
        <v>1</v>
      </c>
      <c r="F408">
        <v>2</v>
      </c>
      <c r="G408">
        <v>1</v>
      </c>
      <c r="H408">
        <v>1</v>
      </c>
      <c r="I408">
        <f t="shared" si="8"/>
        <v>1.25</v>
      </c>
    </row>
    <row r="409" spans="4:9" x14ac:dyDescent="0.2">
      <c r="D409" t="s">
        <v>153</v>
      </c>
      <c r="E409">
        <v>5</v>
      </c>
      <c r="F409">
        <v>5</v>
      </c>
      <c r="G409">
        <v>5</v>
      </c>
      <c r="H409">
        <v>6</v>
      </c>
      <c r="I409">
        <f t="shared" si="8"/>
        <v>5.25</v>
      </c>
    </row>
    <row r="410" spans="4:9" x14ac:dyDescent="0.2">
      <c r="D410" t="s">
        <v>154</v>
      </c>
      <c r="E410">
        <v>5</v>
      </c>
      <c r="F410">
        <v>5</v>
      </c>
      <c r="G410">
        <v>5</v>
      </c>
      <c r="H410">
        <v>5</v>
      </c>
      <c r="I410">
        <f t="shared" si="8"/>
        <v>5</v>
      </c>
    </row>
    <row r="411" spans="4:9" x14ac:dyDescent="0.2">
      <c r="D411" t="s">
        <v>155</v>
      </c>
      <c r="E411">
        <v>4</v>
      </c>
      <c r="F411">
        <v>5</v>
      </c>
      <c r="G411">
        <v>6</v>
      </c>
      <c r="H411">
        <v>7</v>
      </c>
      <c r="I411">
        <f t="shared" si="8"/>
        <v>5.5</v>
      </c>
    </row>
    <row r="412" spans="4:9" x14ac:dyDescent="0.2">
      <c r="D412" t="s">
        <v>156</v>
      </c>
      <c r="E412">
        <v>1</v>
      </c>
      <c r="F412">
        <v>3</v>
      </c>
      <c r="G412">
        <v>1</v>
      </c>
      <c r="H412">
        <v>3</v>
      </c>
      <c r="I412">
        <f t="shared" si="8"/>
        <v>2</v>
      </c>
    </row>
    <row r="413" spans="4:9" x14ac:dyDescent="0.2">
      <c r="D413" t="s">
        <v>157</v>
      </c>
      <c r="E413">
        <v>4</v>
      </c>
      <c r="F413">
        <v>4</v>
      </c>
      <c r="G413">
        <v>4</v>
      </c>
      <c r="H413">
        <v>4</v>
      </c>
      <c r="I413">
        <f t="shared" si="8"/>
        <v>4</v>
      </c>
    </row>
    <row r="414" spans="4:9" x14ac:dyDescent="0.2">
      <c r="D414" t="s">
        <v>158</v>
      </c>
      <c r="E414">
        <v>3</v>
      </c>
      <c r="F414">
        <v>3</v>
      </c>
      <c r="G414">
        <v>5</v>
      </c>
      <c r="H414">
        <v>5</v>
      </c>
      <c r="I414">
        <f t="shared" si="8"/>
        <v>4</v>
      </c>
    </row>
    <row r="415" spans="4:9" x14ac:dyDescent="0.2">
      <c r="D415" t="s">
        <v>159</v>
      </c>
      <c r="E415">
        <v>3</v>
      </c>
      <c r="F415">
        <v>3</v>
      </c>
      <c r="G415">
        <v>5</v>
      </c>
      <c r="H415">
        <v>2</v>
      </c>
      <c r="I415">
        <f t="shared" si="8"/>
        <v>3.25</v>
      </c>
    </row>
    <row r="416" spans="4:9" x14ac:dyDescent="0.2">
      <c r="D416" t="s">
        <v>160</v>
      </c>
      <c r="E416">
        <v>3</v>
      </c>
      <c r="F416">
        <v>3</v>
      </c>
      <c r="G416">
        <v>7</v>
      </c>
      <c r="H416">
        <v>7</v>
      </c>
      <c r="I416">
        <f t="shared" si="8"/>
        <v>5</v>
      </c>
    </row>
    <row r="417" spans="4:9" x14ac:dyDescent="0.2">
      <c r="D417" t="s">
        <v>161</v>
      </c>
      <c r="E417">
        <v>4</v>
      </c>
      <c r="F417">
        <v>6</v>
      </c>
      <c r="G417">
        <v>7</v>
      </c>
      <c r="H417">
        <v>7</v>
      </c>
      <c r="I417">
        <f t="shared" si="8"/>
        <v>6</v>
      </c>
    </row>
    <row r="418" spans="4:9" x14ac:dyDescent="0.2">
      <c r="D418" t="s">
        <v>162</v>
      </c>
      <c r="E418">
        <v>3</v>
      </c>
      <c r="F418">
        <v>5</v>
      </c>
      <c r="G418">
        <v>2</v>
      </c>
      <c r="H418">
        <v>4</v>
      </c>
      <c r="I418">
        <f t="shared" si="8"/>
        <v>3.5</v>
      </c>
    </row>
    <row r="419" spans="4:9" x14ac:dyDescent="0.2">
      <c r="D419" t="s">
        <v>163</v>
      </c>
      <c r="E419">
        <v>7</v>
      </c>
      <c r="F419">
        <v>7</v>
      </c>
      <c r="G419">
        <v>7</v>
      </c>
      <c r="H419">
        <v>7</v>
      </c>
      <c r="I419">
        <f t="shared" si="8"/>
        <v>7</v>
      </c>
    </row>
    <row r="420" spans="4:9" x14ac:dyDescent="0.2">
      <c r="D420" t="s">
        <v>165</v>
      </c>
      <c r="E420">
        <v>7</v>
      </c>
      <c r="F420">
        <v>7</v>
      </c>
      <c r="G420">
        <v>7</v>
      </c>
      <c r="H420">
        <v>7</v>
      </c>
      <c r="I420">
        <f t="shared" si="8"/>
        <v>7</v>
      </c>
    </row>
    <row r="421" spans="4:9" x14ac:dyDescent="0.2">
      <c r="D421" t="s">
        <v>166</v>
      </c>
      <c r="E421">
        <v>5</v>
      </c>
      <c r="F421">
        <v>6</v>
      </c>
      <c r="G421">
        <v>6</v>
      </c>
      <c r="H421">
        <v>5</v>
      </c>
      <c r="I421">
        <f t="shared" si="8"/>
        <v>5.5</v>
      </c>
    </row>
    <row r="422" spans="4:9" x14ac:dyDescent="0.2">
      <c r="D422" t="s">
        <v>167</v>
      </c>
      <c r="E422">
        <v>5</v>
      </c>
      <c r="F422">
        <v>6</v>
      </c>
      <c r="G422">
        <v>5</v>
      </c>
      <c r="H422">
        <v>4</v>
      </c>
      <c r="I422">
        <f t="shared" si="8"/>
        <v>5</v>
      </c>
    </row>
    <row r="423" spans="4:9" x14ac:dyDescent="0.2">
      <c r="D423" t="s">
        <v>168</v>
      </c>
      <c r="E423">
        <v>2</v>
      </c>
      <c r="F423">
        <v>5</v>
      </c>
      <c r="G423">
        <v>2</v>
      </c>
      <c r="H423">
        <v>5</v>
      </c>
      <c r="I423">
        <f t="shared" si="8"/>
        <v>3.5</v>
      </c>
    </row>
    <row r="424" spans="4:9" x14ac:dyDescent="0.2">
      <c r="D424" t="s">
        <v>169</v>
      </c>
      <c r="E424">
        <v>2</v>
      </c>
      <c r="F424">
        <v>2</v>
      </c>
      <c r="G424">
        <v>5</v>
      </c>
      <c r="H424">
        <v>2</v>
      </c>
      <c r="I424">
        <f t="shared" si="8"/>
        <v>2.75</v>
      </c>
    </row>
    <row r="425" spans="4:9" x14ac:dyDescent="0.2">
      <c r="D425" t="s">
        <v>170</v>
      </c>
      <c r="E425">
        <v>3</v>
      </c>
      <c r="F425">
        <v>3</v>
      </c>
      <c r="G425">
        <v>2</v>
      </c>
      <c r="H425">
        <v>2</v>
      </c>
      <c r="I425">
        <f t="shared" si="8"/>
        <v>2.5</v>
      </c>
    </row>
    <row r="426" spans="4:9" x14ac:dyDescent="0.2">
      <c r="D426" t="s">
        <v>171</v>
      </c>
      <c r="E426">
        <v>3</v>
      </c>
      <c r="F426">
        <v>3</v>
      </c>
      <c r="G426">
        <v>5</v>
      </c>
      <c r="H426">
        <v>6</v>
      </c>
      <c r="I426">
        <f t="shared" si="8"/>
        <v>4.25</v>
      </c>
    </row>
    <row r="427" spans="4:9" x14ac:dyDescent="0.2">
      <c r="D427" t="s">
        <v>172</v>
      </c>
      <c r="E427">
        <v>7</v>
      </c>
      <c r="F427">
        <v>7</v>
      </c>
      <c r="G427">
        <v>7</v>
      </c>
      <c r="H427">
        <v>1</v>
      </c>
      <c r="I427">
        <f t="shared" si="8"/>
        <v>5.5</v>
      </c>
    </row>
    <row r="428" spans="4:9" x14ac:dyDescent="0.2">
      <c r="D428" t="s">
        <v>173</v>
      </c>
      <c r="E428">
        <v>4</v>
      </c>
      <c r="F428">
        <v>5</v>
      </c>
      <c r="G428">
        <v>5</v>
      </c>
      <c r="H428">
        <v>6</v>
      </c>
      <c r="I428">
        <f t="shared" si="8"/>
        <v>5</v>
      </c>
    </row>
    <row r="429" spans="4:9" x14ac:dyDescent="0.2">
      <c r="D429" t="s">
        <v>174</v>
      </c>
      <c r="E429">
        <v>1</v>
      </c>
      <c r="F429">
        <v>3</v>
      </c>
      <c r="G429">
        <v>4</v>
      </c>
      <c r="H429">
        <v>4</v>
      </c>
      <c r="I429">
        <f t="shared" si="8"/>
        <v>3</v>
      </c>
    </row>
    <row r="430" spans="4:9" x14ac:dyDescent="0.2">
      <c r="D430" t="s">
        <v>175</v>
      </c>
      <c r="E430">
        <v>7</v>
      </c>
      <c r="F430">
        <v>7</v>
      </c>
      <c r="G430">
        <v>7</v>
      </c>
      <c r="H430">
        <v>7</v>
      </c>
      <c r="I430">
        <f t="shared" si="8"/>
        <v>7</v>
      </c>
    </row>
    <row r="431" spans="4:9" x14ac:dyDescent="0.2">
      <c r="D431" t="s">
        <v>176</v>
      </c>
      <c r="E431">
        <v>1</v>
      </c>
      <c r="F431">
        <v>1</v>
      </c>
      <c r="G431">
        <v>7</v>
      </c>
      <c r="H431">
        <v>7</v>
      </c>
      <c r="I431">
        <f t="shared" si="8"/>
        <v>4</v>
      </c>
    </row>
    <row r="432" spans="4:9" x14ac:dyDescent="0.2">
      <c r="D432" t="s">
        <v>177</v>
      </c>
      <c r="E432">
        <v>2</v>
      </c>
      <c r="F432">
        <v>1</v>
      </c>
      <c r="G432">
        <v>6</v>
      </c>
      <c r="H432">
        <v>5</v>
      </c>
      <c r="I432">
        <f t="shared" si="8"/>
        <v>3.5</v>
      </c>
    </row>
    <row r="433" spans="4:9" x14ac:dyDescent="0.2">
      <c r="D433" t="s">
        <v>178</v>
      </c>
      <c r="E433">
        <v>6</v>
      </c>
      <c r="F433">
        <v>6</v>
      </c>
      <c r="G433">
        <v>7</v>
      </c>
      <c r="H433">
        <v>6</v>
      </c>
      <c r="I433">
        <f t="shared" si="8"/>
        <v>6.25</v>
      </c>
    </row>
    <row r="434" spans="4:9" x14ac:dyDescent="0.2">
      <c r="D434" t="s">
        <v>179</v>
      </c>
      <c r="E434">
        <v>6</v>
      </c>
      <c r="F434">
        <v>6</v>
      </c>
      <c r="G434">
        <v>6</v>
      </c>
      <c r="H434">
        <v>6</v>
      </c>
      <c r="I434">
        <f t="shared" si="8"/>
        <v>6</v>
      </c>
    </row>
    <row r="435" spans="4:9" x14ac:dyDescent="0.2">
      <c r="D435" t="s">
        <v>180</v>
      </c>
      <c r="E435">
        <v>3</v>
      </c>
      <c r="F435">
        <v>5</v>
      </c>
      <c r="G435">
        <v>5</v>
      </c>
      <c r="H435">
        <v>6</v>
      </c>
      <c r="I435">
        <f t="shared" si="8"/>
        <v>4.75</v>
      </c>
    </row>
    <row r="436" spans="4:9" x14ac:dyDescent="0.2">
      <c r="D436" t="s">
        <v>181</v>
      </c>
      <c r="E436">
        <v>6</v>
      </c>
      <c r="F436">
        <v>6</v>
      </c>
      <c r="G436">
        <v>7</v>
      </c>
      <c r="H436">
        <v>7</v>
      </c>
      <c r="I436">
        <f t="shared" si="8"/>
        <v>6.5</v>
      </c>
    </row>
    <row r="437" spans="4:9" x14ac:dyDescent="0.2">
      <c r="D437" t="s">
        <v>182</v>
      </c>
      <c r="E437">
        <v>2</v>
      </c>
      <c r="F437">
        <v>5</v>
      </c>
      <c r="G437">
        <v>7</v>
      </c>
      <c r="H437">
        <v>6</v>
      </c>
      <c r="I437">
        <f t="shared" si="8"/>
        <v>5</v>
      </c>
    </row>
    <row r="438" spans="4:9" x14ac:dyDescent="0.2">
      <c r="D438" t="s">
        <v>183</v>
      </c>
      <c r="E438">
        <v>3</v>
      </c>
      <c r="F438">
        <v>7</v>
      </c>
      <c r="G438">
        <v>7</v>
      </c>
      <c r="H438">
        <v>4</v>
      </c>
      <c r="I438">
        <f t="shared" si="8"/>
        <v>5.25</v>
      </c>
    </row>
    <row r="439" spans="4:9" x14ac:dyDescent="0.2">
      <c r="D439" t="s">
        <v>184</v>
      </c>
      <c r="E439">
        <v>1</v>
      </c>
      <c r="F439">
        <v>1</v>
      </c>
      <c r="G439">
        <v>3</v>
      </c>
      <c r="H439">
        <v>1</v>
      </c>
      <c r="I439">
        <f t="shared" si="8"/>
        <v>1.5</v>
      </c>
    </row>
    <row r="440" spans="4:9" x14ac:dyDescent="0.2">
      <c r="D440" t="s">
        <v>185</v>
      </c>
      <c r="E440">
        <v>5</v>
      </c>
      <c r="F440">
        <v>5</v>
      </c>
      <c r="G440">
        <v>5</v>
      </c>
      <c r="H440">
        <v>5</v>
      </c>
      <c r="I440">
        <f t="shared" si="8"/>
        <v>5</v>
      </c>
    </row>
    <row r="441" spans="4:9" x14ac:dyDescent="0.2">
      <c r="D441" t="s">
        <v>186</v>
      </c>
      <c r="E441">
        <v>7</v>
      </c>
      <c r="F441">
        <v>5</v>
      </c>
      <c r="G441">
        <v>6</v>
      </c>
      <c r="H441">
        <v>7</v>
      </c>
      <c r="I441">
        <f t="shared" si="8"/>
        <v>6.25</v>
      </c>
    </row>
    <row r="442" spans="4:9" x14ac:dyDescent="0.2">
      <c r="D442" t="s">
        <v>187</v>
      </c>
      <c r="E442">
        <v>2</v>
      </c>
      <c r="F442">
        <v>4</v>
      </c>
      <c r="G442">
        <v>3</v>
      </c>
      <c r="H442">
        <v>5</v>
      </c>
      <c r="I442">
        <f t="shared" si="8"/>
        <v>3.5</v>
      </c>
    </row>
    <row r="443" spans="4:9" x14ac:dyDescent="0.2">
      <c r="D443" t="s">
        <v>188</v>
      </c>
      <c r="E443">
        <v>2</v>
      </c>
      <c r="F443">
        <v>6</v>
      </c>
      <c r="G443">
        <v>5</v>
      </c>
      <c r="H443">
        <v>6</v>
      </c>
      <c r="I443">
        <f t="shared" si="8"/>
        <v>4.75</v>
      </c>
    </row>
    <row r="444" spans="4:9" x14ac:dyDescent="0.2">
      <c r="D444" t="s">
        <v>189</v>
      </c>
      <c r="E444">
        <v>3</v>
      </c>
      <c r="F444">
        <v>3</v>
      </c>
      <c r="G444">
        <v>3</v>
      </c>
      <c r="H444">
        <v>3</v>
      </c>
      <c r="I444">
        <f t="shared" si="8"/>
        <v>3</v>
      </c>
    </row>
    <row r="445" spans="4:9" x14ac:dyDescent="0.2">
      <c r="D445" t="s">
        <v>190</v>
      </c>
      <c r="E445">
        <v>6</v>
      </c>
      <c r="F445">
        <v>6</v>
      </c>
      <c r="G445">
        <v>6</v>
      </c>
      <c r="H445">
        <v>6</v>
      </c>
      <c r="I445">
        <f t="shared" si="8"/>
        <v>6</v>
      </c>
    </row>
    <row r="446" spans="4:9" x14ac:dyDescent="0.2">
      <c r="D446" t="s">
        <v>191</v>
      </c>
      <c r="E446">
        <v>2</v>
      </c>
      <c r="F446">
        <v>6</v>
      </c>
      <c r="G446">
        <v>7</v>
      </c>
      <c r="H446">
        <v>7</v>
      </c>
      <c r="I446">
        <f t="shared" si="8"/>
        <v>5.5</v>
      </c>
    </row>
    <row r="447" spans="4:9" x14ac:dyDescent="0.2">
      <c r="D447" t="s">
        <v>192</v>
      </c>
      <c r="E447">
        <v>2</v>
      </c>
      <c r="F447">
        <v>1</v>
      </c>
      <c r="G447">
        <v>2</v>
      </c>
      <c r="H447">
        <v>2</v>
      </c>
      <c r="I447">
        <f t="shared" si="8"/>
        <v>1.75</v>
      </c>
    </row>
    <row r="448" spans="4:9" x14ac:dyDescent="0.2">
      <c r="D448" t="s">
        <v>193</v>
      </c>
      <c r="E448">
        <v>2</v>
      </c>
      <c r="F448">
        <v>2</v>
      </c>
      <c r="G448">
        <v>1</v>
      </c>
      <c r="H448">
        <v>5</v>
      </c>
      <c r="I448">
        <f t="shared" si="8"/>
        <v>2.5</v>
      </c>
    </row>
    <row r="449" spans="4:9" x14ac:dyDescent="0.2">
      <c r="D449" t="s">
        <v>67</v>
      </c>
      <c r="E449">
        <v>3</v>
      </c>
      <c r="F449">
        <v>2</v>
      </c>
      <c r="G449">
        <v>5</v>
      </c>
      <c r="H449">
        <v>6</v>
      </c>
      <c r="I449">
        <f t="shared" si="8"/>
        <v>4</v>
      </c>
    </row>
    <row r="450" spans="4:9" x14ac:dyDescent="0.2">
      <c r="D450" t="s">
        <v>70</v>
      </c>
      <c r="E450">
        <v>7</v>
      </c>
      <c r="F450">
        <v>7</v>
      </c>
      <c r="G450">
        <v>7</v>
      </c>
      <c r="H450">
        <v>7</v>
      </c>
      <c r="I450">
        <f t="shared" si="8"/>
        <v>7</v>
      </c>
    </row>
    <row r="451" spans="4:9" x14ac:dyDescent="0.2">
      <c r="D451" t="s">
        <v>72</v>
      </c>
      <c r="E451">
        <v>3</v>
      </c>
      <c r="F451">
        <v>3</v>
      </c>
      <c r="G451">
        <v>6</v>
      </c>
      <c r="H451">
        <v>6</v>
      </c>
      <c r="I451">
        <f t="shared" ref="I451:I514" si="9">AVERAGE(E451:H451)</f>
        <v>4.5</v>
      </c>
    </row>
    <row r="452" spans="4:9" x14ac:dyDescent="0.2">
      <c r="D452" t="s">
        <v>74</v>
      </c>
      <c r="E452">
        <v>1</v>
      </c>
      <c r="F452">
        <v>1</v>
      </c>
      <c r="G452">
        <v>1</v>
      </c>
      <c r="H452">
        <v>4</v>
      </c>
      <c r="I452">
        <f t="shared" si="9"/>
        <v>1.75</v>
      </c>
    </row>
    <row r="453" spans="4:9" x14ac:dyDescent="0.2">
      <c r="D453" t="s">
        <v>75</v>
      </c>
      <c r="E453">
        <v>6</v>
      </c>
      <c r="F453">
        <v>6</v>
      </c>
      <c r="G453">
        <v>6</v>
      </c>
      <c r="H453">
        <v>6</v>
      </c>
      <c r="I453">
        <f t="shared" si="9"/>
        <v>6</v>
      </c>
    </row>
    <row r="454" spans="4:9" x14ac:dyDescent="0.2">
      <c r="D454" t="s">
        <v>77</v>
      </c>
      <c r="E454">
        <v>5</v>
      </c>
      <c r="F454">
        <v>5</v>
      </c>
      <c r="G454">
        <v>5</v>
      </c>
      <c r="H454">
        <v>5</v>
      </c>
      <c r="I454">
        <f t="shared" si="9"/>
        <v>5</v>
      </c>
    </row>
    <row r="455" spans="4:9" x14ac:dyDescent="0.2">
      <c r="D455" t="s">
        <v>79</v>
      </c>
      <c r="E455">
        <v>3</v>
      </c>
      <c r="F455">
        <v>5</v>
      </c>
      <c r="G455">
        <v>6</v>
      </c>
      <c r="H455">
        <v>2</v>
      </c>
      <c r="I455">
        <f t="shared" si="9"/>
        <v>4</v>
      </c>
    </row>
    <row r="456" spans="4:9" x14ac:dyDescent="0.2">
      <c r="D456" t="s">
        <v>81</v>
      </c>
      <c r="E456">
        <v>2</v>
      </c>
      <c r="F456">
        <v>4</v>
      </c>
      <c r="G456">
        <v>5</v>
      </c>
      <c r="H456">
        <v>4</v>
      </c>
      <c r="I456">
        <f t="shared" si="9"/>
        <v>3.75</v>
      </c>
    </row>
    <row r="457" spans="4:9" x14ac:dyDescent="0.2">
      <c r="D457" t="s">
        <v>83</v>
      </c>
      <c r="E457">
        <v>2</v>
      </c>
      <c r="F457">
        <v>2</v>
      </c>
      <c r="G457">
        <v>4</v>
      </c>
      <c r="H457">
        <v>4</v>
      </c>
      <c r="I457">
        <f t="shared" si="9"/>
        <v>3</v>
      </c>
    </row>
    <row r="458" spans="4:9" x14ac:dyDescent="0.2">
      <c r="D458" t="s">
        <v>84</v>
      </c>
      <c r="E458">
        <v>4</v>
      </c>
      <c r="F458">
        <v>4</v>
      </c>
      <c r="G458">
        <v>4</v>
      </c>
      <c r="H458">
        <v>4</v>
      </c>
      <c r="I458">
        <f t="shared" si="9"/>
        <v>4</v>
      </c>
    </row>
    <row r="459" spans="4:9" x14ac:dyDescent="0.2">
      <c r="D459" t="s">
        <v>86</v>
      </c>
      <c r="E459">
        <v>7</v>
      </c>
      <c r="F459">
        <v>7</v>
      </c>
      <c r="G459">
        <v>7</v>
      </c>
      <c r="H459">
        <v>7</v>
      </c>
      <c r="I459">
        <f t="shared" si="9"/>
        <v>7</v>
      </c>
    </row>
    <row r="460" spans="4:9" x14ac:dyDescent="0.2">
      <c r="D460" t="s">
        <v>87</v>
      </c>
      <c r="E460">
        <v>7</v>
      </c>
      <c r="F460">
        <v>6</v>
      </c>
      <c r="G460">
        <v>7</v>
      </c>
      <c r="H460">
        <v>7</v>
      </c>
      <c r="I460">
        <f t="shared" si="9"/>
        <v>6.75</v>
      </c>
    </row>
    <row r="461" spans="4:9" x14ac:dyDescent="0.2">
      <c r="D461" t="s">
        <v>89</v>
      </c>
      <c r="E461">
        <v>5</v>
      </c>
      <c r="F461">
        <v>5</v>
      </c>
      <c r="G461">
        <v>6</v>
      </c>
      <c r="H461">
        <v>6</v>
      </c>
      <c r="I461">
        <f t="shared" si="9"/>
        <v>5.5</v>
      </c>
    </row>
    <row r="462" spans="4:9" x14ac:dyDescent="0.2">
      <c r="D462" t="s">
        <v>90</v>
      </c>
      <c r="E462">
        <v>5</v>
      </c>
      <c r="F462">
        <v>5</v>
      </c>
      <c r="G462">
        <v>6</v>
      </c>
      <c r="H462">
        <v>5</v>
      </c>
      <c r="I462">
        <f t="shared" si="9"/>
        <v>5.25</v>
      </c>
    </row>
    <row r="463" spans="4:9" x14ac:dyDescent="0.2">
      <c r="D463" t="s">
        <v>91</v>
      </c>
      <c r="E463">
        <v>2</v>
      </c>
      <c r="F463">
        <v>2</v>
      </c>
      <c r="G463">
        <v>3</v>
      </c>
      <c r="H463">
        <v>7</v>
      </c>
      <c r="I463">
        <f t="shared" si="9"/>
        <v>3.5</v>
      </c>
    </row>
    <row r="464" spans="4:9" x14ac:dyDescent="0.2">
      <c r="D464" t="s">
        <v>92</v>
      </c>
      <c r="E464">
        <v>1</v>
      </c>
      <c r="F464">
        <v>1</v>
      </c>
      <c r="G464">
        <v>6</v>
      </c>
      <c r="H464">
        <v>1</v>
      </c>
      <c r="I464">
        <f t="shared" si="9"/>
        <v>2.25</v>
      </c>
    </row>
    <row r="465" spans="4:9" x14ac:dyDescent="0.2">
      <c r="D465" t="s">
        <v>94</v>
      </c>
      <c r="E465">
        <v>6</v>
      </c>
      <c r="F465">
        <v>7</v>
      </c>
      <c r="G465">
        <v>7</v>
      </c>
      <c r="H465">
        <v>6</v>
      </c>
      <c r="I465">
        <f t="shared" si="9"/>
        <v>6.5</v>
      </c>
    </row>
    <row r="466" spans="4:9" x14ac:dyDescent="0.2">
      <c r="D466" t="s">
        <v>95</v>
      </c>
      <c r="E466">
        <v>4</v>
      </c>
      <c r="F466">
        <v>4</v>
      </c>
      <c r="G466">
        <v>4</v>
      </c>
      <c r="H466">
        <v>4</v>
      </c>
      <c r="I466">
        <f t="shared" si="9"/>
        <v>4</v>
      </c>
    </row>
    <row r="467" spans="4:9" x14ac:dyDescent="0.2">
      <c r="D467" t="s">
        <v>96</v>
      </c>
      <c r="E467">
        <v>5</v>
      </c>
      <c r="F467">
        <v>5</v>
      </c>
      <c r="G467">
        <v>5</v>
      </c>
      <c r="H467">
        <v>4</v>
      </c>
      <c r="I467">
        <f t="shared" si="9"/>
        <v>4.75</v>
      </c>
    </row>
    <row r="468" spans="4:9" x14ac:dyDescent="0.2">
      <c r="D468" t="s">
        <v>98</v>
      </c>
      <c r="E468">
        <v>5</v>
      </c>
      <c r="F468">
        <v>6</v>
      </c>
      <c r="G468">
        <v>5</v>
      </c>
      <c r="H468">
        <v>6</v>
      </c>
      <c r="I468">
        <f t="shared" si="9"/>
        <v>5.5</v>
      </c>
    </row>
    <row r="469" spans="4:9" x14ac:dyDescent="0.2">
      <c r="D469" t="s">
        <v>99</v>
      </c>
      <c r="E469">
        <v>3</v>
      </c>
      <c r="F469">
        <v>5</v>
      </c>
      <c r="G469">
        <v>6</v>
      </c>
      <c r="H469">
        <v>6</v>
      </c>
      <c r="I469">
        <f t="shared" si="9"/>
        <v>5</v>
      </c>
    </row>
    <row r="470" spans="4:9" x14ac:dyDescent="0.2">
      <c r="D470" t="s">
        <v>100</v>
      </c>
      <c r="E470">
        <v>7</v>
      </c>
      <c r="F470">
        <v>6</v>
      </c>
      <c r="G470">
        <v>7</v>
      </c>
      <c r="H470">
        <v>7</v>
      </c>
      <c r="I470">
        <f t="shared" si="9"/>
        <v>6.75</v>
      </c>
    </row>
    <row r="471" spans="4:9" x14ac:dyDescent="0.2">
      <c r="D471" t="s">
        <v>101</v>
      </c>
      <c r="E471">
        <v>1</v>
      </c>
      <c r="F471">
        <v>1</v>
      </c>
      <c r="G471">
        <v>1</v>
      </c>
      <c r="H471">
        <v>4</v>
      </c>
      <c r="I471">
        <f t="shared" si="9"/>
        <v>1.75</v>
      </c>
    </row>
    <row r="472" spans="4:9" x14ac:dyDescent="0.2">
      <c r="D472" t="s">
        <v>102</v>
      </c>
      <c r="E472">
        <v>6</v>
      </c>
      <c r="F472">
        <v>4</v>
      </c>
      <c r="G472">
        <v>4</v>
      </c>
      <c r="H472">
        <v>2</v>
      </c>
      <c r="I472">
        <f t="shared" si="9"/>
        <v>4</v>
      </c>
    </row>
    <row r="473" spans="4:9" x14ac:dyDescent="0.2">
      <c r="D473" t="s">
        <v>103</v>
      </c>
      <c r="E473">
        <v>7</v>
      </c>
      <c r="F473">
        <v>7</v>
      </c>
      <c r="G473">
        <v>7</v>
      </c>
      <c r="H473">
        <v>7</v>
      </c>
      <c r="I473">
        <f t="shared" si="9"/>
        <v>7</v>
      </c>
    </row>
    <row r="474" spans="4:9" x14ac:dyDescent="0.2">
      <c r="D474" t="s">
        <v>104</v>
      </c>
      <c r="E474">
        <v>5</v>
      </c>
      <c r="F474">
        <v>5</v>
      </c>
      <c r="G474">
        <v>6</v>
      </c>
      <c r="H474">
        <v>7</v>
      </c>
      <c r="I474">
        <f t="shared" si="9"/>
        <v>5.75</v>
      </c>
    </row>
    <row r="475" spans="4:9" x14ac:dyDescent="0.2">
      <c r="D475" t="s">
        <v>105</v>
      </c>
      <c r="E475">
        <v>6</v>
      </c>
      <c r="F475">
        <v>5</v>
      </c>
      <c r="G475">
        <v>6</v>
      </c>
      <c r="H475">
        <v>6</v>
      </c>
      <c r="I475">
        <f t="shared" si="9"/>
        <v>5.75</v>
      </c>
    </row>
    <row r="476" spans="4:9" x14ac:dyDescent="0.2">
      <c r="D476" t="s">
        <v>106</v>
      </c>
      <c r="E476">
        <v>5</v>
      </c>
      <c r="F476">
        <v>5</v>
      </c>
      <c r="G476">
        <v>5</v>
      </c>
      <c r="H476">
        <v>6</v>
      </c>
      <c r="I476">
        <f t="shared" si="9"/>
        <v>5.25</v>
      </c>
    </row>
    <row r="477" spans="4:9" x14ac:dyDescent="0.2">
      <c r="D477" t="s">
        <v>107</v>
      </c>
      <c r="E477">
        <v>4</v>
      </c>
      <c r="F477">
        <v>5</v>
      </c>
      <c r="G477">
        <v>5</v>
      </c>
      <c r="H477">
        <v>6</v>
      </c>
      <c r="I477">
        <f t="shared" si="9"/>
        <v>5</v>
      </c>
    </row>
    <row r="478" spans="4:9" x14ac:dyDescent="0.2">
      <c r="D478" t="s">
        <v>108</v>
      </c>
      <c r="E478">
        <v>4</v>
      </c>
      <c r="F478">
        <v>4</v>
      </c>
      <c r="G478">
        <v>4</v>
      </c>
      <c r="H478">
        <v>4</v>
      </c>
      <c r="I478">
        <f t="shared" si="9"/>
        <v>4</v>
      </c>
    </row>
    <row r="479" spans="4:9" x14ac:dyDescent="0.2">
      <c r="D479" t="s">
        <v>109</v>
      </c>
      <c r="E479">
        <v>1</v>
      </c>
      <c r="F479">
        <v>4</v>
      </c>
      <c r="G479">
        <v>1</v>
      </c>
      <c r="H479">
        <v>4</v>
      </c>
      <c r="I479">
        <f t="shared" si="9"/>
        <v>2.5</v>
      </c>
    </row>
    <row r="480" spans="4:9" x14ac:dyDescent="0.2">
      <c r="D480" t="s">
        <v>110</v>
      </c>
      <c r="E480">
        <v>1</v>
      </c>
      <c r="F480">
        <v>3</v>
      </c>
      <c r="G480">
        <v>2</v>
      </c>
      <c r="H480">
        <v>6</v>
      </c>
      <c r="I480">
        <f t="shared" si="9"/>
        <v>3</v>
      </c>
    </row>
    <row r="481" spans="4:9" x14ac:dyDescent="0.2">
      <c r="D481" t="s">
        <v>111</v>
      </c>
      <c r="E481">
        <v>5</v>
      </c>
      <c r="F481">
        <v>3</v>
      </c>
      <c r="G481">
        <v>5</v>
      </c>
      <c r="H481">
        <v>7</v>
      </c>
      <c r="I481">
        <f t="shared" si="9"/>
        <v>5</v>
      </c>
    </row>
    <row r="482" spans="4:9" x14ac:dyDescent="0.2">
      <c r="D482" t="s">
        <v>112</v>
      </c>
      <c r="E482">
        <v>3</v>
      </c>
      <c r="F482">
        <v>3</v>
      </c>
      <c r="G482">
        <v>3</v>
      </c>
      <c r="H482">
        <v>3</v>
      </c>
      <c r="I482">
        <f t="shared" si="9"/>
        <v>3</v>
      </c>
    </row>
    <row r="483" spans="4:9" x14ac:dyDescent="0.2">
      <c r="D483" t="s">
        <v>113</v>
      </c>
      <c r="E483">
        <v>5</v>
      </c>
      <c r="F483">
        <v>5</v>
      </c>
      <c r="G483">
        <v>5</v>
      </c>
      <c r="H483">
        <v>5</v>
      </c>
      <c r="I483">
        <f t="shared" si="9"/>
        <v>5</v>
      </c>
    </row>
    <row r="484" spans="4:9" x14ac:dyDescent="0.2">
      <c r="D484" t="s">
        <v>114</v>
      </c>
      <c r="E484">
        <v>6</v>
      </c>
      <c r="F484">
        <v>6</v>
      </c>
      <c r="G484">
        <v>6</v>
      </c>
      <c r="H484">
        <v>6</v>
      </c>
      <c r="I484">
        <f t="shared" si="9"/>
        <v>6</v>
      </c>
    </row>
    <row r="485" spans="4:9" x14ac:dyDescent="0.2">
      <c r="D485" t="s">
        <v>115</v>
      </c>
      <c r="E485">
        <v>5</v>
      </c>
      <c r="F485">
        <v>5</v>
      </c>
      <c r="G485">
        <v>5</v>
      </c>
      <c r="H485">
        <v>7</v>
      </c>
      <c r="I485">
        <f t="shared" si="9"/>
        <v>5.5</v>
      </c>
    </row>
    <row r="486" spans="4:9" x14ac:dyDescent="0.2">
      <c r="D486" t="s">
        <v>116</v>
      </c>
      <c r="E486">
        <v>5</v>
      </c>
      <c r="F486">
        <v>5</v>
      </c>
      <c r="G486">
        <v>6</v>
      </c>
      <c r="H486">
        <v>3</v>
      </c>
      <c r="I486">
        <f t="shared" si="9"/>
        <v>4.75</v>
      </c>
    </row>
    <row r="487" spans="4:9" x14ac:dyDescent="0.2">
      <c r="D487" t="s">
        <v>117</v>
      </c>
      <c r="E487">
        <v>5</v>
      </c>
      <c r="F487">
        <v>5</v>
      </c>
      <c r="G487">
        <v>7</v>
      </c>
      <c r="H487">
        <v>6</v>
      </c>
      <c r="I487">
        <f t="shared" si="9"/>
        <v>5.75</v>
      </c>
    </row>
    <row r="488" spans="4:9" x14ac:dyDescent="0.2">
      <c r="D488" t="s">
        <v>118</v>
      </c>
      <c r="E488">
        <v>6</v>
      </c>
      <c r="F488">
        <v>6</v>
      </c>
      <c r="G488">
        <v>6</v>
      </c>
      <c r="H488">
        <v>6</v>
      </c>
      <c r="I488">
        <f t="shared" si="9"/>
        <v>6</v>
      </c>
    </row>
    <row r="489" spans="4:9" x14ac:dyDescent="0.2">
      <c r="D489" t="s">
        <v>119</v>
      </c>
      <c r="E489">
        <v>5</v>
      </c>
      <c r="F489">
        <v>5</v>
      </c>
      <c r="G489">
        <v>5</v>
      </c>
      <c r="H489">
        <v>5</v>
      </c>
      <c r="I489">
        <f t="shared" si="9"/>
        <v>5</v>
      </c>
    </row>
    <row r="490" spans="4:9" x14ac:dyDescent="0.2">
      <c r="D490" t="s">
        <v>120</v>
      </c>
      <c r="E490">
        <v>4</v>
      </c>
      <c r="F490">
        <v>4</v>
      </c>
      <c r="G490">
        <v>3</v>
      </c>
      <c r="H490">
        <v>6</v>
      </c>
      <c r="I490">
        <f t="shared" si="9"/>
        <v>4.25</v>
      </c>
    </row>
    <row r="491" spans="4:9" x14ac:dyDescent="0.2">
      <c r="D491" t="s">
        <v>121</v>
      </c>
      <c r="E491">
        <v>1</v>
      </c>
      <c r="F491">
        <v>1</v>
      </c>
      <c r="G491">
        <v>5</v>
      </c>
      <c r="H491">
        <v>6</v>
      </c>
      <c r="I491">
        <f t="shared" si="9"/>
        <v>3.25</v>
      </c>
    </row>
    <row r="492" spans="4:9" x14ac:dyDescent="0.2">
      <c r="D492" t="s">
        <v>122</v>
      </c>
      <c r="E492">
        <v>5</v>
      </c>
      <c r="F492">
        <v>6</v>
      </c>
      <c r="G492">
        <v>6</v>
      </c>
      <c r="H492">
        <v>5</v>
      </c>
      <c r="I492">
        <f t="shared" si="9"/>
        <v>5.5</v>
      </c>
    </row>
    <row r="493" spans="4:9" x14ac:dyDescent="0.2">
      <c r="D493" t="s">
        <v>123</v>
      </c>
      <c r="E493">
        <v>5</v>
      </c>
      <c r="F493">
        <v>5</v>
      </c>
      <c r="G493">
        <v>6</v>
      </c>
      <c r="H493">
        <v>6</v>
      </c>
      <c r="I493">
        <f t="shared" si="9"/>
        <v>5.5</v>
      </c>
    </row>
    <row r="494" spans="4:9" x14ac:dyDescent="0.2">
      <c r="D494" t="s">
        <v>125</v>
      </c>
      <c r="E494">
        <v>7</v>
      </c>
      <c r="F494">
        <v>7</v>
      </c>
      <c r="G494">
        <v>7</v>
      </c>
      <c r="H494">
        <v>7</v>
      </c>
      <c r="I494">
        <f t="shared" si="9"/>
        <v>7</v>
      </c>
    </row>
    <row r="495" spans="4:9" x14ac:dyDescent="0.2">
      <c r="D495" t="s">
        <v>126</v>
      </c>
      <c r="E495">
        <v>7</v>
      </c>
      <c r="F495">
        <v>7</v>
      </c>
      <c r="G495">
        <v>7</v>
      </c>
      <c r="H495">
        <v>7</v>
      </c>
      <c r="I495">
        <f t="shared" si="9"/>
        <v>7</v>
      </c>
    </row>
    <row r="496" spans="4:9" x14ac:dyDescent="0.2">
      <c r="D496" t="s">
        <v>127</v>
      </c>
      <c r="E496">
        <v>4</v>
      </c>
      <c r="F496">
        <v>5</v>
      </c>
      <c r="G496">
        <v>5</v>
      </c>
      <c r="H496">
        <v>5</v>
      </c>
      <c r="I496">
        <f t="shared" si="9"/>
        <v>4.75</v>
      </c>
    </row>
    <row r="497" spans="4:9" x14ac:dyDescent="0.2">
      <c r="D497" t="s">
        <v>128</v>
      </c>
      <c r="E497">
        <v>4</v>
      </c>
      <c r="F497">
        <v>4</v>
      </c>
      <c r="G497">
        <v>6</v>
      </c>
      <c r="H497">
        <v>6</v>
      </c>
      <c r="I497">
        <f t="shared" si="9"/>
        <v>5</v>
      </c>
    </row>
    <row r="498" spans="4:9" x14ac:dyDescent="0.2">
      <c r="D498" t="s">
        <v>129</v>
      </c>
      <c r="E498">
        <v>2</v>
      </c>
      <c r="F498">
        <v>2</v>
      </c>
      <c r="G498">
        <v>5</v>
      </c>
      <c r="H498">
        <v>4</v>
      </c>
      <c r="I498">
        <f t="shared" si="9"/>
        <v>3.25</v>
      </c>
    </row>
    <row r="499" spans="4:9" x14ac:dyDescent="0.2">
      <c r="D499" t="s">
        <v>130</v>
      </c>
      <c r="E499">
        <v>1</v>
      </c>
      <c r="F499">
        <v>1</v>
      </c>
      <c r="G499">
        <v>1</v>
      </c>
      <c r="H499">
        <v>5</v>
      </c>
      <c r="I499">
        <f t="shared" si="9"/>
        <v>2</v>
      </c>
    </row>
    <row r="500" spans="4:9" x14ac:dyDescent="0.2">
      <c r="D500" t="s">
        <v>131</v>
      </c>
      <c r="E500">
        <v>7</v>
      </c>
      <c r="F500">
        <v>7</v>
      </c>
      <c r="G500">
        <v>7</v>
      </c>
      <c r="H500">
        <v>7</v>
      </c>
      <c r="I500">
        <f t="shared" si="9"/>
        <v>7</v>
      </c>
    </row>
    <row r="501" spans="4:9" x14ac:dyDescent="0.2">
      <c r="D501" t="s">
        <v>132</v>
      </c>
      <c r="E501">
        <v>5</v>
      </c>
      <c r="F501">
        <v>6</v>
      </c>
      <c r="G501">
        <v>6</v>
      </c>
      <c r="H501">
        <v>6</v>
      </c>
      <c r="I501">
        <f t="shared" si="9"/>
        <v>5.75</v>
      </c>
    </row>
    <row r="502" spans="4:9" x14ac:dyDescent="0.2">
      <c r="D502" t="s">
        <v>133</v>
      </c>
      <c r="E502">
        <v>5</v>
      </c>
      <c r="F502">
        <v>6</v>
      </c>
      <c r="G502">
        <v>7</v>
      </c>
      <c r="H502">
        <v>7</v>
      </c>
      <c r="I502">
        <f t="shared" si="9"/>
        <v>6.25</v>
      </c>
    </row>
    <row r="503" spans="4:9" x14ac:dyDescent="0.2">
      <c r="D503" t="s">
        <v>134</v>
      </c>
      <c r="E503">
        <v>1</v>
      </c>
      <c r="F503">
        <v>1</v>
      </c>
      <c r="G503">
        <v>1</v>
      </c>
      <c r="H503">
        <v>1</v>
      </c>
      <c r="I503">
        <f t="shared" si="9"/>
        <v>1</v>
      </c>
    </row>
    <row r="504" spans="4:9" x14ac:dyDescent="0.2">
      <c r="D504" t="s">
        <v>135</v>
      </c>
      <c r="E504">
        <v>6</v>
      </c>
      <c r="F504">
        <v>7</v>
      </c>
      <c r="G504">
        <v>7</v>
      </c>
      <c r="H504">
        <v>7</v>
      </c>
      <c r="I504">
        <f t="shared" si="9"/>
        <v>6.75</v>
      </c>
    </row>
    <row r="505" spans="4:9" x14ac:dyDescent="0.2">
      <c r="D505" t="s">
        <v>136</v>
      </c>
      <c r="E505">
        <v>4</v>
      </c>
      <c r="F505">
        <v>4</v>
      </c>
      <c r="G505">
        <v>4</v>
      </c>
      <c r="H505">
        <v>5</v>
      </c>
      <c r="I505">
        <f t="shared" si="9"/>
        <v>4.25</v>
      </c>
    </row>
    <row r="506" spans="4:9" x14ac:dyDescent="0.2">
      <c r="D506" t="s">
        <v>138</v>
      </c>
      <c r="E506">
        <v>6</v>
      </c>
      <c r="F506">
        <v>6</v>
      </c>
      <c r="G506">
        <v>6</v>
      </c>
      <c r="H506">
        <v>7</v>
      </c>
      <c r="I506">
        <f t="shared" si="9"/>
        <v>6.25</v>
      </c>
    </row>
    <row r="507" spans="4:9" x14ac:dyDescent="0.2">
      <c r="D507" t="s">
        <v>139</v>
      </c>
      <c r="E507">
        <v>3</v>
      </c>
      <c r="F507">
        <v>2</v>
      </c>
      <c r="G507">
        <v>2</v>
      </c>
      <c r="H507">
        <v>2</v>
      </c>
      <c r="I507">
        <f t="shared" si="9"/>
        <v>2.25</v>
      </c>
    </row>
    <row r="508" spans="4:9" x14ac:dyDescent="0.2">
      <c r="D508" t="s">
        <v>140</v>
      </c>
      <c r="E508">
        <v>2</v>
      </c>
      <c r="F508">
        <v>2</v>
      </c>
      <c r="G508">
        <v>6</v>
      </c>
      <c r="H508">
        <v>2</v>
      </c>
      <c r="I508">
        <f t="shared" si="9"/>
        <v>3</v>
      </c>
    </row>
    <row r="509" spans="4:9" x14ac:dyDescent="0.2">
      <c r="D509" t="s">
        <v>141</v>
      </c>
      <c r="E509">
        <v>3</v>
      </c>
      <c r="F509">
        <v>4</v>
      </c>
      <c r="G509">
        <v>5</v>
      </c>
      <c r="H509">
        <v>5</v>
      </c>
      <c r="I509">
        <f t="shared" si="9"/>
        <v>4.25</v>
      </c>
    </row>
    <row r="510" spans="4:9" x14ac:dyDescent="0.2">
      <c r="D510" t="s">
        <v>142</v>
      </c>
      <c r="E510">
        <v>7</v>
      </c>
      <c r="F510">
        <v>7</v>
      </c>
      <c r="G510">
        <v>7</v>
      </c>
      <c r="H510">
        <v>7</v>
      </c>
      <c r="I510">
        <f t="shared" si="9"/>
        <v>7</v>
      </c>
    </row>
    <row r="511" spans="4:9" x14ac:dyDescent="0.2">
      <c r="D511" t="s">
        <v>143</v>
      </c>
      <c r="E511">
        <v>7</v>
      </c>
      <c r="F511">
        <v>3</v>
      </c>
      <c r="G511">
        <v>5</v>
      </c>
      <c r="H511">
        <v>7</v>
      </c>
      <c r="I511">
        <f t="shared" si="9"/>
        <v>5.5</v>
      </c>
    </row>
    <row r="512" spans="4:9" x14ac:dyDescent="0.2">
      <c r="D512" t="s">
        <v>144</v>
      </c>
      <c r="E512">
        <v>7</v>
      </c>
      <c r="F512">
        <v>7</v>
      </c>
      <c r="G512">
        <v>7</v>
      </c>
      <c r="H512">
        <v>7</v>
      </c>
      <c r="I512">
        <f t="shared" si="9"/>
        <v>7</v>
      </c>
    </row>
    <row r="513" spans="4:9" x14ac:dyDescent="0.2">
      <c r="D513" t="s">
        <v>145</v>
      </c>
      <c r="E513">
        <v>6</v>
      </c>
      <c r="F513">
        <v>6</v>
      </c>
      <c r="G513">
        <v>6</v>
      </c>
      <c r="H513">
        <v>6</v>
      </c>
      <c r="I513">
        <f t="shared" si="9"/>
        <v>6</v>
      </c>
    </row>
    <row r="514" spans="4:9" x14ac:dyDescent="0.2">
      <c r="D514" t="s">
        <v>146</v>
      </c>
      <c r="E514">
        <v>5</v>
      </c>
      <c r="F514">
        <v>5</v>
      </c>
      <c r="G514">
        <v>5</v>
      </c>
      <c r="H514">
        <v>7</v>
      </c>
      <c r="I514">
        <f t="shared" si="9"/>
        <v>5.5</v>
      </c>
    </row>
    <row r="515" spans="4:9" x14ac:dyDescent="0.2">
      <c r="D515" t="s">
        <v>147</v>
      </c>
      <c r="E515">
        <v>7</v>
      </c>
      <c r="F515">
        <v>7</v>
      </c>
      <c r="G515">
        <v>7</v>
      </c>
      <c r="H515">
        <v>7</v>
      </c>
      <c r="I515">
        <f t="shared" ref="I515:I578" si="10">AVERAGE(E515:H515)</f>
        <v>7</v>
      </c>
    </row>
    <row r="516" spans="4:9" x14ac:dyDescent="0.2">
      <c r="D516" t="s">
        <v>148</v>
      </c>
      <c r="E516">
        <v>2</v>
      </c>
      <c r="F516">
        <v>2</v>
      </c>
      <c r="G516">
        <v>1</v>
      </c>
      <c r="H516">
        <v>4</v>
      </c>
      <c r="I516">
        <f t="shared" si="10"/>
        <v>2.25</v>
      </c>
    </row>
    <row r="517" spans="4:9" x14ac:dyDescent="0.2">
      <c r="D517" t="s">
        <v>149</v>
      </c>
      <c r="E517">
        <v>6</v>
      </c>
      <c r="F517">
        <v>6</v>
      </c>
      <c r="G517">
        <v>6</v>
      </c>
      <c r="H517">
        <v>6</v>
      </c>
      <c r="I517">
        <f t="shared" si="10"/>
        <v>6</v>
      </c>
    </row>
    <row r="518" spans="4:9" x14ac:dyDescent="0.2">
      <c r="D518" t="s">
        <v>150</v>
      </c>
      <c r="E518">
        <v>7</v>
      </c>
      <c r="F518">
        <v>7</v>
      </c>
      <c r="G518">
        <v>7</v>
      </c>
      <c r="H518">
        <v>7</v>
      </c>
      <c r="I518">
        <f t="shared" si="10"/>
        <v>7</v>
      </c>
    </row>
    <row r="519" spans="4:9" x14ac:dyDescent="0.2">
      <c r="D519" t="s">
        <v>151</v>
      </c>
      <c r="E519">
        <v>7</v>
      </c>
      <c r="F519">
        <v>7</v>
      </c>
      <c r="G519">
        <v>5</v>
      </c>
      <c r="H519">
        <v>7</v>
      </c>
      <c r="I519">
        <f t="shared" si="10"/>
        <v>6.5</v>
      </c>
    </row>
    <row r="520" spans="4:9" x14ac:dyDescent="0.2">
      <c r="D520" t="s">
        <v>152</v>
      </c>
      <c r="E520">
        <v>1</v>
      </c>
      <c r="F520">
        <v>3</v>
      </c>
      <c r="G520">
        <v>3</v>
      </c>
      <c r="H520">
        <v>1</v>
      </c>
      <c r="I520">
        <f t="shared" si="10"/>
        <v>2</v>
      </c>
    </row>
    <row r="521" spans="4:9" x14ac:dyDescent="0.2">
      <c r="D521" t="s">
        <v>153</v>
      </c>
      <c r="E521">
        <v>5</v>
      </c>
      <c r="F521">
        <v>6</v>
      </c>
      <c r="G521">
        <v>6</v>
      </c>
      <c r="H521">
        <v>2</v>
      </c>
      <c r="I521">
        <f t="shared" si="10"/>
        <v>4.75</v>
      </c>
    </row>
    <row r="522" spans="4:9" x14ac:dyDescent="0.2">
      <c r="D522" t="s">
        <v>154</v>
      </c>
      <c r="E522">
        <v>2</v>
      </c>
      <c r="F522">
        <v>3</v>
      </c>
      <c r="G522">
        <v>4</v>
      </c>
      <c r="H522">
        <v>2</v>
      </c>
      <c r="I522">
        <f t="shared" si="10"/>
        <v>2.75</v>
      </c>
    </row>
    <row r="523" spans="4:9" x14ac:dyDescent="0.2">
      <c r="D523" t="s">
        <v>155</v>
      </c>
      <c r="E523">
        <v>2</v>
      </c>
      <c r="F523">
        <v>3</v>
      </c>
      <c r="G523">
        <v>6</v>
      </c>
      <c r="H523">
        <v>7</v>
      </c>
      <c r="I523">
        <f t="shared" si="10"/>
        <v>4.5</v>
      </c>
    </row>
    <row r="524" spans="4:9" x14ac:dyDescent="0.2">
      <c r="D524" t="s">
        <v>156</v>
      </c>
      <c r="E524">
        <v>4</v>
      </c>
      <c r="F524">
        <v>7</v>
      </c>
      <c r="G524">
        <v>7</v>
      </c>
      <c r="H524">
        <v>7</v>
      </c>
      <c r="I524">
        <f t="shared" si="10"/>
        <v>6.25</v>
      </c>
    </row>
    <row r="525" spans="4:9" x14ac:dyDescent="0.2">
      <c r="D525" t="s">
        <v>157</v>
      </c>
      <c r="E525">
        <v>6</v>
      </c>
      <c r="F525">
        <v>6</v>
      </c>
      <c r="G525">
        <v>6</v>
      </c>
      <c r="H525">
        <v>6</v>
      </c>
      <c r="I525">
        <f t="shared" si="10"/>
        <v>6</v>
      </c>
    </row>
    <row r="526" spans="4:9" x14ac:dyDescent="0.2">
      <c r="D526" t="s">
        <v>158</v>
      </c>
      <c r="E526">
        <v>6</v>
      </c>
      <c r="F526">
        <v>6</v>
      </c>
      <c r="G526">
        <v>6</v>
      </c>
      <c r="H526">
        <v>6</v>
      </c>
      <c r="I526">
        <f t="shared" si="10"/>
        <v>6</v>
      </c>
    </row>
    <row r="527" spans="4:9" x14ac:dyDescent="0.2">
      <c r="D527" t="s">
        <v>159</v>
      </c>
      <c r="E527">
        <v>3</v>
      </c>
      <c r="F527">
        <v>3</v>
      </c>
      <c r="G527">
        <v>4</v>
      </c>
      <c r="H527">
        <v>2</v>
      </c>
      <c r="I527">
        <f t="shared" si="10"/>
        <v>3</v>
      </c>
    </row>
    <row r="528" spans="4:9" x14ac:dyDescent="0.2">
      <c r="D528" t="s">
        <v>160</v>
      </c>
      <c r="E528">
        <v>7</v>
      </c>
      <c r="F528">
        <v>7</v>
      </c>
      <c r="G528">
        <v>7</v>
      </c>
      <c r="H528">
        <v>7</v>
      </c>
      <c r="I528">
        <f t="shared" si="10"/>
        <v>7</v>
      </c>
    </row>
    <row r="529" spans="4:9" x14ac:dyDescent="0.2">
      <c r="D529" t="s">
        <v>161</v>
      </c>
      <c r="E529">
        <v>1</v>
      </c>
      <c r="F529">
        <v>1</v>
      </c>
      <c r="G529">
        <v>4</v>
      </c>
      <c r="H529">
        <v>3</v>
      </c>
      <c r="I529">
        <f t="shared" si="10"/>
        <v>2.25</v>
      </c>
    </row>
    <row r="530" spans="4:9" x14ac:dyDescent="0.2">
      <c r="D530" t="s">
        <v>162</v>
      </c>
      <c r="E530">
        <v>7</v>
      </c>
      <c r="F530">
        <v>7</v>
      </c>
      <c r="G530">
        <v>7</v>
      </c>
      <c r="H530">
        <v>7</v>
      </c>
      <c r="I530">
        <f t="shared" si="10"/>
        <v>7</v>
      </c>
    </row>
    <row r="531" spans="4:9" x14ac:dyDescent="0.2">
      <c r="D531" t="s">
        <v>163</v>
      </c>
      <c r="E531">
        <v>6</v>
      </c>
      <c r="F531">
        <v>6</v>
      </c>
      <c r="G531">
        <v>6</v>
      </c>
      <c r="H531">
        <v>7</v>
      </c>
      <c r="I531">
        <f t="shared" si="10"/>
        <v>6.25</v>
      </c>
    </row>
    <row r="532" spans="4:9" x14ac:dyDescent="0.2">
      <c r="D532" t="s">
        <v>165</v>
      </c>
      <c r="E532">
        <v>7</v>
      </c>
      <c r="F532">
        <v>7</v>
      </c>
      <c r="G532">
        <v>7</v>
      </c>
      <c r="H532">
        <v>7</v>
      </c>
      <c r="I532">
        <f t="shared" si="10"/>
        <v>7</v>
      </c>
    </row>
    <row r="533" spans="4:9" x14ac:dyDescent="0.2">
      <c r="D533" t="s">
        <v>166</v>
      </c>
      <c r="E533">
        <v>3</v>
      </c>
      <c r="F533">
        <v>4</v>
      </c>
      <c r="G533">
        <v>1</v>
      </c>
      <c r="H533">
        <v>2</v>
      </c>
      <c r="I533">
        <f t="shared" si="10"/>
        <v>2.5</v>
      </c>
    </row>
    <row r="534" spans="4:9" x14ac:dyDescent="0.2">
      <c r="D534" t="s">
        <v>167</v>
      </c>
      <c r="E534">
        <v>4</v>
      </c>
      <c r="F534">
        <v>5</v>
      </c>
      <c r="G534">
        <v>6</v>
      </c>
      <c r="H534">
        <v>5</v>
      </c>
      <c r="I534">
        <f t="shared" si="10"/>
        <v>5</v>
      </c>
    </row>
    <row r="535" spans="4:9" x14ac:dyDescent="0.2">
      <c r="D535" t="s">
        <v>168</v>
      </c>
      <c r="E535">
        <v>6</v>
      </c>
      <c r="F535">
        <v>6</v>
      </c>
      <c r="G535">
        <v>5</v>
      </c>
      <c r="H535">
        <v>6</v>
      </c>
      <c r="I535">
        <f t="shared" si="10"/>
        <v>5.75</v>
      </c>
    </row>
    <row r="536" spans="4:9" x14ac:dyDescent="0.2">
      <c r="D536" t="s">
        <v>169</v>
      </c>
      <c r="E536">
        <v>4</v>
      </c>
      <c r="F536">
        <v>4</v>
      </c>
      <c r="G536">
        <v>6</v>
      </c>
      <c r="H536">
        <v>2</v>
      </c>
      <c r="I536">
        <f t="shared" si="10"/>
        <v>4</v>
      </c>
    </row>
    <row r="537" spans="4:9" x14ac:dyDescent="0.2">
      <c r="D537" t="s">
        <v>170</v>
      </c>
      <c r="E537">
        <v>1</v>
      </c>
      <c r="F537">
        <v>6</v>
      </c>
      <c r="G537">
        <v>7</v>
      </c>
      <c r="H537">
        <v>5</v>
      </c>
      <c r="I537">
        <f t="shared" si="10"/>
        <v>4.75</v>
      </c>
    </row>
    <row r="538" spans="4:9" x14ac:dyDescent="0.2">
      <c r="D538" t="s">
        <v>171</v>
      </c>
      <c r="E538">
        <v>4</v>
      </c>
      <c r="F538">
        <v>6</v>
      </c>
      <c r="G538">
        <v>6</v>
      </c>
      <c r="H538">
        <v>6</v>
      </c>
      <c r="I538">
        <f t="shared" si="10"/>
        <v>5.5</v>
      </c>
    </row>
    <row r="539" spans="4:9" x14ac:dyDescent="0.2">
      <c r="D539" t="s">
        <v>172</v>
      </c>
      <c r="E539">
        <v>7</v>
      </c>
      <c r="F539">
        <v>7</v>
      </c>
      <c r="G539">
        <v>7</v>
      </c>
      <c r="H539">
        <v>7</v>
      </c>
      <c r="I539">
        <f t="shared" si="10"/>
        <v>7</v>
      </c>
    </row>
    <row r="540" spans="4:9" x14ac:dyDescent="0.2">
      <c r="D540" t="s">
        <v>173</v>
      </c>
      <c r="E540">
        <v>4</v>
      </c>
      <c r="F540">
        <v>4</v>
      </c>
      <c r="G540">
        <v>5</v>
      </c>
      <c r="H540">
        <v>6</v>
      </c>
      <c r="I540">
        <f t="shared" si="10"/>
        <v>4.75</v>
      </c>
    </row>
    <row r="541" spans="4:9" x14ac:dyDescent="0.2">
      <c r="D541" t="s">
        <v>176</v>
      </c>
      <c r="E541">
        <v>6</v>
      </c>
      <c r="F541">
        <v>2</v>
      </c>
      <c r="G541">
        <v>7</v>
      </c>
      <c r="H541">
        <v>1</v>
      </c>
      <c r="I541">
        <f t="shared" si="10"/>
        <v>4</v>
      </c>
    </row>
    <row r="542" spans="4:9" x14ac:dyDescent="0.2">
      <c r="D542" t="s">
        <v>177</v>
      </c>
      <c r="E542">
        <v>5</v>
      </c>
      <c r="F542">
        <v>5</v>
      </c>
      <c r="G542">
        <v>7</v>
      </c>
      <c r="H542">
        <v>6</v>
      </c>
      <c r="I542">
        <f t="shared" si="10"/>
        <v>5.75</v>
      </c>
    </row>
    <row r="543" spans="4:9" x14ac:dyDescent="0.2">
      <c r="D543" t="s">
        <v>178</v>
      </c>
      <c r="E543">
        <v>1</v>
      </c>
      <c r="F543">
        <v>5</v>
      </c>
      <c r="G543">
        <v>6</v>
      </c>
      <c r="H543">
        <v>5</v>
      </c>
      <c r="I543">
        <f t="shared" si="10"/>
        <v>4.25</v>
      </c>
    </row>
    <row r="544" spans="4:9" x14ac:dyDescent="0.2">
      <c r="D544" t="s">
        <v>179</v>
      </c>
      <c r="E544">
        <v>7</v>
      </c>
      <c r="F544">
        <v>7</v>
      </c>
      <c r="G544">
        <v>7</v>
      </c>
      <c r="H544">
        <v>7</v>
      </c>
      <c r="I544">
        <f t="shared" si="10"/>
        <v>7</v>
      </c>
    </row>
    <row r="545" spans="4:9" x14ac:dyDescent="0.2">
      <c r="D545" t="s">
        <v>180</v>
      </c>
      <c r="E545">
        <v>5</v>
      </c>
      <c r="F545">
        <v>5</v>
      </c>
      <c r="G545">
        <v>6</v>
      </c>
      <c r="H545">
        <v>7</v>
      </c>
      <c r="I545">
        <f t="shared" si="10"/>
        <v>5.75</v>
      </c>
    </row>
    <row r="546" spans="4:9" x14ac:dyDescent="0.2">
      <c r="D546" t="s">
        <v>181</v>
      </c>
      <c r="E546">
        <v>2</v>
      </c>
      <c r="F546">
        <v>2</v>
      </c>
      <c r="G546">
        <v>7</v>
      </c>
      <c r="H546">
        <v>5</v>
      </c>
      <c r="I546">
        <f t="shared" si="10"/>
        <v>4</v>
      </c>
    </row>
    <row r="547" spans="4:9" x14ac:dyDescent="0.2">
      <c r="D547" t="s">
        <v>182</v>
      </c>
      <c r="E547">
        <v>6</v>
      </c>
      <c r="F547">
        <v>6</v>
      </c>
      <c r="G547">
        <v>7</v>
      </c>
      <c r="H547">
        <v>7</v>
      </c>
      <c r="I547">
        <f t="shared" si="10"/>
        <v>6.5</v>
      </c>
    </row>
    <row r="548" spans="4:9" x14ac:dyDescent="0.2">
      <c r="D548" t="s">
        <v>183</v>
      </c>
      <c r="E548">
        <v>4</v>
      </c>
      <c r="F548">
        <v>6</v>
      </c>
      <c r="G548">
        <v>6</v>
      </c>
      <c r="H548">
        <v>4</v>
      </c>
      <c r="I548">
        <f t="shared" si="10"/>
        <v>5</v>
      </c>
    </row>
    <row r="549" spans="4:9" x14ac:dyDescent="0.2">
      <c r="D549" t="s">
        <v>184</v>
      </c>
      <c r="E549">
        <v>1</v>
      </c>
      <c r="F549">
        <v>1</v>
      </c>
      <c r="G549">
        <v>4</v>
      </c>
      <c r="H549">
        <v>3</v>
      </c>
      <c r="I549">
        <f t="shared" si="10"/>
        <v>2.25</v>
      </c>
    </row>
    <row r="550" spans="4:9" x14ac:dyDescent="0.2">
      <c r="D550" t="s">
        <v>185</v>
      </c>
      <c r="E550">
        <v>6</v>
      </c>
      <c r="F550">
        <v>7</v>
      </c>
      <c r="G550">
        <v>7</v>
      </c>
      <c r="H550">
        <v>7</v>
      </c>
      <c r="I550">
        <f t="shared" si="10"/>
        <v>6.75</v>
      </c>
    </row>
    <row r="551" spans="4:9" x14ac:dyDescent="0.2">
      <c r="D551" t="s">
        <v>186</v>
      </c>
      <c r="E551">
        <v>7</v>
      </c>
      <c r="F551">
        <v>6</v>
      </c>
      <c r="G551">
        <v>6</v>
      </c>
      <c r="H551">
        <v>6</v>
      </c>
      <c r="I551">
        <f t="shared" si="10"/>
        <v>6.25</v>
      </c>
    </row>
    <row r="552" spans="4:9" x14ac:dyDescent="0.2">
      <c r="D552" t="s">
        <v>187</v>
      </c>
      <c r="E552">
        <v>2</v>
      </c>
      <c r="F552">
        <v>4</v>
      </c>
      <c r="G552">
        <v>5</v>
      </c>
      <c r="H552">
        <v>5</v>
      </c>
      <c r="I552">
        <f t="shared" si="10"/>
        <v>4</v>
      </c>
    </row>
    <row r="553" spans="4:9" x14ac:dyDescent="0.2">
      <c r="D553" t="s">
        <v>188</v>
      </c>
      <c r="E553">
        <v>6</v>
      </c>
      <c r="F553">
        <v>7</v>
      </c>
      <c r="G553">
        <v>7</v>
      </c>
      <c r="H553">
        <v>7</v>
      </c>
      <c r="I553">
        <f t="shared" si="10"/>
        <v>6.75</v>
      </c>
    </row>
    <row r="554" spans="4:9" x14ac:dyDescent="0.2">
      <c r="D554" t="s">
        <v>189</v>
      </c>
      <c r="E554">
        <v>3</v>
      </c>
      <c r="F554">
        <v>3</v>
      </c>
      <c r="G554">
        <v>3</v>
      </c>
      <c r="H554">
        <v>3</v>
      </c>
      <c r="I554">
        <f t="shared" si="10"/>
        <v>3</v>
      </c>
    </row>
    <row r="555" spans="4:9" x14ac:dyDescent="0.2">
      <c r="D555" t="s">
        <v>190</v>
      </c>
      <c r="E555">
        <v>4</v>
      </c>
      <c r="F555">
        <v>7</v>
      </c>
      <c r="G555">
        <v>7</v>
      </c>
      <c r="H555">
        <v>7</v>
      </c>
      <c r="I555">
        <f t="shared" si="10"/>
        <v>6.25</v>
      </c>
    </row>
    <row r="556" spans="4:9" x14ac:dyDescent="0.2">
      <c r="D556" t="s">
        <v>191</v>
      </c>
      <c r="E556">
        <v>2</v>
      </c>
      <c r="F556">
        <v>6</v>
      </c>
      <c r="G556">
        <v>6</v>
      </c>
      <c r="H556">
        <v>6</v>
      </c>
      <c r="I556">
        <f t="shared" si="10"/>
        <v>5</v>
      </c>
    </row>
    <row r="557" spans="4:9" x14ac:dyDescent="0.2">
      <c r="D557" t="s">
        <v>192</v>
      </c>
      <c r="E557">
        <v>3</v>
      </c>
      <c r="F557">
        <v>4</v>
      </c>
      <c r="G557">
        <v>1</v>
      </c>
      <c r="H557">
        <v>3</v>
      </c>
      <c r="I557">
        <f t="shared" si="10"/>
        <v>2.75</v>
      </c>
    </row>
    <row r="558" spans="4:9" x14ac:dyDescent="0.2">
      <c r="D558" t="s">
        <v>193</v>
      </c>
      <c r="E558">
        <v>4</v>
      </c>
      <c r="F558">
        <v>5</v>
      </c>
      <c r="G558">
        <v>6</v>
      </c>
      <c r="H558">
        <v>7</v>
      </c>
      <c r="I558">
        <f t="shared" si="10"/>
        <v>5.5</v>
      </c>
    </row>
    <row r="559" spans="4:9" x14ac:dyDescent="0.2">
      <c r="D559" t="s">
        <v>62</v>
      </c>
      <c r="E559">
        <v>3</v>
      </c>
      <c r="F559">
        <v>4</v>
      </c>
      <c r="G559">
        <v>4</v>
      </c>
      <c r="H559">
        <v>4</v>
      </c>
      <c r="I559">
        <f t="shared" si="10"/>
        <v>3.75</v>
      </c>
    </row>
    <row r="560" spans="4:9" x14ac:dyDescent="0.2">
      <c r="D560" t="s">
        <v>67</v>
      </c>
      <c r="E560">
        <v>5</v>
      </c>
      <c r="F560">
        <v>5</v>
      </c>
      <c r="G560">
        <v>6</v>
      </c>
      <c r="H560">
        <v>6</v>
      </c>
      <c r="I560">
        <f t="shared" si="10"/>
        <v>5.5</v>
      </c>
    </row>
    <row r="561" spans="4:9" x14ac:dyDescent="0.2">
      <c r="D561" t="s">
        <v>70</v>
      </c>
      <c r="E561">
        <v>6</v>
      </c>
      <c r="F561">
        <v>6</v>
      </c>
      <c r="G561">
        <v>7</v>
      </c>
      <c r="H561">
        <v>7</v>
      </c>
      <c r="I561">
        <f t="shared" si="10"/>
        <v>6.5</v>
      </c>
    </row>
    <row r="562" spans="4:9" x14ac:dyDescent="0.2">
      <c r="D562" t="s">
        <v>72</v>
      </c>
      <c r="E562">
        <v>3</v>
      </c>
      <c r="F562">
        <v>3</v>
      </c>
      <c r="G562">
        <v>6</v>
      </c>
      <c r="H562">
        <v>7</v>
      </c>
      <c r="I562">
        <f t="shared" si="10"/>
        <v>4.75</v>
      </c>
    </row>
    <row r="563" spans="4:9" x14ac:dyDescent="0.2">
      <c r="D563" t="s">
        <v>74</v>
      </c>
      <c r="E563">
        <v>6</v>
      </c>
      <c r="F563">
        <v>6</v>
      </c>
      <c r="G563">
        <v>5</v>
      </c>
      <c r="H563">
        <v>7</v>
      </c>
      <c r="I563">
        <f t="shared" si="10"/>
        <v>6</v>
      </c>
    </row>
    <row r="564" spans="4:9" x14ac:dyDescent="0.2">
      <c r="D564" t="s">
        <v>75</v>
      </c>
      <c r="E564">
        <v>6</v>
      </c>
      <c r="F564">
        <v>6</v>
      </c>
      <c r="G564">
        <v>6</v>
      </c>
      <c r="H564">
        <v>7</v>
      </c>
      <c r="I564">
        <f t="shared" si="10"/>
        <v>6.25</v>
      </c>
    </row>
    <row r="565" spans="4:9" x14ac:dyDescent="0.2">
      <c r="D565" t="s">
        <v>77</v>
      </c>
      <c r="E565">
        <v>5</v>
      </c>
      <c r="F565">
        <v>5</v>
      </c>
      <c r="G565">
        <v>5</v>
      </c>
      <c r="H565">
        <v>4</v>
      </c>
      <c r="I565">
        <f t="shared" si="10"/>
        <v>4.75</v>
      </c>
    </row>
    <row r="566" spans="4:9" x14ac:dyDescent="0.2">
      <c r="D566" t="s">
        <v>79</v>
      </c>
      <c r="E566">
        <v>3</v>
      </c>
      <c r="F566">
        <v>3</v>
      </c>
      <c r="G566">
        <v>5</v>
      </c>
      <c r="H566">
        <v>3</v>
      </c>
      <c r="I566">
        <f t="shared" si="10"/>
        <v>3.5</v>
      </c>
    </row>
    <row r="567" spans="4:9" x14ac:dyDescent="0.2">
      <c r="D567" t="s">
        <v>81</v>
      </c>
      <c r="E567">
        <v>4</v>
      </c>
      <c r="F567">
        <v>4</v>
      </c>
      <c r="G567">
        <v>4</v>
      </c>
      <c r="H567">
        <v>5</v>
      </c>
      <c r="I567">
        <f t="shared" si="10"/>
        <v>4.25</v>
      </c>
    </row>
    <row r="568" spans="4:9" x14ac:dyDescent="0.2">
      <c r="D568" t="s">
        <v>83</v>
      </c>
      <c r="E568">
        <v>4</v>
      </c>
      <c r="F568">
        <v>5</v>
      </c>
      <c r="G568">
        <v>4</v>
      </c>
      <c r="H568">
        <v>4</v>
      </c>
      <c r="I568">
        <f t="shared" si="10"/>
        <v>4.25</v>
      </c>
    </row>
    <row r="569" spans="4:9" x14ac:dyDescent="0.2">
      <c r="D569" t="s">
        <v>84</v>
      </c>
      <c r="E569">
        <v>6</v>
      </c>
      <c r="F569">
        <v>5</v>
      </c>
      <c r="G569">
        <v>5</v>
      </c>
      <c r="H569">
        <v>5</v>
      </c>
      <c r="I569">
        <f t="shared" si="10"/>
        <v>5.25</v>
      </c>
    </row>
    <row r="570" spans="4:9" x14ac:dyDescent="0.2">
      <c r="D570" t="s">
        <v>86</v>
      </c>
      <c r="E570">
        <v>7</v>
      </c>
      <c r="F570">
        <v>7</v>
      </c>
      <c r="G570">
        <v>7</v>
      </c>
      <c r="H570">
        <v>7</v>
      </c>
      <c r="I570">
        <f t="shared" si="10"/>
        <v>7</v>
      </c>
    </row>
    <row r="571" spans="4:9" x14ac:dyDescent="0.2">
      <c r="D571" t="s">
        <v>87</v>
      </c>
      <c r="E571">
        <v>5</v>
      </c>
      <c r="F571">
        <v>7</v>
      </c>
      <c r="G571">
        <v>6</v>
      </c>
      <c r="H571">
        <v>7</v>
      </c>
      <c r="I571">
        <f t="shared" si="10"/>
        <v>6.25</v>
      </c>
    </row>
    <row r="572" spans="4:9" x14ac:dyDescent="0.2">
      <c r="D572" t="s">
        <v>89</v>
      </c>
      <c r="E572">
        <v>4</v>
      </c>
      <c r="F572">
        <v>5</v>
      </c>
      <c r="G572">
        <v>6</v>
      </c>
      <c r="H572">
        <v>6</v>
      </c>
      <c r="I572">
        <f t="shared" si="10"/>
        <v>5.25</v>
      </c>
    </row>
    <row r="573" spans="4:9" x14ac:dyDescent="0.2">
      <c r="D573" t="s">
        <v>90</v>
      </c>
      <c r="E573">
        <v>5</v>
      </c>
      <c r="F573">
        <v>6</v>
      </c>
      <c r="G573">
        <v>6</v>
      </c>
      <c r="H573">
        <v>7</v>
      </c>
      <c r="I573">
        <f t="shared" si="10"/>
        <v>6</v>
      </c>
    </row>
    <row r="574" spans="4:9" x14ac:dyDescent="0.2">
      <c r="D574" t="s">
        <v>91</v>
      </c>
      <c r="E574">
        <v>2</v>
      </c>
      <c r="F574">
        <v>5</v>
      </c>
      <c r="G574">
        <v>2</v>
      </c>
      <c r="H574">
        <v>3</v>
      </c>
      <c r="I574">
        <f t="shared" si="10"/>
        <v>3</v>
      </c>
    </row>
    <row r="575" spans="4:9" x14ac:dyDescent="0.2">
      <c r="D575" t="s">
        <v>92</v>
      </c>
      <c r="E575">
        <v>7</v>
      </c>
      <c r="F575">
        <v>7</v>
      </c>
      <c r="G575">
        <v>7</v>
      </c>
      <c r="H575">
        <v>7</v>
      </c>
      <c r="I575">
        <f t="shared" si="10"/>
        <v>7</v>
      </c>
    </row>
    <row r="576" spans="4:9" x14ac:dyDescent="0.2">
      <c r="D576" t="s">
        <v>94</v>
      </c>
      <c r="E576">
        <v>1</v>
      </c>
      <c r="F576">
        <v>1</v>
      </c>
      <c r="G576">
        <v>1</v>
      </c>
      <c r="H576">
        <v>1</v>
      </c>
      <c r="I576">
        <f t="shared" si="10"/>
        <v>1</v>
      </c>
    </row>
    <row r="577" spans="4:9" x14ac:dyDescent="0.2">
      <c r="D577" t="s">
        <v>95</v>
      </c>
      <c r="E577">
        <v>4</v>
      </c>
      <c r="F577">
        <v>4</v>
      </c>
      <c r="G577">
        <v>4</v>
      </c>
      <c r="H577">
        <v>4</v>
      </c>
      <c r="I577">
        <f t="shared" si="10"/>
        <v>4</v>
      </c>
    </row>
    <row r="578" spans="4:9" x14ac:dyDescent="0.2">
      <c r="D578" t="s">
        <v>96</v>
      </c>
      <c r="E578">
        <v>3</v>
      </c>
      <c r="F578">
        <v>4</v>
      </c>
      <c r="G578">
        <v>4</v>
      </c>
      <c r="H578">
        <v>4</v>
      </c>
      <c r="I578">
        <f t="shared" si="10"/>
        <v>3.75</v>
      </c>
    </row>
    <row r="579" spans="4:9" x14ac:dyDescent="0.2">
      <c r="D579" t="s">
        <v>98</v>
      </c>
      <c r="E579">
        <v>5</v>
      </c>
      <c r="F579">
        <v>5</v>
      </c>
      <c r="G579">
        <v>5</v>
      </c>
      <c r="H579">
        <v>6</v>
      </c>
      <c r="I579">
        <f t="shared" ref="I579:I642" si="11">AVERAGE(E579:H579)</f>
        <v>5.25</v>
      </c>
    </row>
    <row r="580" spans="4:9" x14ac:dyDescent="0.2">
      <c r="D580" t="s">
        <v>99</v>
      </c>
      <c r="E580">
        <v>4</v>
      </c>
      <c r="F580">
        <v>5</v>
      </c>
      <c r="G580">
        <v>5</v>
      </c>
      <c r="H580">
        <v>5</v>
      </c>
      <c r="I580">
        <f t="shared" si="11"/>
        <v>4.75</v>
      </c>
    </row>
    <row r="581" spans="4:9" x14ac:dyDescent="0.2">
      <c r="D581" t="s">
        <v>100</v>
      </c>
      <c r="E581">
        <v>6</v>
      </c>
      <c r="F581">
        <v>6</v>
      </c>
      <c r="G581">
        <v>6</v>
      </c>
      <c r="H581">
        <v>7</v>
      </c>
      <c r="I581">
        <f t="shared" si="11"/>
        <v>6.25</v>
      </c>
    </row>
    <row r="582" spans="4:9" x14ac:dyDescent="0.2">
      <c r="D582" t="s">
        <v>101</v>
      </c>
      <c r="E582">
        <v>2</v>
      </c>
      <c r="F582">
        <v>2</v>
      </c>
      <c r="G582">
        <v>2</v>
      </c>
      <c r="H582">
        <v>2</v>
      </c>
      <c r="I582">
        <f t="shared" si="11"/>
        <v>2</v>
      </c>
    </row>
    <row r="583" spans="4:9" x14ac:dyDescent="0.2">
      <c r="D583" t="s">
        <v>102</v>
      </c>
      <c r="E583">
        <v>2</v>
      </c>
      <c r="F583">
        <v>3</v>
      </c>
      <c r="G583">
        <v>2</v>
      </c>
      <c r="H583">
        <v>2</v>
      </c>
      <c r="I583">
        <f t="shared" si="11"/>
        <v>2.25</v>
      </c>
    </row>
    <row r="584" spans="4:9" x14ac:dyDescent="0.2">
      <c r="D584" t="s">
        <v>103</v>
      </c>
      <c r="E584">
        <v>7</v>
      </c>
      <c r="F584">
        <v>7</v>
      </c>
      <c r="G584">
        <v>7</v>
      </c>
      <c r="H584">
        <v>6</v>
      </c>
      <c r="I584">
        <f t="shared" si="11"/>
        <v>6.75</v>
      </c>
    </row>
    <row r="585" spans="4:9" x14ac:dyDescent="0.2">
      <c r="D585" t="s">
        <v>104</v>
      </c>
      <c r="E585">
        <v>7</v>
      </c>
      <c r="F585">
        <v>7</v>
      </c>
      <c r="G585">
        <v>7</v>
      </c>
      <c r="H585">
        <v>7</v>
      </c>
      <c r="I585">
        <f t="shared" si="11"/>
        <v>7</v>
      </c>
    </row>
    <row r="586" spans="4:9" x14ac:dyDescent="0.2">
      <c r="D586" t="s">
        <v>105</v>
      </c>
      <c r="E586">
        <v>7</v>
      </c>
      <c r="F586">
        <v>7</v>
      </c>
      <c r="G586">
        <v>7</v>
      </c>
      <c r="H586">
        <v>7</v>
      </c>
      <c r="I586">
        <f t="shared" si="11"/>
        <v>7</v>
      </c>
    </row>
    <row r="587" spans="4:9" x14ac:dyDescent="0.2">
      <c r="D587" t="s">
        <v>106</v>
      </c>
      <c r="E587">
        <v>6</v>
      </c>
      <c r="F587">
        <v>6</v>
      </c>
      <c r="G587">
        <v>6</v>
      </c>
      <c r="H587">
        <v>6</v>
      </c>
      <c r="I587">
        <f t="shared" si="11"/>
        <v>6</v>
      </c>
    </row>
    <row r="588" spans="4:9" x14ac:dyDescent="0.2">
      <c r="D588" t="s">
        <v>107</v>
      </c>
      <c r="E588">
        <v>5</v>
      </c>
      <c r="F588">
        <v>5</v>
      </c>
      <c r="G588">
        <v>4</v>
      </c>
      <c r="H588">
        <v>6</v>
      </c>
      <c r="I588">
        <f t="shared" si="11"/>
        <v>5</v>
      </c>
    </row>
    <row r="589" spans="4:9" x14ac:dyDescent="0.2">
      <c r="D589" t="s">
        <v>108</v>
      </c>
      <c r="E589">
        <v>3</v>
      </c>
      <c r="F589">
        <v>2</v>
      </c>
      <c r="G589">
        <v>2</v>
      </c>
      <c r="H589">
        <v>2</v>
      </c>
      <c r="I589">
        <f t="shared" si="11"/>
        <v>2.25</v>
      </c>
    </row>
    <row r="590" spans="4:9" x14ac:dyDescent="0.2">
      <c r="D590" t="s">
        <v>109</v>
      </c>
      <c r="E590">
        <v>6</v>
      </c>
      <c r="F590">
        <v>7</v>
      </c>
      <c r="G590">
        <v>5</v>
      </c>
      <c r="H590">
        <v>3</v>
      </c>
      <c r="I590">
        <f t="shared" si="11"/>
        <v>5.25</v>
      </c>
    </row>
    <row r="591" spans="4:9" x14ac:dyDescent="0.2">
      <c r="D591" t="s">
        <v>110</v>
      </c>
      <c r="E591">
        <v>2</v>
      </c>
      <c r="F591">
        <v>4</v>
      </c>
      <c r="G591">
        <v>5</v>
      </c>
      <c r="H591">
        <v>6</v>
      </c>
      <c r="I591">
        <f t="shared" si="11"/>
        <v>4.25</v>
      </c>
    </row>
    <row r="592" spans="4:9" x14ac:dyDescent="0.2">
      <c r="D592" t="s">
        <v>111</v>
      </c>
      <c r="E592">
        <v>3</v>
      </c>
      <c r="F592">
        <v>3</v>
      </c>
      <c r="G592">
        <v>5</v>
      </c>
      <c r="H592">
        <v>7</v>
      </c>
      <c r="I592">
        <f t="shared" si="11"/>
        <v>4.5</v>
      </c>
    </row>
    <row r="593" spans="4:9" x14ac:dyDescent="0.2">
      <c r="D593" t="s">
        <v>112</v>
      </c>
      <c r="E593">
        <v>4</v>
      </c>
      <c r="F593">
        <v>3</v>
      </c>
      <c r="G593">
        <v>3</v>
      </c>
      <c r="H593">
        <v>3</v>
      </c>
      <c r="I593">
        <f t="shared" si="11"/>
        <v>3.25</v>
      </c>
    </row>
    <row r="594" spans="4:9" x14ac:dyDescent="0.2">
      <c r="D594" t="s">
        <v>113</v>
      </c>
      <c r="E594">
        <v>6</v>
      </c>
      <c r="F594">
        <v>5</v>
      </c>
      <c r="G594">
        <v>7</v>
      </c>
      <c r="H594">
        <v>7</v>
      </c>
      <c r="I594">
        <f t="shared" si="11"/>
        <v>6.25</v>
      </c>
    </row>
    <row r="595" spans="4:9" x14ac:dyDescent="0.2">
      <c r="D595" t="s">
        <v>114</v>
      </c>
      <c r="E595">
        <v>7</v>
      </c>
      <c r="F595">
        <v>7</v>
      </c>
      <c r="G595">
        <v>7</v>
      </c>
      <c r="H595">
        <v>6</v>
      </c>
      <c r="I595">
        <f t="shared" si="11"/>
        <v>6.75</v>
      </c>
    </row>
    <row r="596" spans="4:9" x14ac:dyDescent="0.2">
      <c r="D596" t="s">
        <v>115</v>
      </c>
      <c r="E596">
        <v>4</v>
      </c>
      <c r="F596">
        <v>5</v>
      </c>
      <c r="G596">
        <v>5</v>
      </c>
      <c r="H596">
        <v>7</v>
      </c>
      <c r="I596">
        <f t="shared" si="11"/>
        <v>5.25</v>
      </c>
    </row>
    <row r="597" spans="4:9" x14ac:dyDescent="0.2">
      <c r="D597" t="s">
        <v>116</v>
      </c>
      <c r="E597">
        <v>1</v>
      </c>
      <c r="F597">
        <v>2</v>
      </c>
      <c r="G597">
        <v>5</v>
      </c>
      <c r="H597">
        <v>2</v>
      </c>
      <c r="I597">
        <f t="shared" si="11"/>
        <v>2.5</v>
      </c>
    </row>
    <row r="598" spans="4:9" x14ac:dyDescent="0.2">
      <c r="D598" t="s">
        <v>117</v>
      </c>
      <c r="E598">
        <v>4</v>
      </c>
      <c r="F598">
        <v>3</v>
      </c>
      <c r="G598">
        <v>6</v>
      </c>
      <c r="H598">
        <v>6</v>
      </c>
      <c r="I598">
        <f t="shared" si="11"/>
        <v>4.75</v>
      </c>
    </row>
    <row r="599" spans="4:9" x14ac:dyDescent="0.2">
      <c r="D599" t="s">
        <v>118</v>
      </c>
      <c r="E599">
        <v>3</v>
      </c>
      <c r="F599">
        <v>2</v>
      </c>
      <c r="G599">
        <v>3</v>
      </c>
      <c r="H599">
        <v>3</v>
      </c>
      <c r="I599">
        <f t="shared" si="11"/>
        <v>2.75</v>
      </c>
    </row>
    <row r="600" spans="4:9" x14ac:dyDescent="0.2">
      <c r="D600" t="s">
        <v>119</v>
      </c>
      <c r="E600">
        <v>5</v>
      </c>
      <c r="F600">
        <v>5</v>
      </c>
      <c r="G600">
        <v>5</v>
      </c>
      <c r="H600">
        <v>6</v>
      </c>
      <c r="I600">
        <f t="shared" si="11"/>
        <v>5.25</v>
      </c>
    </row>
    <row r="601" spans="4:9" x14ac:dyDescent="0.2">
      <c r="D601" t="s">
        <v>120</v>
      </c>
      <c r="E601">
        <v>4</v>
      </c>
      <c r="F601">
        <v>3</v>
      </c>
      <c r="G601">
        <v>6</v>
      </c>
      <c r="H601">
        <v>6</v>
      </c>
      <c r="I601">
        <f t="shared" si="11"/>
        <v>4.75</v>
      </c>
    </row>
    <row r="602" spans="4:9" x14ac:dyDescent="0.2">
      <c r="D602" t="s">
        <v>121</v>
      </c>
      <c r="E602">
        <v>4</v>
      </c>
      <c r="F602">
        <v>4</v>
      </c>
      <c r="G602">
        <v>4</v>
      </c>
      <c r="H602">
        <v>4</v>
      </c>
      <c r="I602">
        <f t="shared" si="11"/>
        <v>4</v>
      </c>
    </row>
    <row r="603" spans="4:9" x14ac:dyDescent="0.2">
      <c r="D603" t="s">
        <v>122</v>
      </c>
      <c r="E603">
        <v>5</v>
      </c>
      <c r="F603">
        <v>6</v>
      </c>
      <c r="G603">
        <v>5</v>
      </c>
      <c r="H603">
        <v>6</v>
      </c>
      <c r="I603">
        <f t="shared" si="11"/>
        <v>5.5</v>
      </c>
    </row>
    <row r="604" spans="4:9" x14ac:dyDescent="0.2">
      <c r="D604" t="s">
        <v>123</v>
      </c>
      <c r="E604">
        <v>5</v>
      </c>
      <c r="F604">
        <v>5</v>
      </c>
      <c r="G604">
        <v>5</v>
      </c>
      <c r="H604">
        <v>5</v>
      </c>
      <c r="I604">
        <f t="shared" si="11"/>
        <v>5</v>
      </c>
    </row>
    <row r="605" spans="4:9" x14ac:dyDescent="0.2">
      <c r="D605" t="s">
        <v>124</v>
      </c>
      <c r="E605">
        <v>7</v>
      </c>
      <c r="F605">
        <v>7</v>
      </c>
      <c r="G605">
        <v>7</v>
      </c>
      <c r="H605">
        <v>7</v>
      </c>
      <c r="I605">
        <f t="shared" si="11"/>
        <v>7</v>
      </c>
    </row>
    <row r="606" spans="4:9" x14ac:dyDescent="0.2">
      <c r="D606" t="s">
        <v>125</v>
      </c>
      <c r="E606">
        <v>7</v>
      </c>
      <c r="F606">
        <v>7</v>
      </c>
      <c r="G606">
        <v>7</v>
      </c>
      <c r="H606">
        <v>7</v>
      </c>
      <c r="I606">
        <f t="shared" si="11"/>
        <v>7</v>
      </c>
    </row>
    <row r="607" spans="4:9" x14ac:dyDescent="0.2">
      <c r="D607" t="s">
        <v>126</v>
      </c>
      <c r="E607">
        <v>7</v>
      </c>
      <c r="F607">
        <v>7</v>
      </c>
      <c r="G607">
        <v>7</v>
      </c>
      <c r="H607">
        <v>7</v>
      </c>
      <c r="I607">
        <f t="shared" si="11"/>
        <v>7</v>
      </c>
    </row>
    <row r="608" spans="4:9" x14ac:dyDescent="0.2">
      <c r="D608" t="s">
        <v>127</v>
      </c>
      <c r="E608">
        <v>5</v>
      </c>
      <c r="F608">
        <v>6</v>
      </c>
      <c r="G608">
        <v>4</v>
      </c>
      <c r="H608">
        <v>7</v>
      </c>
      <c r="I608">
        <f t="shared" si="11"/>
        <v>5.5</v>
      </c>
    </row>
    <row r="609" spans="4:9" x14ac:dyDescent="0.2">
      <c r="D609" t="s">
        <v>128</v>
      </c>
      <c r="E609">
        <v>3</v>
      </c>
      <c r="F609">
        <v>2</v>
      </c>
      <c r="G609">
        <v>4</v>
      </c>
      <c r="H609">
        <v>5</v>
      </c>
      <c r="I609">
        <f t="shared" si="11"/>
        <v>3.5</v>
      </c>
    </row>
    <row r="610" spans="4:9" x14ac:dyDescent="0.2">
      <c r="D610" t="s">
        <v>130</v>
      </c>
      <c r="E610">
        <v>7</v>
      </c>
      <c r="F610">
        <v>7</v>
      </c>
      <c r="G610">
        <v>7</v>
      </c>
      <c r="H610">
        <v>7</v>
      </c>
      <c r="I610">
        <f t="shared" si="11"/>
        <v>7</v>
      </c>
    </row>
    <row r="611" spans="4:9" x14ac:dyDescent="0.2">
      <c r="D611" t="s">
        <v>131</v>
      </c>
      <c r="E611">
        <v>5</v>
      </c>
      <c r="F611">
        <v>7</v>
      </c>
      <c r="G611">
        <v>5</v>
      </c>
      <c r="H611">
        <v>6</v>
      </c>
      <c r="I611">
        <f t="shared" si="11"/>
        <v>5.75</v>
      </c>
    </row>
    <row r="612" spans="4:9" x14ac:dyDescent="0.2">
      <c r="D612" t="s">
        <v>132</v>
      </c>
      <c r="E612">
        <v>6</v>
      </c>
      <c r="F612">
        <v>6</v>
      </c>
      <c r="G612">
        <v>5</v>
      </c>
      <c r="H612">
        <v>6</v>
      </c>
      <c r="I612">
        <f t="shared" si="11"/>
        <v>5.75</v>
      </c>
    </row>
    <row r="613" spans="4:9" x14ac:dyDescent="0.2">
      <c r="D613" t="s">
        <v>133</v>
      </c>
      <c r="E613">
        <v>4</v>
      </c>
      <c r="F613">
        <v>7</v>
      </c>
      <c r="G613">
        <v>7</v>
      </c>
      <c r="H613">
        <v>7</v>
      </c>
      <c r="I613">
        <f t="shared" si="11"/>
        <v>6.25</v>
      </c>
    </row>
    <row r="614" spans="4:9" x14ac:dyDescent="0.2">
      <c r="D614" t="s">
        <v>134</v>
      </c>
      <c r="E614">
        <v>7</v>
      </c>
      <c r="F614">
        <v>6</v>
      </c>
      <c r="G614">
        <v>7</v>
      </c>
      <c r="H614">
        <v>5</v>
      </c>
      <c r="I614">
        <f t="shared" si="11"/>
        <v>6.25</v>
      </c>
    </row>
    <row r="615" spans="4:9" x14ac:dyDescent="0.2">
      <c r="D615" t="s">
        <v>135</v>
      </c>
      <c r="E615">
        <v>2</v>
      </c>
      <c r="F615">
        <v>2</v>
      </c>
      <c r="G615">
        <v>7</v>
      </c>
      <c r="H615">
        <v>2</v>
      </c>
      <c r="I615">
        <f t="shared" si="11"/>
        <v>3.25</v>
      </c>
    </row>
    <row r="616" spans="4:9" x14ac:dyDescent="0.2">
      <c r="D616" t="s">
        <v>136</v>
      </c>
      <c r="E616">
        <v>2</v>
      </c>
      <c r="F616">
        <v>5</v>
      </c>
      <c r="G616">
        <v>6</v>
      </c>
      <c r="H616">
        <v>6</v>
      </c>
      <c r="I616">
        <f t="shared" si="11"/>
        <v>4.75</v>
      </c>
    </row>
    <row r="617" spans="4:9" x14ac:dyDescent="0.2">
      <c r="D617" t="s">
        <v>137</v>
      </c>
      <c r="E617">
        <v>5</v>
      </c>
      <c r="F617">
        <v>6</v>
      </c>
      <c r="G617">
        <v>4</v>
      </c>
      <c r="H617">
        <v>6</v>
      </c>
      <c r="I617">
        <f t="shared" si="11"/>
        <v>5.25</v>
      </c>
    </row>
    <row r="618" spans="4:9" x14ac:dyDescent="0.2">
      <c r="D618" t="s">
        <v>138</v>
      </c>
      <c r="E618">
        <v>6</v>
      </c>
      <c r="F618">
        <v>6</v>
      </c>
      <c r="G618">
        <v>6</v>
      </c>
      <c r="H618">
        <v>7</v>
      </c>
      <c r="I618">
        <f t="shared" si="11"/>
        <v>6.25</v>
      </c>
    </row>
    <row r="619" spans="4:9" x14ac:dyDescent="0.2">
      <c r="D619" t="s">
        <v>139</v>
      </c>
      <c r="E619">
        <v>4</v>
      </c>
      <c r="F619">
        <v>5</v>
      </c>
      <c r="G619">
        <v>4</v>
      </c>
      <c r="H619">
        <v>4</v>
      </c>
      <c r="I619">
        <f t="shared" si="11"/>
        <v>4.25</v>
      </c>
    </row>
    <row r="620" spans="4:9" x14ac:dyDescent="0.2">
      <c r="D620" t="s">
        <v>140</v>
      </c>
      <c r="E620">
        <v>2</v>
      </c>
      <c r="F620">
        <v>2</v>
      </c>
      <c r="G620">
        <v>6</v>
      </c>
      <c r="H620">
        <v>2</v>
      </c>
      <c r="I620">
        <f t="shared" si="11"/>
        <v>3</v>
      </c>
    </row>
    <row r="621" spans="4:9" x14ac:dyDescent="0.2">
      <c r="D621" t="s">
        <v>141</v>
      </c>
      <c r="E621">
        <v>7</v>
      </c>
      <c r="F621">
        <v>7</v>
      </c>
      <c r="G621">
        <v>7</v>
      </c>
      <c r="H621">
        <v>7</v>
      </c>
      <c r="I621">
        <f t="shared" si="11"/>
        <v>7</v>
      </c>
    </row>
    <row r="622" spans="4:9" x14ac:dyDescent="0.2">
      <c r="D622" t="s">
        <v>142</v>
      </c>
      <c r="E622">
        <v>7</v>
      </c>
      <c r="F622">
        <v>7</v>
      </c>
      <c r="G622">
        <v>7</v>
      </c>
      <c r="H622">
        <v>7</v>
      </c>
      <c r="I622">
        <f t="shared" si="11"/>
        <v>7</v>
      </c>
    </row>
    <row r="623" spans="4:9" x14ac:dyDescent="0.2">
      <c r="D623" t="s">
        <v>143</v>
      </c>
      <c r="E623">
        <v>1</v>
      </c>
      <c r="F623">
        <v>5</v>
      </c>
      <c r="G623">
        <v>4</v>
      </c>
      <c r="H623">
        <v>7</v>
      </c>
      <c r="I623">
        <f t="shared" si="11"/>
        <v>4.25</v>
      </c>
    </row>
    <row r="624" spans="4:9" x14ac:dyDescent="0.2">
      <c r="D624" t="s">
        <v>144</v>
      </c>
      <c r="E624">
        <v>5</v>
      </c>
      <c r="F624">
        <v>5</v>
      </c>
      <c r="G624">
        <v>6</v>
      </c>
      <c r="H624">
        <v>7</v>
      </c>
      <c r="I624">
        <f t="shared" si="11"/>
        <v>5.75</v>
      </c>
    </row>
    <row r="625" spans="4:9" x14ac:dyDescent="0.2">
      <c r="D625" t="s">
        <v>145</v>
      </c>
      <c r="E625">
        <v>6</v>
      </c>
      <c r="F625">
        <v>6</v>
      </c>
      <c r="G625">
        <v>6</v>
      </c>
      <c r="H625">
        <v>7</v>
      </c>
      <c r="I625">
        <f t="shared" si="11"/>
        <v>6.25</v>
      </c>
    </row>
    <row r="626" spans="4:9" x14ac:dyDescent="0.2">
      <c r="D626" t="s">
        <v>146</v>
      </c>
      <c r="E626">
        <v>5</v>
      </c>
      <c r="F626">
        <v>5</v>
      </c>
      <c r="G626">
        <v>4</v>
      </c>
      <c r="H626">
        <v>5</v>
      </c>
      <c r="I626">
        <f t="shared" si="11"/>
        <v>4.75</v>
      </c>
    </row>
    <row r="627" spans="4:9" x14ac:dyDescent="0.2">
      <c r="D627" t="s">
        <v>147</v>
      </c>
      <c r="E627">
        <v>6</v>
      </c>
      <c r="F627">
        <v>6</v>
      </c>
      <c r="G627">
        <v>6</v>
      </c>
      <c r="H627">
        <v>6</v>
      </c>
      <c r="I627">
        <f t="shared" si="11"/>
        <v>6</v>
      </c>
    </row>
    <row r="628" spans="4:9" x14ac:dyDescent="0.2">
      <c r="D628" t="s">
        <v>148</v>
      </c>
      <c r="E628">
        <v>5</v>
      </c>
      <c r="F628">
        <v>4</v>
      </c>
      <c r="G628">
        <v>5</v>
      </c>
      <c r="H628">
        <v>6</v>
      </c>
      <c r="I628">
        <f t="shared" si="11"/>
        <v>5</v>
      </c>
    </row>
    <row r="629" spans="4:9" x14ac:dyDescent="0.2">
      <c r="D629" t="s">
        <v>149</v>
      </c>
      <c r="E629">
        <v>5</v>
      </c>
      <c r="F629">
        <v>5</v>
      </c>
      <c r="G629">
        <v>6</v>
      </c>
      <c r="H629">
        <v>7</v>
      </c>
      <c r="I629">
        <f t="shared" si="11"/>
        <v>5.75</v>
      </c>
    </row>
    <row r="630" spans="4:9" x14ac:dyDescent="0.2">
      <c r="D630" t="s">
        <v>150</v>
      </c>
      <c r="E630">
        <v>7</v>
      </c>
      <c r="F630">
        <v>7</v>
      </c>
      <c r="G630">
        <v>7</v>
      </c>
      <c r="H630">
        <v>7</v>
      </c>
      <c r="I630">
        <f t="shared" si="11"/>
        <v>7</v>
      </c>
    </row>
    <row r="631" spans="4:9" x14ac:dyDescent="0.2">
      <c r="D631" t="s">
        <v>151</v>
      </c>
      <c r="E631">
        <v>2</v>
      </c>
      <c r="F631">
        <v>6</v>
      </c>
      <c r="G631">
        <v>1</v>
      </c>
      <c r="H631">
        <v>6</v>
      </c>
      <c r="I631">
        <f t="shared" si="11"/>
        <v>3.75</v>
      </c>
    </row>
    <row r="632" spans="4:9" x14ac:dyDescent="0.2">
      <c r="D632" t="s">
        <v>152</v>
      </c>
      <c r="E632">
        <v>2</v>
      </c>
      <c r="F632">
        <v>2</v>
      </c>
      <c r="G632">
        <v>2</v>
      </c>
      <c r="H632">
        <v>2</v>
      </c>
      <c r="I632">
        <f t="shared" si="11"/>
        <v>2</v>
      </c>
    </row>
    <row r="633" spans="4:9" x14ac:dyDescent="0.2">
      <c r="D633" t="s">
        <v>153</v>
      </c>
      <c r="E633">
        <v>6</v>
      </c>
      <c r="F633">
        <v>6</v>
      </c>
      <c r="G633">
        <v>6</v>
      </c>
      <c r="H633">
        <v>6</v>
      </c>
      <c r="I633">
        <f t="shared" si="11"/>
        <v>6</v>
      </c>
    </row>
    <row r="634" spans="4:9" x14ac:dyDescent="0.2">
      <c r="D634" t="s">
        <v>154</v>
      </c>
      <c r="E634">
        <v>6</v>
      </c>
      <c r="F634">
        <v>6</v>
      </c>
      <c r="G634">
        <v>6</v>
      </c>
      <c r="H634">
        <v>7</v>
      </c>
      <c r="I634">
        <f t="shared" si="11"/>
        <v>6.25</v>
      </c>
    </row>
    <row r="635" spans="4:9" x14ac:dyDescent="0.2">
      <c r="D635" t="s">
        <v>155</v>
      </c>
      <c r="E635">
        <v>4</v>
      </c>
      <c r="F635">
        <v>4</v>
      </c>
      <c r="G635">
        <v>5</v>
      </c>
      <c r="H635">
        <v>7</v>
      </c>
      <c r="I635">
        <f t="shared" si="11"/>
        <v>5</v>
      </c>
    </row>
    <row r="636" spans="4:9" x14ac:dyDescent="0.2">
      <c r="D636" t="s">
        <v>156</v>
      </c>
      <c r="E636">
        <v>5</v>
      </c>
      <c r="F636">
        <v>4</v>
      </c>
      <c r="G636">
        <v>5</v>
      </c>
      <c r="H636">
        <v>6</v>
      </c>
      <c r="I636">
        <f t="shared" si="11"/>
        <v>5</v>
      </c>
    </row>
    <row r="637" spans="4:9" x14ac:dyDescent="0.2">
      <c r="D637" t="s">
        <v>157</v>
      </c>
      <c r="E637">
        <v>6</v>
      </c>
      <c r="F637">
        <v>7</v>
      </c>
      <c r="G637">
        <v>7</v>
      </c>
      <c r="H637">
        <v>7</v>
      </c>
      <c r="I637">
        <f t="shared" si="11"/>
        <v>6.75</v>
      </c>
    </row>
    <row r="638" spans="4:9" x14ac:dyDescent="0.2">
      <c r="D638" t="s">
        <v>158</v>
      </c>
      <c r="E638">
        <v>6</v>
      </c>
      <c r="F638">
        <v>7</v>
      </c>
      <c r="G638">
        <v>7</v>
      </c>
      <c r="H638">
        <v>7</v>
      </c>
      <c r="I638">
        <f t="shared" si="11"/>
        <v>6.75</v>
      </c>
    </row>
    <row r="639" spans="4:9" x14ac:dyDescent="0.2">
      <c r="D639" t="s">
        <v>159</v>
      </c>
      <c r="E639">
        <v>5</v>
      </c>
      <c r="F639">
        <v>5</v>
      </c>
      <c r="G639">
        <v>5</v>
      </c>
      <c r="H639">
        <v>4</v>
      </c>
      <c r="I639">
        <f t="shared" si="11"/>
        <v>4.75</v>
      </c>
    </row>
    <row r="640" spans="4:9" x14ac:dyDescent="0.2">
      <c r="D640" t="s">
        <v>160</v>
      </c>
      <c r="E640">
        <v>7</v>
      </c>
      <c r="F640">
        <v>7</v>
      </c>
      <c r="G640">
        <v>7</v>
      </c>
      <c r="H640">
        <v>7</v>
      </c>
      <c r="I640">
        <f t="shared" si="11"/>
        <v>7</v>
      </c>
    </row>
    <row r="641" spans="4:9" x14ac:dyDescent="0.2">
      <c r="D641" t="s">
        <v>161</v>
      </c>
      <c r="E641">
        <v>3</v>
      </c>
      <c r="F641">
        <v>3</v>
      </c>
      <c r="G641">
        <v>6</v>
      </c>
      <c r="H641">
        <v>4</v>
      </c>
      <c r="I641">
        <f t="shared" si="11"/>
        <v>4</v>
      </c>
    </row>
    <row r="642" spans="4:9" x14ac:dyDescent="0.2">
      <c r="D642" t="s">
        <v>162</v>
      </c>
      <c r="E642">
        <v>7</v>
      </c>
      <c r="F642">
        <v>7</v>
      </c>
      <c r="G642">
        <v>7</v>
      </c>
      <c r="H642">
        <v>7</v>
      </c>
      <c r="I642">
        <f t="shared" si="11"/>
        <v>7</v>
      </c>
    </row>
    <row r="643" spans="4:9" x14ac:dyDescent="0.2">
      <c r="D643" t="s">
        <v>163</v>
      </c>
      <c r="E643">
        <v>6</v>
      </c>
      <c r="F643">
        <v>6</v>
      </c>
      <c r="G643">
        <v>7</v>
      </c>
      <c r="H643">
        <v>7</v>
      </c>
      <c r="I643">
        <f t="shared" ref="I643:I671" si="12">AVERAGE(E643:H643)</f>
        <v>6.5</v>
      </c>
    </row>
    <row r="644" spans="4:9" x14ac:dyDescent="0.2">
      <c r="D644" t="s">
        <v>165</v>
      </c>
      <c r="E644">
        <v>7</v>
      </c>
      <c r="F644">
        <v>7</v>
      </c>
      <c r="G644">
        <v>7</v>
      </c>
      <c r="H644">
        <v>7</v>
      </c>
      <c r="I644">
        <f t="shared" si="12"/>
        <v>7</v>
      </c>
    </row>
    <row r="645" spans="4:9" x14ac:dyDescent="0.2">
      <c r="D645" t="s">
        <v>166</v>
      </c>
      <c r="E645">
        <v>5</v>
      </c>
      <c r="F645">
        <v>6</v>
      </c>
      <c r="G645">
        <v>4</v>
      </c>
      <c r="H645">
        <v>4</v>
      </c>
      <c r="I645">
        <f t="shared" si="12"/>
        <v>4.75</v>
      </c>
    </row>
    <row r="646" spans="4:9" x14ac:dyDescent="0.2">
      <c r="D646" t="s">
        <v>167</v>
      </c>
      <c r="E646">
        <v>6</v>
      </c>
      <c r="F646">
        <v>7</v>
      </c>
      <c r="G646">
        <v>7</v>
      </c>
      <c r="H646">
        <v>7</v>
      </c>
      <c r="I646">
        <f t="shared" si="12"/>
        <v>6.75</v>
      </c>
    </row>
    <row r="647" spans="4:9" x14ac:dyDescent="0.2">
      <c r="D647" t="s">
        <v>168</v>
      </c>
      <c r="E647">
        <v>2</v>
      </c>
      <c r="F647">
        <v>1</v>
      </c>
      <c r="G647">
        <v>1</v>
      </c>
      <c r="H647">
        <v>1</v>
      </c>
      <c r="I647">
        <f t="shared" si="12"/>
        <v>1.25</v>
      </c>
    </row>
    <row r="648" spans="4:9" x14ac:dyDescent="0.2">
      <c r="D648" t="s">
        <v>170</v>
      </c>
      <c r="E648">
        <v>7</v>
      </c>
      <c r="F648">
        <v>7</v>
      </c>
      <c r="G648">
        <v>7</v>
      </c>
      <c r="H648">
        <v>7</v>
      </c>
      <c r="I648">
        <f t="shared" si="12"/>
        <v>7</v>
      </c>
    </row>
    <row r="649" spans="4:9" x14ac:dyDescent="0.2">
      <c r="D649" t="s">
        <v>171</v>
      </c>
      <c r="E649">
        <v>2</v>
      </c>
      <c r="F649">
        <v>5</v>
      </c>
      <c r="G649">
        <v>6</v>
      </c>
      <c r="H649">
        <v>7</v>
      </c>
      <c r="I649">
        <f t="shared" si="12"/>
        <v>5</v>
      </c>
    </row>
    <row r="650" spans="4:9" x14ac:dyDescent="0.2">
      <c r="D650" t="s">
        <v>172</v>
      </c>
      <c r="E650">
        <v>7</v>
      </c>
      <c r="F650">
        <v>7</v>
      </c>
      <c r="G650">
        <v>7</v>
      </c>
      <c r="H650">
        <v>7</v>
      </c>
      <c r="I650">
        <f t="shared" si="12"/>
        <v>7</v>
      </c>
    </row>
    <row r="651" spans="4:9" x14ac:dyDescent="0.2">
      <c r="D651" t="s">
        <v>173</v>
      </c>
      <c r="E651">
        <v>6</v>
      </c>
      <c r="F651">
        <v>5</v>
      </c>
      <c r="G651">
        <v>6</v>
      </c>
      <c r="H651">
        <v>6</v>
      </c>
      <c r="I651">
        <f t="shared" si="12"/>
        <v>5.75</v>
      </c>
    </row>
    <row r="652" spans="4:9" x14ac:dyDescent="0.2">
      <c r="D652" t="s">
        <v>174</v>
      </c>
      <c r="E652">
        <v>2</v>
      </c>
      <c r="F652">
        <v>4</v>
      </c>
      <c r="G652">
        <v>4</v>
      </c>
      <c r="H652">
        <v>5</v>
      </c>
      <c r="I652">
        <f t="shared" si="12"/>
        <v>3.75</v>
      </c>
    </row>
    <row r="653" spans="4:9" x14ac:dyDescent="0.2">
      <c r="D653" t="s">
        <v>175</v>
      </c>
      <c r="E653">
        <v>7</v>
      </c>
      <c r="F653">
        <v>7</v>
      </c>
      <c r="G653">
        <v>7</v>
      </c>
      <c r="H653">
        <v>7</v>
      </c>
      <c r="I653">
        <f t="shared" si="12"/>
        <v>7</v>
      </c>
    </row>
    <row r="654" spans="4:9" x14ac:dyDescent="0.2">
      <c r="D654" t="s">
        <v>176</v>
      </c>
      <c r="E654">
        <v>1</v>
      </c>
      <c r="F654">
        <v>1</v>
      </c>
      <c r="G654">
        <v>7</v>
      </c>
      <c r="H654">
        <v>7</v>
      </c>
      <c r="I654">
        <f t="shared" si="12"/>
        <v>4</v>
      </c>
    </row>
    <row r="655" spans="4:9" x14ac:dyDescent="0.2">
      <c r="D655" t="s">
        <v>177</v>
      </c>
      <c r="E655">
        <v>6</v>
      </c>
      <c r="F655">
        <v>5</v>
      </c>
      <c r="G655">
        <v>6</v>
      </c>
      <c r="H655">
        <v>6</v>
      </c>
      <c r="I655">
        <f t="shared" si="12"/>
        <v>5.75</v>
      </c>
    </row>
    <row r="656" spans="4:9" x14ac:dyDescent="0.2">
      <c r="D656" t="s">
        <v>178</v>
      </c>
      <c r="E656">
        <v>4</v>
      </c>
      <c r="F656">
        <v>5</v>
      </c>
      <c r="G656">
        <v>6</v>
      </c>
      <c r="H656">
        <v>5</v>
      </c>
      <c r="I656">
        <f t="shared" si="12"/>
        <v>5</v>
      </c>
    </row>
    <row r="657" spans="4:9" x14ac:dyDescent="0.2">
      <c r="D657" t="s">
        <v>179</v>
      </c>
      <c r="E657">
        <v>7</v>
      </c>
      <c r="F657">
        <v>1</v>
      </c>
      <c r="G657">
        <v>1</v>
      </c>
      <c r="H657">
        <v>7</v>
      </c>
      <c r="I657">
        <f t="shared" si="12"/>
        <v>4</v>
      </c>
    </row>
    <row r="658" spans="4:9" x14ac:dyDescent="0.2">
      <c r="D658" t="s">
        <v>180</v>
      </c>
      <c r="E658">
        <v>6</v>
      </c>
      <c r="F658">
        <v>5</v>
      </c>
      <c r="G658">
        <v>4</v>
      </c>
      <c r="H658">
        <v>5</v>
      </c>
      <c r="I658">
        <f t="shared" si="12"/>
        <v>5</v>
      </c>
    </row>
    <row r="659" spans="4:9" x14ac:dyDescent="0.2">
      <c r="D659" t="s">
        <v>181</v>
      </c>
      <c r="E659">
        <v>2</v>
      </c>
      <c r="F659">
        <v>3</v>
      </c>
      <c r="G659">
        <v>7</v>
      </c>
      <c r="H659">
        <v>7</v>
      </c>
      <c r="I659">
        <f t="shared" si="12"/>
        <v>4.75</v>
      </c>
    </row>
    <row r="660" spans="4:9" x14ac:dyDescent="0.2">
      <c r="D660" t="s">
        <v>182</v>
      </c>
      <c r="E660">
        <v>6</v>
      </c>
      <c r="F660">
        <v>6</v>
      </c>
      <c r="G660">
        <v>6</v>
      </c>
      <c r="H660">
        <v>7</v>
      </c>
      <c r="I660">
        <f t="shared" si="12"/>
        <v>6.25</v>
      </c>
    </row>
    <row r="661" spans="4:9" x14ac:dyDescent="0.2">
      <c r="D661" t="s">
        <v>183</v>
      </c>
      <c r="E661">
        <v>5</v>
      </c>
      <c r="F661">
        <v>7</v>
      </c>
      <c r="G661">
        <v>7</v>
      </c>
      <c r="H661">
        <v>5</v>
      </c>
      <c r="I661">
        <f t="shared" si="12"/>
        <v>6</v>
      </c>
    </row>
    <row r="662" spans="4:9" x14ac:dyDescent="0.2">
      <c r="D662" t="s">
        <v>184</v>
      </c>
      <c r="E662">
        <v>3</v>
      </c>
      <c r="F662">
        <v>3</v>
      </c>
      <c r="G662">
        <v>6</v>
      </c>
      <c r="H662">
        <v>5</v>
      </c>
      <c r="I662">
        <f t="shared" si="12"/>
        <v>4.25</v>
      </c>
    </row>
    <row r="663" spans="4:9" x14ac:dyDescent="0.2">
      <c r="D663" t="s">
        <v>185</v>
      </c>
      <c r="E663">
        <v>4</v>
      </c>
      <c r="F663">
        <v>3</v>
      </c>
      <c r="G663">
        <v>3</v>
      </c>
      <c r="H663">
        <v>7</v>
      </c>
      <c r="I663">
        <f t="shared" si="12"/>
        <v>4.25</v>
      </c>
    </row>
    <row r="664" spans="4:9" x14ac:dyDescent="0.2">
      <c r="D664" t="s">
        <v>186</v>
      </c>
      <c r="E664">
        <v>7</v>
      </c>
      <c r="F664">
        <v>7</v>
      </c>
      <c r="G664">
        <v>7</v>
      </c>
      <c r="H664">
        <v>7</v>
      </c>
      <c r="I664">
        <f t="shared" si="12"/>
        <v>7</v>
      </c>
    </row>
    <row r="665" spans="4:9" x14ac:dyDescent="0.2">
      <c r="D665" t="s">
        <v>187</v>
      </c>
      <c r="E665">
        <v>4</v>
      </c>
      <c r="F665">
        <v>5</v>
      </c>
      <c r="G665">
        <v>5</v>
      </c>
      <c r="H665">
        <v>6</v>
      </c>
      <c r="I665">
        <f t="shared" si="12"/>
        <v>5</v>
      </c>
    </row>
    <row r="666" spans="4:9" x14ac:dyDescent="0.2">
      <c r="D666" t="s">
        <v>188</v>
      </c>
      <c r="E666">
        <v>7</v>
      </c>
      <c r="F666">
        <v>7</v>
      </c>
      <c r="G666">
        <v>7</v>
      </c>
      <c r="H666">
        <v>7</v>
      </c>
      <c r="I666">
        <f t="shared" si="12"/>
        <v>7</v>
      </c>
    </row>
    <row r="667" spans="4:9" x14ac:dyDescent="0.2">
      <c r="D667" t="s">
        <v>189</v>
      </c>
      <c r="E667">
        <v>5</v>
      </c>
      <c r="F667">
        <v>5</v>
      </c>
      <c r="G667">
        <v>5</v>
      </c>
      <c r="H667">
        <v>5</v>
      </c>
      <c r="I667">
        <f t="shared" si="12"/>
        <v>5</v>
      </c>
    </row>
    <row r="668" spans="4:9" x14ac:dyDescent="0.2">
      <c r="D668" t="s">
        <v>190</v>
      </c>
      <c r="E668">
        <v>5</v>
      </c>
      <c r="F668">
        <v>6</v>
      </c>
      <c r="G668">
        <v>7</v>
      </c>
      <c r="H668">
        <v>7</v>
      </c>
      <c r="I668">
        <f t="shared" si="12"/>
        <v>6.25</v>
      </c>
    </row>
    <row r="669" spans="4:9" x14ac:dyDescent="0.2">
      <c r="D669" t="s">
        <v>191</v>
      </c>
      <c r="E669">
        <v>2</v>
      </c>
      <c r="F669">
        <v>6</v>
      </c>
      <c r="G669">
        <v>5</v>
      </c>
      <c r="H669">
        <v>6</v>
      </c>
      <c r="I669">
        <f t="shared" si="12"/>
        <v>4.75</v>
      </c>
    </row>
    <row r="670" spans="4:9" x14ac:dyDescent="0.2">
      <c r="D670" t="s">
        <v>192</v>
      </c>
      <c r="E670">
        <v>3</v>
      </c>
      <c r="F670">
        <v>4</v>
      </c>
      <c r="G670">
        <v>4</v>
      </c>
      <c r="H670">
        <v>7</v>
      </c>
      <c r="I670">
        <f t="shared" si="12"/>
        <v>4.5</v>
      </c>
    </row>
    <row r="671" spans="4:9" x14ac:dyDescent="0.2">
      <c r="D671" t="s">
        <v>193</v>
      </c>
      <c r="E671">
        <v>5</v>
      </c>
      <c r="F671">
        <v>7</v>
      </c>
      <c r="G671">
        <v>2</v>
      </c>
      <c r="H671">
        <v>7</v>
      </c>
      <c r="I671">
        <f t="shared" si="12"/>
        <v>5.25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409F-9512-48AD-8185-A00D79FCB705}">
  <dimension ref="A1:AR11"/>
  <sheetViews>
    <sheetView workbookViewId="0">
      <selection activeCell="M11" sqref="M11"/>
    </sheetView>
  </sheetViews>
  <sheetFormatPr baseColWidth="10" defaultColWidth="8.83203125" defaultRowHeight="15" x14ac:dyDescent="0.2"/>
  <cols>
    <col min="1" max="1" width="13" customWidth="1"/>
  </cols>
  <sheetData>
    <row r="1" spans="1:44" x14ac:dyDescent="0.2">
      <c r="B1" t="s">
        <v>18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  <c r="L1" t="s">
        <v>215</v>
      </c>
      <c r="M1" t="s">
        <v>216</v>
      </c>
      <c r="N1" t="s">
        <v>217</v>
      </c>
      <c r="O1" t="s">
        <v>218</v>
      </c>
      <c r="P1" t="s">
        <v>219</v>
      </c>
      <c r="Q1" t="s">
        <v>220</v>
      </c>
      <c r="R1" t="s">
        <v>221</v>
      </c>
      <c r="S1" t="s">
        <v>222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  <c r="Y1" t="s">
        <v>228</v>
      </c>
      <c r="Z1" t="s">
        <v>229</v>
      </c>
      <c r="AA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</row>
    <row r="2" spans="1:44" x14ac:dyDescent="0.2"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</row>
    <row r="3" spans="1:44" x14ac:dyDescent="0.2">
      <c r="A3" t="s">
        <v>126</v>
      </c>
      <c r="B3" t="s">
        <v>195</v>
      </c>
      <c r="D3" s="1">
        <v>7</v>
      </c>
      <c r="E3" s="1">
        <v>6</v>
      </c>
      <c r="F3" s="1">
        <v>7</v>
      </c>
      <c r="G3" s="1">
        <v>7</v>
      </c>
      <c r="H3" s="1">
        <v>6</v>
      </c>
      <c r="I3" s="1">
        <v>7</v>
      </c>
      <c r="J3" s="1">
        <v>3</v>
      </c>
      <c r="K3" s="1">
        <v>1</v>
      </c>
      <c r="L3" s="1">
        <v>4</v>
      </c>
      <c r="M3" s="1">
        <v>1</v>
      </c>
      <c r="N3" s="1">
        <v>7</v>
      </c>
      <c r="O3" s="1">
        <v>5</v>
      </c>
      <c r="P3" s="1">
        <v>6</v>
      </c>
      <c r="Q3" s="1">
        <v>6</v>
      </c>
      <c r="R3" s="1">
        <v>54</v>
      </c>
      <c r="S3" s="1">
        <v>3</v>
      </c>
      <c r="T3" s="1">
        <v>7</v>
      </c>
      <c r="U3" s="1">
        <v>7</v>
      </c>
      <c r="V3" s="1">
        <v>6</v>
      </c>
      <c r="W3" s="1">
        <v>6</v>
      </c>
      <c r="X3" s="1">
        <v>6</v>
      </c>
      <c r="Y3" s="1">
        <v>6</v>
      </c>
      <c r="Z3" s="1">
        <v>6</v>
      </c>
      <c r="AA3" s="1">
        <v>7</v>
      </c>
      <c r="AC3" s="1">
        <v>10</v>
      </c>
      <c r="AD3" s="1">
        <v>0</v>
      </c>
      <c r="AE3" s="1">
        <v>0</v>
      </c>
      <c r="AF3" s="1">
        <v>2</v>
      </c>
      <c r="AG3" s="1">
        <v>2</v>
      </c>
      <c r="AH3" s="1">
        <v>0</v>
      </c>
      <c r="AI3" s="1">
        <v>0</v>
      </c>
      <c r="AJ3" s="1">
        <v>0</v>
      </c>
      <c r="AK3" s="1">
        <v>1</v>
      </c>
      <c r="AL3" s="1">
        <v>1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4" spans="1:44" x14ac:dyDescent="0.2">
      <c r="A4" t="s">
        <v>127</v>
      </c>
      <c r="B4" t="s">
        <v>195</v>
      </c>
      <c r="D4" s="1">
        <v>5</v>
      </c>
      <c r="E4" s="1">
        <v>5</v>
      </c>
      <c r="F4" s="1">
        <v>5</v>
      </c>
      <c r="G4" s="1">
        <v>6</v>
      </c>
      <c r="H4" s="1">
        <v>6</v>
      </c>
      <c r="I4" s="1">
        <v>6</v>
      </c>
      <c r="J4" s="1">
        <v>6</v>
      </c>
      <c r="K4" s="1">
        <v>5</v>
      </c>
      <c r="L4" s="1">
        <v>6</v>
      </c>
      <c r="M4" s="1">
        <v>6</v>
      </c>
      <c r="N4" s="1">
        <v>2</v>
      </c>
      <c r="O4" s="1">
        <v>6</v>
      </c>
      <c r="P4" s="1">
        <v>6</v>
      </c>
      <c r="Q4" s="1">
        <v>4</v>
      </c>
      <c r="R4" s="1">
        <v>230</v>
      </c>
      <c r="S4" s="1">
        <v>5</v>
      </c>
      <c r="T4" s="1">
        <v>6</v>
      </c>
      <c r="U4" s="1">
        <v>3</v>
      </c>
      <c r="V4" s="1">
        <v>6</v>
      </c>
      <c r="W4" s="1">
        <v>6</v>
      </c>
      <c r="X4" s="1">
        <v>6</v>
      </c>
      <c r="Y4" s="1">
        <v>5</v>
      </c>
      <c r="Z4" s="1">
        <v>5</v>
      </c>
      <c r="AA4" s="1">
        <v>5</v>
      </c>
      <c r="AC4" s="1">
        <v>1</v>
      </c>
      <c r="AD4" s="1">
        <v>0</v>
      </c>
      <c r="AE4" s="1">
        <v>0</v>
      </c>
      <c r="AF4" s="1">
        <v>0</v>
      </c>
      <c r="AG4" s="1">
        <v>2</v>
      </c>
      <c r="AH4" s="1">
        <v>0</v>
      </c>
      <c r="AI4" s="1">
        <v>1</v>
      </c>
      <c r="AJ4" s="1">
        <v>1</v>
      </c>
      <c r="AK4" s="1">
        <v>0</v>
      </c>
      <c r="AL4" s="1">
        <v>1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</row>
    <row r="5" spans="1:44" x14ac:dyDescent="0.2">
      <c r="A5" t="s">
        <v>129</v>
      </c>
      <c r="B5" t="s">
        <v>195</v>
      </c>
      <c r="D5" s="1">
        <v>6</v>
      </c>
      <c r="E5" s="1">
        <v>5</v>
      </c>
      <c r="F5" s="1">
        <v>2</v>
      </c>
      <c r="G5" s="1">
        <v>4</v>
      </c>
      <c r="H5" s="1">
        <v>7</v>
      </c>
      <c r="I5" s="1">
        <v>5</v>
      </c>
      <c r="J5" s="1">
        <v>2</v>
      </c>
      <c r="K5" s="1">
        <v>3</v>
      </c>
      <c r="L5" s="1">
        <v>3</v>
      </c>
      <c r="M5" s="1">
        <v>4</v>
      </c>
      <c r="N5" s="1">
        <v>4</v>
      </c>
      <c r="O5" s="1">
        <v>5</v>
      </c>
      <c r="P5" s="1">
        <v>3</v>
      </c>
      <c r="Q5" s="1">
        <v>1</v>
      </c>
      <c r="R5" s="1">
        <v>48</v>
      </c>
      <c r="S5" s="1">
        <v>2</v>
      </c>
      <c r="T5" s="1">
        <v>6</v>
      </c>
      <c r="U5" s="1">
        <v>5</v>
      </c>
      <c r="V5" s="1">
        <v>2</v>
      </c>
      <c r="W5" s="1">
        <v>1</v>
      </c>
      <c r="X5" s="1">
        <v>1</v>
      </c>
      <c r="Y5" s="1">
        <v>2</v>
      </c>
      <c r="Z5" s="1">
        <v>2</v>
      </c>
      <c r="AA5" s="1">
        <v>2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2</v>
      </c>
      <c r="AK5" s="1">
        <v>0</v>
      </c>
      <c r="AL5" s="1">
        <v>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</v>
      </c>
    </row>
    <row r="6" spans="1:44" x14ac:dyDescent="0.2">
      <c r="A6" s="1" t="s">
        <v>169</v>
      </c>
      <c r="B6" s="1" t="s">
        <v>195</v>
      </c>
      <c r="D6" s="1">
        <v>6</v>
      </c>
      <c r="E6" s="1">
        <v>6</v>
      </c>
      <c r="F6" s="1">
        <v>6</v>
      </c>
      <c r="G6" s="1">
        <v>6</v>
      </c>
      <c r="H6" s="1">
        <v>6</v>
      </c>
      <c r="I6" s="1">
        <v>6</v>
      </c>
      <c r="J6" s="1">
        <v>6</v>
      </c>
      <c r="K6" s="1">
        <v>2</v>
      </c>
      <c r="L6" s="1">
        <v>5</v>
      </c>
      <c r="M6" s="1">
        <v>6</v>
      </c>
      <c r="N6" s="1">
        <v>2</v>
      </c>
      <c r="O6" s="1">
        <v>6</v>
      </c>
      <c r="P6" s="1">
        <v>4</v>
      </c>
      <c r="Q6" s="1">
        <v>6</v>
      </c>
      <c r="R6" s="1">
        <v>24</v>
      </c>
      <c r="S6" s="1">
        <v>1</v>
      </c>
      <c r="T6" s="1">
        <v>6</v>
      </c>
      <c r="U6" s="1">
        <v>6</v>
      </c>
      <c r="V6" s="1">
        <v>4</v>
      </c>
      <c r="W6" s="1">
        <v>4</v>
      </c>
      <c r="X6" s="1">
        <v>4</v>
      </c>
      <c r="Y6" s="1">
        <v>4</v>
      </c>
      <c r="Z6" s="1">
        <v>5</v>
      </c>
      <c r="AA6" s="1">
        <v>5</v>
      </c>
      <c r="AC6" s="1">
        <v>1</v>
      </c>
      <c r="AD6" s="1">
        <v>1</v>
      </c>
      <c r="AE6" s="1">
        <v>2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1</v>
      </c>
      <c r="AR6" s="1">
        <v>0</v>
      </c>
    </row>
    <row r="7" spans="1:44" x14ac:dyDescent="0.2">
      <c r="A7" s="1" t="s">
        <v>186</v>
      </c>
      <c r="B7" s="1" t="s">
        <v>195</v>
      </c>
      <c r="D7" s="1">
        <v>7</v>
      </c>
      <c r="E7" s="1">
        <v>7</v>
      </c>
      <c r="F7" s="1">
        <v>6</v>
      </c>
      <c r="G7" s="1">
        <v>6</v>
      </c>
      <c r="H7" s="1">
        <v>6</v>
      </c>
      <c r="I7" s="1">
        <v>7</v>
      </c>
      <c r="J7" s="1">
        <v>6</v>
      </c>
      <c r="K7" s="1">
        <v>7</v>
      </c>
      <c r="L7" s="1">
        <v>7</v>
      </c>
      <c r="M7" s="1">
        <v>7</v>
      </c>
      <c r="N7" s="1">
        <v>7</v>
      </c>
      <c r="O7" s="1">
        <v>6</v>
      </c>
      <c r="P7" s="1">
        <v>6</v>
      </c>
      <c r="Q7" s="1">
        <v>6</v>
      </c>
      <c r="R7" s="1">
        <v>240</v>
      </c>
      <c r="S7" s="1">
        <v>7</v>
      </c>
      <c r="T7" s="1">
        <v>6</v>
      </c>
      <c r="U7" s="1">
        <v>7</v>
      </c>
      <c r="V7" s="1">
        <v>7</v>
      </c>
      <c r="W7" s="1">
        <v>7</v>
      </c>
      <c r="X7" s="1">
        <v>7</v>
      </c>
      <c r="Y7" s="1">
        <v>7</v>
      </c>
      <c r="Z7" s="1">
        <v>7</v>
      </c>
      <c r="AA7" s="1">
        <v>7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4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</row>
    <row r="11" spans="1:44" x14ac:dyDescent="0.2">
      <c r="A11" t="s">
        <v>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A0A0-CDD9-4302-A82F-736D83CEF5A4}">
  <dimension ref="A1:AR8"/>
  <sheetViews>
    <sheetView workbookViewId="0">
      <selection activeCell="AC8" sqref="AC8:AR8"/>
    </sheetView>
  </sheetViews>
  <sheetFormatPr baseColWidth="10" defaultColWidth="8.83203125" defaultRowHeight="15" x14ac:dyDescent="0.2"/>
  <sheetData>
    <row r="1" spans="1:44" x14ac:dyDescent="0.2">
      <c r="B1" t="s">
        <v>247</v>
      </c>
      <c r="C1" t="s">
        <v>248</v>
      </c>
      <c r="D1" t="s">
        <v>249</v>
      </c>
      <c r="E1" t="s">
        <v>250</v>
      </c>
      <c r="F1" t="s">
        <v>251</v>
      </c>
      <c r="G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  <c r="Q1" t="s">
        <v>262</v>
      </c>
      <c r="R1" t="s">
        <v>263</v>
      </c>
      <c r="S1" t="s">
        <v>264</v>
      </c>
      <c r="T1" t="s">
        <v>265</v>
      </c>
      <c r="U1" t="s">
        <v>266</v>
      </c>
      <c r="V1" t="s">
        <v>267</v>
      </c>
      <c r="W1" t="s">
        <v>268</v>
      </c>
      <c r="X1" t="s">
        <v>269</v>
      </c>
      <c r="Y1" t="s">
        <v>270</v>
      </c>
      <c r="Z1" t="s">
        <v>271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</row>
    <row r="2" spans="1:44" x14ac:dyDescent="0.2"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</row>
    <row r="3" spans="1:44" x14ac:dyDescent="0.2">
      <c r="A3" s="2" t="s">
        <v>94</v>
      </c>
      <c r="B3" t="s">
        <v>197</v>
      </c>
      <c r="C3" s="2">
        <v>3</v>
      </c>
      <c r="D3" s="2">
        <v>6</v>
      </c>
      <c r="E3" s="2">
        <v>3</v>
      </c>
      <c r="F3" s="2">
        <v>7</v>
      </c>
      <c r="G3" s="2">
        <v>7</v>
      </c>
      <c r="H3" s="2">
        <v>7</v>
      </c>
      <c r="I3" s="2">
        <v>3</v>
      </c>
      <c r="J3" s="2">
        <v>3</v>
      </c>
      <c r="K3" s="2">
        <v>3</v>
      </c>
      <c r="L3" s="2">
        <v>2</v>
      </c>
      <c r="M3" s="2">
        <v>7</v>
      </c>
      <c r="N3" s="2">
        <v>4</v>
      </c>
      <c r="O3" s="2">
        <v>4</v>
      </c>
      <c r="P3" s="2">
        <v>6</v>
      </c>
      <c r="Q3" s="2">
        <v>38</v>
      </c>
      <c r="R3" s="2">
        <v>4</v>
      </c>
      <c r="S3" s="2">
        <v>7</v>
      </c>
      <c r="T3" s="2">
        <v>7</v>
      </c>
      <c r="U3" s="2">
        <v>4</v>
      </c>
      <c r="V3" s="2">
        <v>3</v>
      </c>
      <c r="W3" s="2">
        <v>5</v>
      </c>
      <c r="X3" s="2">
        <v>4</v>
      </c>
      <c r="Y3" s="2">
        <v>3</v>
      </c>
      <c r="Z3" s="2">
        <v>5</v>
      </c>
      <c r="AC3" s="2">
        <v>7</v>
      </c>
      <c r="AD3" s="2">
        <v>0</v>
      </c>
      <c r="AE3" s="2">
        <v>0</v>
      </c>
      <c r="AF3" s="2">
        <v>3</v>
      </c>
      <c r="AG3" s="2">
        <v>1</v>
      </c>
      <c r="AH3" s="2">
        <v>0</v>
      </c>
      <c r="AI3" s="2">
        <v>0</v>
      </c>
      <c r="AJ3" s="2">
        <v>2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1</v>
      </c>
    </row>
    <row r="4" spans="1:44" x14ac:dyDescent="0.2">
      <c r="A4" s="2" t="s">
        <v>105</v>
      </c>
      <c r="B4" t="s">
        <v>197</v>
      </c>
      <c r="C4" s="2">
        <v>7</v>
      </c>
      <c r="D4" s="2">
        <v>7</v>
      </c>
      <c r="E4" s="2">
        <v>7</v>
      </c>
      <c r="F4" s="2">
        <v>7</v>
      </c>
      <c r="G4" s="2">
        <v>2</v>
      </c>
      <c r="H4" s="2">
        <v>5</v>
      </c>
      <c r="I4" s="2">
        <v>4</v>
      </c>
      <c r="J4" s="2">
        <v>7</v>
      </c>
      <c r="K4" s="2">
        <v>7</v>
      </c>
      <c r="L4" s="2">
        <v>1</v>
      </c>
      <c r="M4" s="2">
        <v>7</v>
      </c>
      <c r="N4" s="2">
        <v>7</v>
      </c>
      <c r="O4" s="2">
        <v>7</v>
      </c>
      <c r="P4" s="2">
        <v>1</v>
      </c>
      <c r="Q4" s="2">
        <v>120</v>
      </c>
      <c r="R4" s="2">
        <v>7</v>
      </c>
      <c r="S4" s="2">
        <v>7</v>
      </c>
      <c r="T4" s="2">
        <v>7</v>
      </c>
      <c r="U4" s="2">
        <v>5</v>
      </c>
      <c r="V4" s="2">
        <v>6</v>
      </c>
      <c r="W4" s="2">
        <v>4</v>
      </c>
      <c r="X4" s="2">
        <v>7</v>
      </c>
      <c r="Y4" s="2">
        <v>6</v>
      </c>
      <c r="Z4" s="2">
        <v>6</v>
      </c>
      <c r="AC4" s="2">
        <v>9</v>
      </c>
      <c r="AD4" s="2">
        <v>0</v>
      </c>
      <c r="AE4" s="2">
        <v>1</v>
      </c>
      <c r="AF4" s="2">
        <v>1</v>
      </c>
      <c r="AG4" s="2">
        <v>1</v>
      </c>
      <c r="AH4" s="2">
        <v>0</v>
      </c>
      <c r="AI4" s="2">
        <v>0</v>
      </c>
      <c r="AJ4" s="2">
        <v>1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1</v>
      </c>
      <c r="AR4" s="2">
        <v>0</v>
      </c>
    </row>
    <row r="5" spans="1:44" x14ac:dyDescent="0.2">
      <c r="A5" s="2" t="s">
        <v>127</v>
      </c>
      <c r="B5" t="s">
        <v>197</v>
      </c>
      <c r="C5" s="2">
        <v>6</v>
      </c>
      <c r="D5" s="2">
        <v>6</v>
      </c>
      <c r="E5" s="2">
        <v>7</v>
      </c>
      <c r="F5" s="2">
        <v>6</v>
      </c>
      <c r="G5" s="2">
        <v>6</v>
      </c>
      <c r="H5" s="2">
        <v>6</v>
      </c>
      <c r="I5" s="2">
        <v>6</v>
      </c>
      <c r="J5" s="2">
        <v>6</v>
      </c>
      <c r="K5" s="2">
        <v>7</v>
      </c>
      <c r="L5" s="2">
        <v>7</v>
      </c>
      <c r="M5" s="2">
        <v>2</v>
      </c>
      <c r="N5" s="2">
        <v>6</v>
      </c>
      <c r="O5" s="2">
        <v>4</v>
      </c>
      <c r="P5" s="2">
        <v>5</v>
      </c>
      <c r="Q5" s="2">
        <v>148</v>
      </c>
      <c r="R5" s="2">
        <v>5</v>
      </c>
      <c r="S5" s="2">
        <v>6</v>
      </c>
      <c r="T5" s="2">
        <v>6</v>
      </c>
      <c r="U5" s="2">
        <v>5</v>
      </c>
      <c r="V5" s="2">
        <v>4</v>
      </c>
      <c r="W5" s="2">
        <v>5</v>
      </c>
      <c r="X5" s="2">
        <v>5</v>
      </c>
      <c r="Y5" s="2">
        <v>5</v>
      </c>
      <c r="Z5" s="2">
        <v>5</v>
      </c>
      <c r="AC5" s="2">
        <v>5</v>
      </c>
      <c r="AD5" s="2">
        <v>0</v>
      </c>
      <c r="AE5" s="2">
        <v>2</v>
      </c>
      <c r="AF5" s="2">
        <v>1</v>
      </c>
      <c r="AG5" s="2">
        <v>4</v>
      </c>
      <c r="AH5" s="2">
        <v>0</v>
      </c>
      <c r="AI5" s="2">
        <v>1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1</v>
      </c>
    </row>
    <row r="6" spans="1:44" x14ac:dyDescent="0.2">
      <c r="A6" s="2" t="s">
        <v>136</v>
      </c>
      <c r="B6" t="s">
        <v>197</v>
      </c>
      <c r="C6" s="2">
        <v>5</v>
      </c>
      <c r="D6" s="2">
        <v>5</v>
      </c>
      <c r="E6" s="2">
        <v>6</v>
      </c>
      <c r="F6" s="2">
        <v>7</v>
      </c>
      <c r="G6" s="2">
        <v>1</v>
      </c>
      <c r="H6" s="2">
        <v>5</v>
      </c>
      <c r="I6" s="2">
        <v>2</v>
      </c>
      <c r="J6" s="2">
        <v>6</v>
      </c>
      <c r="K6" s="2">
        <v>7</v>
      </c>
      <c r="L6" s="2">
        <v>1</v>
      </c>
      <c r="M6" s="2">
        <v>6</v>
      </c>
      <c r="N6" s="2">
        <v>4</v>
      </c>
      <c r="O6" s="2">
        <v>2</v>
      </c>
      <c r="P6" s="2">
        <v>6</v>
      </c>
      <c r="Q6" s="2">
        <v>20</v>
      </c>
      <c r="R6" s="2">
        <v>4</v>
      </c>
      <c r="S6" s="2">
        <v>7</v>
      </c>
      <c r="T6" s="2">
        <v>5</v>
      </c>
      <c r="U6" s="2">
        <v>5</v>
      </c>
      <c r="V6" s="2">
        <v>5</v>
      </c>
      <c r="W6" s="2">
        <v>7</v>
      </c>
      <c r="X6" s="2">
        <v>4</v>
      </c>
      <c r="Y6" s="2">
        <v>4</v>
      </c>
      <c r="Z6" s="2">
        <v>5</v>
      </c>
      <c r="AC6" s="2">
        <v>8</v>
      </c>
      <c r="AD6" s="2">
        <v>0</v>
      </c>
      <c r="AE6" s="2">
        <v>2</v>
      </c>
      <c r="AF6" s="2">
        <v>2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</v>
      </c>
      <c r="AR6" s="2">
        <v>0</v>
      </c>
    </row>
    <row r="7" spans="1:44" x14ac:dyDescent="0.2">
      <c r="A7" s="2" t="s">
        <v>166</v>
      </c>
      <c r="B7" t="s">
        <v>197</v>
      </c>
      <c r="C7" s="2">
        <v>7</v>
      </c>
      <c r="D7" s="2">
        <v>7</v>
      </c>
      <c r="E7" s="2">
        <v>7</v>
      </c>
      <c r="F7" s="2">
        <v>6</v>
      </c>
      <c r="G7" s="2">
        <v>5</v>
      </c>
      <c r="H7" s="2">
        <v>7</v>
      </c>
      <c r="I7" s="2">
        <v>2</v>
      </c>
      <c r="J7" s="2">
        <v>3</v>
      </c>
      <c r="K7" s="2">
        <v>6</v>
      </c>
      <c r="L7" s="2">
        <v>5</v>
      </c>
      <c r="M7" s="2">
        <v>6</v>
      </c>
      <c r="N7" s="2">
        <v>4</v>
      </c>
      <c r="O7" s="2">
        <v>4</v>
      </c>
      <c r="P7" s="2">
        <v>3</v>
      </c>
      <c r="Q7" s="2">
        <v>96</v>
      </c>
      <c r="R7" s="2">
        <v>1</v>
      </c>
      <c r="S7" s="2">
        <v>6</v>
      </c>
      <c r="T7" s="2">
        <v>6</v>
      </c>
      <c r="U7" s="2">
        <v>5</v>
      </c>
      <c r="V7" s="2">
        <v>5</v>
      </c>
      <c r="W7" s="2">
        <v>6</v>
      </c>
      <c r="X7" s="2">
        <v>5</v>
      </c>
      <c r="Y7" s="2">
        <v>6</v>
      </c>
      <c r="Z7" s="2">
        <v>5</v>
      </c>
      <c r="AC7" s="2">
        <v>10</v>
      </c>
      <c r="AD7" s="2">
        <v>0</v>
      </c>
      <c r="AE7" s="2">
        <v>2</v>
      </c>
      <c r="AF7" s="2">
        <v>1</v>
      </c>
      <c r="AG7" s="2">
        <v>2</v>
      </c>
      <c r="AH7" s="2">
        <v>0</v>
      </c>
      <c r="AI7" s="2">
        <v>0</v>
      </c>
      <c r="AJ7" s="2">
        <v>2</v>
      </c>
      <c r="AK7" s="2">
        <v>0</v>
      </c>
      <c r="AL7" s="2">
        <v>1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 spans="1:44" x14ac:dyDescent="0.2">
      <c r="A8" s="2" t="s">
        <v>186</v>
      </c>
      <c r="B8" t="s">
        <v>197</v>
      </c>
      <c r="C8" s="2">
        <v>6</v>
      </c>
      <c r="D8" s="2">
        <v>6</v>
      </c>
      <c r="E8" s="2">
        <v>7</v>
      </c>
      <c r="F8" s="2">
        <v>7</v>
      </c>
      <c r="G8" s="2">
        <v>6</v>
      </c>
      <c r="H8" s="2">
        <v>5</v>
      </c>
      <c r="I8" s="2">
        <v>7</v>
      </c>
      <c r="J8" s="2">
        <v>6</v>
      </c>
      <c r="K8" s="2">
        <v>7</v>
      </c>
      <c r="L8" s="2">
        <v>6</v>
      </c>
      <c r="M8" s="2">
        <v>6</v>
      </c>
      <c r="N8" s="2">
        <v>7</v>
      </c>
      <c r="O8" s="2">
        <v>7</v>
      </c>
      <c r="P8" s="2">
        <v>7</v>
      </c>
      <c r="Q8" s="2">
        <v>240</v>
      </c>
      <c r="R8" s="2">
        <v>6</v>
      </c>
      <c r="S8" s="2">
        <v>6</v>
      </c>
      <c r="T8" s="2">
        <v>6</v>
      </c>
      <c r="U8" s="2">
        <v>7</v>
      </c>
      <c r="V8" s="2">
        <v>7</v>
      </c>
      <c r="W8" s="2">
        <v>5</v>
      </c>
      <c r="X8" s="2">
        <v>6</v>
      </c>
      <c r="Y8" s="2">
        <v>6</v>
      </c>
      <c r="Z8" s="2">
        <v>7</v>
      </c>
      <c r="AC8" s="2">
        <v>10</v>
      </c>
      <c r="AD8" s="2">
        <v>0</v>
      </c>
      <c r="AE8" s="2">
        <v>1</v>
      </c>
      <c r="AF8" s="2">
        <v>1</v>
      </c>
      <c r="AG8" s="2">
        <v>1</v>
      </c>
      <c r="AH8" s="2">
        <v>0</v>
      </c>
      <c r="AI8" s="2">
        <v>0</v>
      </c>
      <c r="AJ8" s="2">
        <v>0</v>
      </c>
      <c r="AK8" s="2">
        <v>0</v>
      </c>
      <c r="AL8" s="2">
        <v>1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Scene Score Check</vt:lpstr>
      <vt:lpstr>Deniz anıları </vt:lpstr>
      <vt:lpstr>Lunapark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Ötenen</dc:creator>
  <cp:lastModifiedBy>Ötenen, Ege</cp:lastModifiedBy>
  <dcterms:created xsi:type="dcterms:W3CDTF">2015-06-05T18:17:20Z</dcterms:created>
  <dcterms:modified xsi:type="dcterms:W3CDTF">2026-10-16T08:28:18Z</dcterms:modified>
</cp:coreProperties>
</file>